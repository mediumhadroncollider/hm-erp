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zliczanie (2025-12)" sheetId="1" state="visible" r:id="rId2"/>
    <sheet name="konwertery" sheetId="2" state="visible" r:id="rId3"/>
    <sheet name="Histmag" sheetId="3" state="visible" r:id="rId4"/>
    <sheet name="Virtualo" sheetId="4" state="visible" r:id="rId5"/>
    <sheet name="Empik" sheetId="5" state="visible" r:id="rId6"/>
    <sheet name="Publio" sheetId="6" state="visible" r:id="rId7"/>
    <sheet name="Legimi" sheetId="7" state="visible" r:id="rId8"/>
    <sheet name="Nexto" sheetId="8" state="visible" r:id="rId9"/>
    <sheet name="Woblink" sheetId="9" state="visible" r:id="rId10"/>
    <sheet name="Azymut" sheetId="10" state="visible" r:id="rId11"/>
    <sheet name="AzymutB" sheetId="11" state="visible" r:id="rId12"/>
    <sheet name="Ebookpoint" sheetId="12" state="visible" r:id="rId13"/>
    <sheet name="Nasbi" sheetId="13" state="visible" r:id="rId14"/>
    <sheet name="StorytelE" sheetId="14" state="visible" r:id="rId15"/>
    <sheet name="StorytelA" sheetId="15" state="visible" r:id="rId16"/>
    <sheet name="Audioteka" sheetId="16" state="visible" r:id="rId17"/>
    <sheet name="Bookbeat" sheetId="17" state="visible" r:id="rId1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<sst xmlns="http://schemas.openxmlformats.org/spreadsheetml/2006/main" count="2316" uniqueCount="776">
  <si>
    <t xml:space="preserve">Tytuł</t>
  </si>
  <si>
    <t xml:space="preserve">RAZEM</t>
  </si>
  <si>
    <t xml:space="preserve">Histmag (szacunkowy)</t>
  </si>
  <si>
    <t xml:space="preserve">sieci</t>
  </si>
  <si>
    <t xml:space="preserve">Virtualo</t>
  </si>
  <si>
    <t xml:space="preserve">Empik</t>
  </si>
  <si>
    <t xml:space="preserve">Publio</t>
  </si>
  <si>
    <t xml:space="preserve">Legimi</t>
  </si>
  <si>
    <t xml:space="preserve">Nexto</t>
  </si>
  <si>
    <t xml:space="preserve">Woblink</t>
  </si>
  <si>
    <t xml:space="preserve">Azymut</t>
  </si>
  <si>
    <t xml:space="preserve">Ebookpoint</t>
  </si>
  <si>
    <t xml:space="preserve">Nasbi</t>
  </si>
  <si>
    <t xml:space="preserve">Storytel</t>
  </si>
  <si>
    <t xml:space="preserve">Audioteka</t>
  </si>
  <si>
    <t xml:space="preserve">Bookbeat</t>
  </si>
  <si>
    <t xml:space="preserve">kwoty są szacunkowe</t>
  </si>
  <si>
    <t xml:space="preserve">Azja we krwi, Konflikty – zbrodnie – ludobójstwo</t>
  </si>
  <si>
    <t xml:space="preserve">Batoh 1652 – Wiedeń 1683, Od kompromitacji do wiktorii</t>
  </si>
  <si>
    <t xml:space="preserve">Bohaterowie popkultury: od Robin Hooda do Rambo</t>
  </si>
  <si>
    <t xml:space="preserve">Cywilizacja śmierci. Rosyjski kolonializm na Wschodzie</t>
  </si>
  <si>
    <t xml:space="preserve">Cywilizacja śmierci. Rosyjski kolonializm na Wschodzie (audio)</t>
  </si>
  <si>
    <t xml:space="preserve">Czerwone mundury, Armia Brytyjska w czasach wojny o niepodległość USA</t>
  </si>
  <si>
    <t xml:space="preserve">Czy Zygmunt III Waza zasłużył na niesławę?</t>
  </si>
  <si>
    <t xml:space="preserve">Damy wielkiego ekranu: Gwiazdy Hollywood od Audrey Hepburn do Elizabeth Taylor</t>
  </si>
  <si>
    <t xml:space="preserve">Dowody zbrodni, Początki kryminalistyki</t>
  </si>
  <si>
    <t xml:space="preserve">Dowody zbrodni, Początki kryminalistyki (audio)</t>
  </si>
  <si>
    <t xml:space="preserve">Dramat Afganistanu: XIX wiek</t>
  </si>
  <si>
    <t xml:space="preserve">Dramat Afganistanu: XX wiek</t>
  </si>
  <si>
    <t xml:space="preserve">Droga do imperium. Początki Wielkiej Brytanii 1603-1707</t>
  </si>
  <si>
    <t xml:space="preserve">Elita władzy w Królestwie Jerozolimskim</t>
  </si>
  <si>
    <t xml:space="preserve">Gdy Polacy nosili dredy, Kołtun – historia prawdziwa</t>
  </si>
  <si>
    <t xml:space="preserve">Gdy Polacy nosili dredy, Kołtun – historia prawdziwa (audio)</t>
  </si>
  <si>
    <t xml:space="preserve">Gdzie diabeł nie może, Morderczynie i filutki</t>
  </si>
  <si>
    <t xml:space="preserve">Geniusze, nowatorzy i skandaliści polskiej literatury, Od Przybyszewskiego do Gombrowicza</t>
  </si>
  <si>
    <t xml:space="preserve">Geniusze, nowatorzy i skandaliści polskiej literatury, Od Przybyszewskiego do Gombrowicza (audio)</t>
  </si>
  <si>
    <t xml:space="preserve">Gorące lata trzydzieste, Wydarzenia, które wstrząsnęły Rzeczpospolitą</t>
  </si>
  <si>
    <t xml:space="preserve">Gorące lata trzydzieste, Wydarzenia, które wstrząsnęły Rzeczpospolitą (audio)</t>
  </si>
  <si>
    <t xml:space="preserve">Henryk Sienkiewicz jakiego nie znamy</t>
  </si>
  <si>
    <t xml:space="preserve">Hetmani i dowódcy I Rzeczpospolitej</t>
  </si>
  <si>
    <t xml:space="preserve">Hetmani i dowódcy I Rzeczpospolitej, Część II</t>
  </si>
  <si>
    <t xml:space="preserve">Hetmani i dowódcy I Rzeczpospolitej, Część III</t>
  </si>
  <si>
    <t xml:space="preserve">Hetmani i dowódcy I Rzeczpospolitej (audio)</t>
  </si>
  <si>
    <t xml:space="preserve">Historia, Poradnik maturalny</t>
  </si>
  <si>
    <t xml:space="preserve">II wojna światowa wybuchła w Szymankowie</t>
  </si>
  <si>
    <t xml:space="preserve">Inteligenci w bezpiece: Brystygier, Humer, Różański</t>
  </si>
  <si>
    <t xml:space="preserve">Jak świętowali nasi przodkowie? Zapomniane tradycje i zwyczaje</t>
  </si>
  <si>
    <t xml:space="preserve">Jak zabijać, to tylko we Lwowie</t>
  </si>
  <si>
    <t xml:space="preserve">Jak zabijać, to tylko we Lwowie (audio)</t>
  </si>
  <si>
    <t xml:space="preserve">Jedz, pij i popuszczaj pasa, Staropolskie obyczaje i rozrywki</t>
  </si>
  <si>
    <t xml:space="preserve">Jedz, pij i popuszczaj pasa, Staropolskie obyczaje i rozrywki (audio)</t>
  </si>
  <si>
    <t xml:space="preserve">Kobieta w świecie Azteków</t>
  </si>
  <si>
    <t xml:space="preserve">Kobiety króla Kazimierza III Wielkiego</t>
  </si>
  <si>
    <t xml:space="preserve">Kochanki, bastardzi, oszuści, Nieprawe łoża królów Polski: XVI–XVIII wiek</t>
  </si>
  <si>
    <t xml:space="preserve">Kochanki, bastardzi, oszuści, Nieprawe łoża królów Polski: XVI–XVIII wiek (audio)</t>
  </si>
  <si>
    <t xml:space="preserve">Konkwista, W imię Boga, złota i Hiszpanii</t>
  </si>
  <si>
    <t xml:space="preserve">Krwawy Kaukaz: Czeczenia</t>
  </si>
  <si>
    <t xml:space="preserve">Kryminalne Wilno</t>
  </si>
  <si>
    <t xml:space="preserve">Kryminalne Wilno (audio)</t>
  </si>
  <si>
    <t xml:space="preserve">Ludowe Wojsko Polskie w cieniu zimnej wojny</t>
  </si>
  <si>
    <t xml:space="preserve">Ludowe Wojsko Polskie w cieniu zimnej wojny (audio)</t>
  </si>
  <si>
    <t xml:space="preserve">Mit blitzkriegu w Polsce. Dlaczego wciąż utrwalamy niemiecką propagandę?</t>
  </si>
  <si>
    <t xml:space="preserve">Mit blitzkriegu w Polsce. Dlaczego wciąż utrwalamy niemiecką propagandę? (audio)</t>
  </si>
  <si>
    <t xml:space="preserve">Najwięksi skandaliści złotej ery Hollywood</t>
  </si>
  <si>
    <t xml:space="preserve">Oblicza leninizmu</t>
  </si>
  <si>
    <t xml:space="preserve">Oblicza propagandy PRL</t>
  </si>
  <si>
    <t xml:space="preserve">Oblicza propagandy PRL część II</t>
  </si>
  <si>
    <t xml:space="preserve">Oblicza propagandy PRL (audiobook)</t>
  </si>
  <si>
    <t xml:space="preserve">Pastuch panem Rzymu</t>
  </si>
  <si>
    <t xml:space="preserve">Perły imperium brytyjskiego</t>
  </si>
  <si>
    <t xml:space="preserve">Perły imperium brytyjskiego (audiobook)</t>
  </si>
  <si>
    <t xml:space="preserve">Pojedynki, biesiady, modlitwy, Świat średniowiecznych rycerzy</t>
  </si>
  <si>
    <t xml:space="preserve">Pojedynki, biesiady, modlitwy, Świat średniowiecznych rycerzy (audio)</t>
  </si>
  <si>
    <t xml:space="preserve">Polacy na krańcach świata: średniowiecze i nowożytność</t>
  </si>
  <si>
    <t xml:space="preserve">Polacy na krańcach świata: średniowiecze i nowożytność, Część 2</t>
  </si>
  <si>
    <t xml:space="preserve">Polacy na krańcach świata: XIX wiek</t>
  </si>
  <si>
    <t xml:space="preserve">Polacy na krańcach świata: XIX wiek, Część II</t>
  </si>
  <si>
    <t xml:space="preserve">Polacy na krańcach świata: XIX wiek, Część III</t>
  </si>
  <si>
    <t xml:space="preserve">Polacy na krańcach świata: XX wiek</t>
  </si>
  <si>
    <t xml:space="preserve">Polacy na krańcach świata: XX wiek, Część II</t>
  </si>
  <si>
    <t xml:space="preserve">Polowanie na stalowe słonie, Karabiny przeciwpancerne 1917 – 1945</t>
  </si>
  <si>
    <t xml:space="preserve">Polscy Hipokratesi. Najświetniejsi lekarze Rzeczypospolitej</t>
  </si>
  <si>
    <t xml:space="preserve">Polscy Hipokratesi. Najświetniejsi lekarze Rzeczypospolitej (audio)</t>
  </si>
  <si>
    <t xml:space="preserve">Poradnik młodego humanisty, Studia bez tajemnic</t>
  </si>
  <si>
    <t xml:space="preserve">Powaby totalitaryzmu, Zarys historii intelektualnej komunizmu i faszyzmu</t>
  </si>
  <si>
    <t xml:space="preserve">Przewodnik po Polskim Państwie Podziemnym 1939-45</t>
  </si>
  <si>
    <t xml:space="preserve">Seryjni mordercy. Oblicza najstraszniejszych zbrodni</t>
  </si>
  <si>
    <t xml:space="preserve">Sojusznik czy wróg? Relacje polsko-niemieckie w czasach Mieszka I i Bolesława Chrobrego</t>
  </si>
  <si>
    <t xml:space="preserve">Sportowa Warszawa przed I wojną światową</t>
  </si>
  <si>
    <t xml:space="preserve">Sto lat Nosferatu</t>
  </si>
  <si>
    <t xml:space="preserve">Trylogia Sienkiewicza, Historia prawdziwa</t>
  </si>
  <si>
    <t xml:space="preserve">Trylogia Sienkiewicza, Historia prawdziwa (audio)</t>
  </si>
  <si>
    <t xml:space="preserve">Tudorowie. Od Henryka VIII do Elżbiety Wielkiej</t>
  </si>
  <si>
    <t xml:space="preserve">Tudorowie. Od Henryka VIII do Elżbiety Wielkiej (audio)</t>
  </si>
  <si>
    <t xml:space="preserve">Warszawa — miasto grzechu: Prostytucja w II RP</t>
  </si>
  <si>
    <t xml:space="preserve">Warszawa — miasto grzechu: Prostytucja w II RP (audio)</t>
  </si>
  <si>
    <t xml:space="preserve">Wielcy polskiego średniowiecza</t>
  </si>
  <si>
    <t xml:space="preserve">Wielcy zapomniani Dwudziestolecia</t>
  </si>
  <si>
    <t xml:space="preserve">Wielcy zapomniani Dwudziestolecia, Część 2</t>
  </si>
  <si>
    <t xml:space="preserve">Wielcy zapomniani dwudziestolecia, Część 3</t>
  </si>
  <si>
    <t xml:space="preserve">Wikingowie na Rusi</t>
  </si>
  <si>
    <t xml:space="preserve">Wikingowie na Rusi (audio)</t>
  </si>
  <si>
    <t xml:space="preserve">Władza, miłość, zdrada, Życie prywatne brytyjskich władców 1714–1837</t>
  </si>
  <si>
    <t xml:space="preserve">Wojna Jasia, Polski żołnierz w walce z bolszewikami</t>
  </si>
  <si>
    <t xml:space="preserve">Wojna o młodych. Kościół i komuniści w walce o religię w szkołach średnich 1945–1961</t>
  </si>
  <si>
    <t xml:space="preserve">Wojskowość średniowiecznej Rusi</t>
  </si>
  <si>
    <t xml:space="preserve">Wyprawy krzyżowe, Zderzenie dwóch światów</t>
  </si>
  <si>
    <t xml:space="preserve">Wyprawy krzyżowe, Zderzenie dwóch światów (audio)</t>
  </si>
  <si>
    <t xml:space="preserve">Z czego się śmiano w średniowieczu?</t>
  </si>
  <si>
    <t xml:space="preserve">Z czego się śmiano w średniowieczu? (audio)</t>
  </si>
  <si>
    <t xml:space="preserve">Z historią na szlaku, Zabytki w Polsce, które warto zobaczyć</t>
  </si>
  <si>
    <t xml:space="preserve">Z historią na szlaku, Zabytki w Polsce, które warto zobaczyć, Część 2</t>
  </si>
  <si>
    <t xml:space="preserve">Z Miodowej na Bracką, Opowieść powstańca warszawskiego</t>
  </si>
  <si>
    <t xml:space="preserve">Z Miodowej na Bracką, Opowieść powstańca warszawskiego, Część II</t>
  </si>
  <si>
    <t xml:space="preserve">Zapomniani artyści II Rzeczypospolitej</t>
  </si>
  <si>
    <t xml:space="preserve">Zapomniani artyści II Rzeczypospolitej (audio)</t>
  </si>
  <si>
    <t xml:space="preserve">Zrozumieć Polskę szlachecką</t>
  </si>
  <si>
    <t xml:space="preserve">Zrozumieć Polskę szlachecką (audio)</t>
  </si>
  <si>
    <t xml:space="preserve">Źródła nienawiści, Konflikty etniczne w krajach postkomunistycznych</t>
  </si>
  <si>
    <t xml:space="preserve">razem:</t>
  </si>
  <si>
    <t xml:space="preserve">powinno być:</t>
  </si>
  <si>
    <t xml:space="preserve">Histmag: ISBN bez myślników</t>
  </si>
  <si>
    <t xml:space="preserve">Histmag: przychód jako liczba</t>
  </si>
  <si>
    <t xml:space="preserve">Virtualo: ISBN bez myślników</t>
  </si>
  <si>
    <t xml:space="preserve">Empik: ISBN bez myślników</t>
  </si>
  <si>
    <t xml:space="preserve">Publio: ISBN bez myślników</t>
  </si>
  <si>
    <t xml:space="preserve">Publio: przychód jako liczba</t>
  </si>
  <si>
    <t xml:space="preserve">Nexto: ISBN bez myślników</t>
  </si>
  <si>
    <t xml:space="preserve">Nexto: przychód jako liczba</t>
  </si>
  <si>
    <t xml:space="preserve">Azymut: ISBN bez myślników</t>
  </si>
  <si>
    <t xml:space="preserve">Azymut: przychód jako liczba</t>
  </si>
  <si>
    <t xml:space="preserve">Ebookpoint: ISBN</t>
  </si>
  <si>
    <t xml:space="preserve">Nasbi: ISBN</t>
  </si>
  <si>
    <t xml:space="preserve">Storytel (ebooki): egzemplarze</t>
  </si>
  <si>
    <t xml:space="preserve">Storytel (audiobooki): egzemplarze</t>
  </si>
  <si>
    <t xml:space="preserve">Storytel (ebooki):egzemplarze</t>
  </si>
  <si>
    <t xml:space="preserve">Storytel (audiobooki):egzemplarze</t>
  </si>
  <si>
    <t xml:space="preserve">Woblink (dochód z przecinkami)</t>
  </si>
  <si>
    <t xml:space="preserve">Azymut Biblio: ISBN bez myślników</t>
  </si>
  <si>
    <t xml:space="preserve">Audioteka: ISBN bez myślników</t>
  </si>
  <si>
    <t xml:space="preserve">Tytuł produktu</t>
  </si>
  <si>
    <t xml:space="preserve">SKU</t>
  </si>
  <si>
    <t xml:space="preserve">Sprzedane produkty</t>
  </si>
  <si>
    <t xml:space="preserve">Przychód netto</t>
  </si>
  <si>
    <t xml:space="preserve">Zamówienia</t>
  </si>
  <si>
    <t xml:space="preserve">Kategoria</t>
  </si>
  <si>
    <t xml:space="preserve">Warianty</t>
  </si>
  <si>
    <t xml:space="preserve">Jerzy Klimczak –  Seryjni mordercy. Oblicza najstraszniejszych zbrodni (e-book)</t>
  </si>
  <si>
    <t xml:space="preserve">978-83-65156-86-0</t>
  </si>
  <si>
    <t xml:space="preserve">144.9</t>
  </si>
  <si>
    <t xml:space="preserve">Ebooki</t>
  </si>
  <si>
    <t xml:space="preserve">Krzysztof Rozwadowski  – Mit blitzkriegu w Polsce. Dlaczego wciąż utrwalamy niemiecką propagandę? (e-book)</t>
  </si>
  <si>
    <t xml:space="preserve">978-83-65156-82-2</t>
  </si>
  <si>
    <t xml:space="preserve">90.97</t>
  </si>
  <si>
    <t xml:space="preserve">Izabela Śliwińska-Słomska – Trylogia Sienkiewicza. Historia prawdziwa (e-book)</t>
  </si>
  <si>
    <t xml:space="preserve">978-83-65156-55-6</t>
  </si>
  <si>
    <t xml:space="preserve">56.75</t>
  </si>
  <si>
    <t xml:space="preserve">Krzysztof Rozwadowski – Mit blitzkriegu w Polsce. Dlaczego wciąż utrwalamy niemiecką propagandę? (audiobook)</t>
  </si>
  <si>
    <t xml:space="preserve">978-83-65156-85-3</t>
  </si>
  <si>
    <t xml:space="preserve">74.86</t>
  </si>
  <si>
    <t xml:space="preserve">Audiobooki</t>
  </si>
  <si>
    <t xml:space="preserve">Anna Wójciuk  – Jak świętowali nasi przodkowie? Zapomniane tradycje i zwyczaje (e-book)</t>
  </si>
  <si>
    <t xml:space="preserve">978-83-65156-81-5</t>
  </si>
  <si>
    <t xml:space="preserve">56.84</t>
  </si>
  <si>
    <t xml:space="preserve">Sebastian Adamkiewicz - Zrozumieć Polskę szlachecką (e-book)</t>
  </si>
  <si>
    <t xml:space="preserve">978-83-934630-4-6</t>
  </si>
  <si>
    <t xml:space="preserve">17.69</t>
  </si>
  <si>
    <t xml:space="preserve">Paweł Rzewuski – „Wielcy zapomniani dwudziestolecia cz. 1 (e-book)</t>
  </si>
  <si>
    <t xml:space="preserve">978-83-934630-0-8</t>
  </si>
  <si>
    <t xml:space="preserve">12.94</t>
  </si>
  <si>
    <t xml:space="preserve">Marek Groszkowski - Batoh 1652 – Wiedeń 1683. Od kompromitacji do wiktorii (e-book)</t>
  </si>
  <si>
    <t xml:space="preserve">978-83-934630-7-7</t>
  </si>
  <si>
    <t xml:space="preserve">22.16</t>
  </si>
  <si>
    <t xml:space="preserve">Marcin Sałański – Wielcy polskiego średniowiecza (e-book)</t>
  </si>
  <si>
    <t xml:space="preserve">978-83-65156-09-9</t>
  </si>
  <si>
    <t xml:space="preserve">15.07</t>
  </si>
  <si>
    <t xml:space="preserve">Daria Czarnecka – Przewodnik po Polskim Państwie Podziemnym 1939-45 (e-book)</t>
  </si>
  <si>
    <t xml:space="preserve">978-83-65156-27-3</t>
  </si>
  <si>
    <t xml:space="preserve">26.07</t>
  </si>
  <si>
    <t xml:space="preserve">Michał Przeperski – Gorące lata trzydzieste. Wydarzenia, które wstrząsnęły Rzeczpospolitą (e-book)</t>
  </si>
  <si>
    <t xml:space="preserve">978-83-934630-3-9</t>
  </si>
  <si>
    <t xml:space="preserve">19.94</t>
  </si>
  <si>
    <t xml:space="preserve">Jakub Jędrzejski – Hetmani i dowódcy I Rzeczpospolitej (e-book)</t>
  </si>
  <si>
    <t xml:space="preserve">978-83-65156-31-0</t>
  </si>
  <si>
    <t xml:space="preserve">28.37</t>
  </si>
  <si>
    <t xml:space="preserve">Jakub Jędrzejski – Hetmani i dowódcy I Rzeczpospolitej. Część II (e-book)</t>
  </si>
  <si>
    <t xml:space="preserve">978-83-65156-54-9</t>
  </si>
  <si>
    <t xml:space="preserve">Kacper Walczak  – Cywilizacja śmierci. Rosyjski kolonializm na Wschodzie (e-book)</t>
  </si>
  <si>
    <t xml:space="preserve">978-83-65156-75-4</t>
  </si>
  <si>
    <t xml:space="preserve">33.99</t>
  </si>
  <si>
    <t xml:space="preserve">Marcin Sałański - Wyprawy krzyżowe. Zderzenie dwóch światów (audiobook)</t>
  </si>
  <si>
    <t xml:space="preserve">978-83-65156-35-8</t>
  </si>
  <si>
    <t xml:space="preserve">12.42</t>
  </si>
  <si>
    <t xml:space="preserve">Sebastian Adamkiewicz, Karolina Sikała - Matura z historii - poradnik (e-book)</t>
  </si>
  <si>
    <t xml:space="preserve">978-83-62329-98-4</t>
  </si>
  <si>
    <t xml:space="preserve">13.14</t>
  </si>
  <si>
    <t xml:space="preserve">Paweł Rzewuski – Wielcy zapomniani dwudziestolecia cz. 3 (e-book)</t>
  </si>
  <si>
    <t xml:space="preserve">978-83-65156-00-6</t>
  </si>
  <si>
    <t xml:space="preserve">Paweł Rzewuski – Wielcy zapomniani dwudziestolecia cz. 2 (e-book)</t>
  </si>
  <si>
    <t xml:space="preserve">978-83-934630-1-5</t>
  </si>
  <si>
    <t xml:space="preserve">7.32</t>
  </si>
  <si>
    <t xml:space="preserve">Paweł Rzewuski – Warszawa — miasto grzechu: Prostytucja w II RP (e-book)</t>
  </si>
  <si>
    <t xml:space="preserve">978-83-934630-6-0</t>
  </si>
  <si>
    <t xml:space="preserve">15.3</t>
  </si>
  <si>
    <t xml:space="preserve">Paweł Sztama – Inteligenci w bezpiece: Brystygier, Humer, Różański (e-book)</t>
  </si>
  <si>
    <t xml:space="preserve">978-83-65156-14-3</t>
  </si>
  <si>
    <t xml:space="preserve">23.41</t>
  </si>
  <si>
    <t xml:space="preserve">Antoni Olbrychski – Pojedynki, biesiady, modlitwy. Świat średniowiecznych rycerzy (e-book)</t>
  </si>
  <si>
    <t xml:space="preserve">978-83-65156-07-5</t>
  </si>
  <si>
    <t xml:space="preserve">Praca zbiorowa – Źródła nienawiści. Konflikty etniczne w krajach postkomunistycznych – Kosowo, Gruzja, Osetia... (e-book)</t>
  </si>
  <si>
    <t xml:space="preserve">978-83-62329-99-1</t>
  </si>
  <si>
    <t xml:space="preserve">26.56</t>
  </si>
  <si>
    <t xml:space="preserve">Michał Beczek – Wikingowie na Rusi (e-book)</t>
  </si>
  <si>
    <t xml:space="preserve">978-83-65156-37-2</t>
  </si>
  <si>
    <t xml:space="preserve">Anna Wójciuk – Jedz, pij i popuszczaj pasa. Staropolskie obyczaje i rozrywki (e-book)</t>
  </si>
  <si>
    <t xml:space="preserve">978-83-65156-41-9</t>
  </si>
  <si>
    <t xml:space="preserve">15.29</t>
  </si>
  <si>
    <t xml:space="preserve">Michał Gadziński – Tudorowie. Od Henryka VIII do Elżbiety Wielkiej (e-book)</t>
  </si>
  <si>
    <t xml:space="preserve">978-83-65156-43-3</t>
  </si>
  <si>
    <t xml:space="preserve">22.66</t>
  </si>
  <si>
    <t xml:space="preserve">Tomasz Leszkowicz – Ludowe Wojsko Polskie w cieniu zimnej wojny (audiobook)</t>
  </si>
  <si>
    <t xml:space="preserve">978-83-65156-57-0</t>
  </si>
  <si>
    <t xml:space="preserve">23.42</t>
  </si>
  <si>
    <t xml:space="preserve">Jakub Jędrzejski – Hetmani i dowódcy I Rzeczpospolitej. Część III (e-book)</t>
  </si>
  <si>
    <t xml:space="preserve">978-83-65156-58-7</t>
  </si>
  <si>
    <t xml:space="preserve">18.44</t>
  </si>
  <si>
    <t xml:space="preserve">Antoni Olbrychski – Pojedynki, biesiady, modlitwy. Świat średniowiecznych rycerzy (audiobook)</t>
  </si>
  <si>
    <t xml:space="preserve">978-83-65156-70-9</t>
  </si>
  <si>
    <t xml:space="preserve">Michał Gadziński – Perły imperium brytyjskiego (audiobook)</t>
  </si>
  <si>
    <t xml:space="preserve">978-83-65156-84-6</t>
  </si>
  <si>
    <t xml:space="preserve">15.56</t>
  </si>
  <si>
    <t xml:space="preserve">Marek Teler - Zapomniani artyści II Rzeczypospolitej (e-book)</t>
  </si>
  <si>
    <t xml:space="preserve">978-83-65156-30-3</t>
  </si>
  <si>
    <t xml:space="preserve">10.46</t>
  </si>
  <si>
    <t xml:space="preserve">Sebastian Adamkiewicz - Zrozumieć Polskę szlachecką (audiobook)</t>
  </si>
  <si>
    <t xml:space="preserve">978-83-65156-33-4</t>
  </si>
  <si>
    <t xml:space="preserve">Aleksandra Niedźwiedź - Z czego się śmiano w średniowieczu? (e-book)</t>
  </si>
  <si>
    <t xml:space="preserve">978-83-65156-21-1</t>
  </si>
  <si>
    <t xml:space="preserve">7.93</t>
  </si>
  <si>
    <t xml:space="preserve">Marcin Winkowski - Gdy Polacy nosili dredy. Kołtun – historia prawdziwa (e-book)</t>
  </si>
  <si>
    <t xml:space="preserve">978-83-65156-28-0</t>
  </si>
  <si>
    <t xml:space="preserve">Anna Pieńkowska, Maciej Pieńkowski – Czy Zygmunt III Waza zasłużył na niesławę? (e-book)</t>
  </si>
  <si>
    <t xml:space="preserve">978-83-934630-2-2</t>
  </si>
  <si>
    <t xml:space="preserve">Tomasz Leszkowicz – Oblicza propagandy PRL cz. I (e-book)</t>
  </si>
  <si>
    <t xml:space="preserve">978-83-65156-05-1</t>
  </si>
  <si>
    <t xml:space="preserve">11.33</t>
  </si>
  <si>
    <t xml:space="preserve">Mateusz Balcerkiewicz – Wojna Jasia. Polski żołnierz w walce z bolszewikami (e-book)</t>
  </si>
  <si>
    <t xml:space="preserve">978-83-65156-34-1</t>
  </si>
  <si>
    <t xml:space="preserve">Agnieszka Woch – „Geniusze, nowatorzy i skandaliści polskiej literatury. Od Przybyszewskiego do Gombrowicza (e-book)</t>
  </si>
  <si>
    <t xml:space="preserve">978-83-65156-24-2</t>
  </si>
  <si>
    <t xml:space="preserve">Mariusz Samp – Sojusznik czy wróg? Relacje polsko-niemieckie w czasach Mieszka I i Bolesława Chrobrego (e-book)</t>
  </si>
  <si>
    <t xml:space="preserve">978-83-65156-39-6</t>
  </si>
  <si>
    <t xml:space="preserve">Mariusz Gadomski – Jak zabijać, to tylko we Lwowie (e-book)</t>
  </si>
  <si>
    <t xml:space="preserve">978-83-65156-40-2</t>
  </si>
  <si>
    <t xml:space="preserve">Kacper Nowak – Konkwista. W imię Boga, złota i Hiszpanii (e-book)</t>
  </si>
  <si>
    <t xml:space="preserve">978-83-65156-42-6</t>
  </si>
  <si>
    <t xml:space="preserve">16.1</t>
  </si>
  <si>
    <t xml:space="preserve">Praca zbiorowa –  Poradnik młodego humanisty. Studia bez tajemnic (e-book)</t>
  </si>
  <si>
    <t xml:space="preserve">978-83-65156-44-0</t>
  </si>
  <si>
    <t xml:space="preserve">Michał Przeperski – Gorące lata trzydzieste. Wydarzenia, które wstrząsnęły Rzeczpospolitą (audiobook)</t>
  </si>
  <si>
    <t xml:space="preserve">978-83-65156-45-7</t>
  </si>
  <si>
    <t xml:space="preserve">7.52</t>
  </si>
  <si>
    <t xml:space="preserve">Tomasz Leszkowicz – Ludowe Wojsko Polskie w cieniu zimnej wojny (e-book)</t>
  </si>
  <si>
    <t xml:space="preserve">978-83-65156-47-1</t>
  </si>
  <si>
    <t xml:space="preserve">14.19</t>
  </si>
  <si>
    <t xml:space="preserve">Michał Beczek – Wojskowość średniowiecznej Rusi (e-book)</t>
  </si>
  <si>
    <t xml:space="preserve">978-83-65156-50-1</t>
  </si>
  <si>
    <t xml:space="preserve">Konrad Ruzik – Oblicza leninizmu (e-book)</t>
  </si>
  <si>
    <t xml:space="preserve">978-83-65156-51-8</t>
  </si>
  <si>
    <t xml:space="preserve">Natalia Pochroń – Dowody zbrodni. Początki kryminalistyki (e-book)</t>
  </si>
  <si>
    <t xml:space="preserve">978-83-65156-53-2</t>
  </si>
  <si>
    <t xml:space="preserve">Mariusz Gadomski – Kryminalne Wilno (e-book)</t>
  </si>
  <si>
    <t xml:space="preserve">978-83-65156-56-3</t>
  </si>
  <si>
    <t xml:space="preserve">Michał Rastaszański  – Czerwone mundury. Armia Brytyjska w czasach wojny o niepodległość USA (e-book)</t>
  </si>
  <si>
    <t xml:space="preserve">978-83-65156-59-4</t>
  </si>
  <si>
    <t xml:space="preserve">Mateusz Rutkowski – Wojna o młodych. Kościół i komuniści w walce o religię w szkołach średnich 1945–1961 (e-book)</t>
  </si>
  <si>
    <t xml:space="preserve">978-83-65156-61-7</t>
  </si>
  <si>
    <t xml:space="preserve">5.51</t>
  </si>
  <si>
    <t xml:space="preserve">Paweł Burdzyński  – Droga do imperium. Początki Wielkiej Brytanii 1603-1707 (e-book)</t>
  </si>
  <si>
    <t xml:space="preserve">978-83-65156-63-1</t>
  </si>
  <si>
    <t xml:space="preserve">9.84</t>
  </si>
  <si>
    <t xml:space="preserve">Izabela Śliwińska-Słomska – Trylogia Sienkiewicza. Historia prawdziwa (audiobook)</t>
  </si>
  <si>
    <t xml:space="preserve">978-83-65156-64-8</t>
  </si>
  <si>
    <t xml:space="preserve">Małgorzata Król  – Polscy Hipokratesi. Najświetniejsi lekarze Rzeczypospolitej (e-book)</t>
  </si>
  <si>
    <t xml:space="preserve">978-83-65156-65-5</t>
  </si>
  <si>
    <t xml:space="preserve">Łukasz Ścisłowicz  – Pastuch panem Rzymu (e-book)</t>
  </si>
  <si>
    <t xml:space="preserve">978-83-65156-67-9</t>
  </si>
  <si>
    <t xml:space="preserve">7.36</t>
  </si>
  <si>
    <t xml:space="preserve">Aleksandra Pawłowska (z d. Niedźwiedź) – Z czego się śmiano w średniowieczu? (audiobook)</t>
  </si>
  <si>
    <t xml:space="preserve">978-83-65156-68-6</t>
  </si>
  <si>
    <t xml:space="preserve">7.37</t>
  </si>
  <si>
    <t xml:space="preserve">Michał Beczek – Wikingowie na Rusi (audiobook)</t>
  </si>
  <si>
    <t xml:space="preserve">978-83-65156-72-3</t>
  </si>
  <si>
    <t xml:space="preserve">Jakub Jędrzejski – Hetmani i dowódcy I Rzeczpospolitej (audiobook)</t>
  </si>
  <si>
    <t xml:space="preserve">978-83-65156-79-2</t>
  </si>
  <si>
    <t xml:space="preserve">Anna Wójciuk – Jedz, pij i popuszczaj pasa. Staropolskie obyczaje i rozrywki (audiobook)</t>
  </si>
  <si>
    <t xml:space="preserve">978-83-65156-83-9</t>
  </si>
  <si>
    <t xml:space="preserve">Małgorzata Król – Polscy Hipokratesi. Najświetniejsi lekarze Rzeczypospolitej (audiobook)</t>
  </si>
  <si>
    <t xml:space="preserve">978-83-65156-87-7</t>
  </si>
  <si>
    <t xml:space="preserve">Lp</t>
  </si>
  <si>
    <t xml:space="preserve">Id</t>
  </si>
  <si>
    <t xml:space="preserve">Autorzy</t>
  </si>
  <si>
    <t xml:space="preserve">ID wyd.</t>
  </si>
  <si>
    <t xml:space="preserve">Imprint</t>
  </si>
  <si>
    <t xml:space="preserve">ISBN</t>
  </si>
  <si>
    <t xml:space="preserve">Formaty</t>
  </si>
  <si>
    <t xml:space="preserve">Typ</t>
  </si>
  <si>
    <t xml:space="preserve">Cena                 katalogowa                 netto</t>
  </si>
  <si>
    <t xml:space="preserve">Cena                 katalogowa                 brutto</t>
  </si>
  <si>
    <t xml:space="preserve">L.</t>
  </si>
  <si>
    <t xml:space="preserve">Sprzedaż                 netto</t>
  </si>
  <si>
    <t xml:space="preserve">Sprzedaż                 brutto</t>
  </si>
  <si>
    <t xml:space="preserve">Marża                 %</t>
  </si>
  <si>
    <t xml:space="preserve">Marża                 netto</t>
  </si>
  <si>
    <t xml:space="preserve">VAT                 %</t>
  </si>
  <si>
    <t xml:space="preserve">Marża                 VAT</t>
  </si>
  <si>
    <t xml:space="preserve">Marża                 brutto</t>
  </si>
  <si>
    <t xml:space="preserve">Geniusze, nowatorzy i skandaliści polskiej literatury. Od Przybyszewskiego do Gombrowicza</t>
  </si>
  <si>
    <t xml:space="preserve">Agnieszka Woch</t>
  </si>
  <si>
    <t xml:space="preserve">978-83-65156-71-6</t>
  </si>
  <si>
    <t xml:space="preserve">MP3</t>
  </si>
  <si>
    <t xml:space="preserve">Michał Beczek</t>
  </si>
  <si>
    <t xml:space="preserve">EPUB</t>
  </si>
  <si>
    <t xml:space="preserve">Małgorzata Król</t>
  </si>
  <si>
    <t xml:space="preserve">Konkwista. W imię Boga, złota i Hiszpanii</t>
  </si>
  <si>
    <t xml:space="preserve">Kacper Nowak</t>
  </si>
  <si>
    <t xml:space="preserve">Marek Teler</t>
  </si>
  <si>
    <t xml:space="preserve">978-83-65156-49-5</t>
  </si>
  <si>
    <t xml:space="preserve">Dowody zbrodni. Początki kryminalistyki</t>
  </si>
  <si>
    <t xml:space="preserve">Natalia Pochroń</t>
  </si>
  <si>
    <t xml:space="preserve">Jerzy Klimczak</t>
  </si>
  <si>
    <t xml:space="preserve">Trylogia Sienkiewicza. Historia prawdziwa</t>
  </si>
  <si>
    <t xml:space="preserve">Izabela Śliwińska-Słomska</t>
  </si>
  <si>
    <t xml:space="preserve">Paweł Sztama</t>
  </si>
  <si>
    <t xml:space="preserve">Sto lat Nosferatu. Historia wampirów na ekranie</t>
  </si>
  <si>
    <t xml:space="preserve">Weronika Kulczewska-Rastaszańska</t>
  </si>
  <si>
    <t xml:space="preserve">978-83-65156-60-0</t>
  </si>
  <si>
    <t xml:space="preserve">PDF</t>
  </si>
  <si>
    <t xml:space="preserve">Tomasz Leszkowicz</t>
  </si>
  <si>
    <t xml:space="preserve">978-83-65156-74-7</t>
  </si>
  <si>
    <t xml:space="preserve">Powaby totalitaryzmu. Zarys historii intelektualnej komunizmu i faszyzmu</t>
  </si>
  <si>
    <t xml:space="preserve">Mateusz Kuryła</t>
  </si>
  <si>
    <t xml:space="preserve">978-83-65156-23-5</t>
  </si>
  <si>
    <t xml:space="preserve">MOBI</t>
  </si>
  <si>
    <t xml:space="preserve">Polowanie na stalowe słonie. Karabiny przeciwpancerne 1917 – 1945</t>
  </si>
  <si>
    <t xml:space="preserve">Łukasz Męczykowski</t>
  </si>
  <si>
    <t xml:space="preserve">978-83-934630-9-1</t>
  </si>
  <si>
    <t xml:space="preserve">Pojedynki, biesiady, modlitwy. Świat średniowiecznych rycerzy</t>
  </si>
  <si>
    <t xml:space="preserve">Antoni Olbrychski</t>
  </si>
  <si>
    <t xml:space="preserve">Audio</t>
  </si>
  <si>
    <t xml:space="preserve">Format</t>
  </si>
  <si>
    <t xml:space="preserve">Model rozliczenia</t>
  </si>
  <si>
    <t xml:space="preserve">Próg rozliczeniowy</t>
  </si>
  <si>
    <t xml:space="preserve">Stawka netto</t>
  </si>
  <si>
    <t xml:space="preserve">Stawka rev share / biblioteczny %</t>
  </si>
  <si>
    <t xml:space="preserve">Długość produktu</t>
  </si>
  <si>
    <t xml:space="preserve">Ilość</t>
  </si>
  <si>
    <t xml:space="preserve">Wynagrodzenie wyd. netto</t>
  </si>
  <si>
    <t xml:space="preserve">978-83-65156-80-8</t>
  </si>
  <si>
    <t xml:space="preserve">Klasyczny</t>
  </si>
  <si>
    <t xml:space="preserve">III próg</t>
  </si>
  <si>
    <t xml:space="preserve">-</t>
  </si>
  <si>
    <t xml:space="preserve">II próg</t>
  </si>
  <si>
    <t xml:space="preserve">I próg</t>
  </si>
  <si>
    <t xml:space="preserve">Gdy Polacy nosili dredy. Kołtun – historia prawdziwa</t>
  </si>
  <si>
    <t xml:space="preserve">978-83-65156-76-1</t>
  </si>
  <si>
    <t xml:space="preserve">Gdzie diabeł nie może. Morderczynie i filutki</t>
  </si>
  <si>
    <t xml:space="preserve">978-83-65156-46-4</t>
  </si>
  <si>
    <t xml:space="preserve">Gorące lata trzydzieste. Wydarzenia, które wstrząsnęły Rzeczpospolitą</t>
  </si>
  <si>
    <t xml:space="preserve">978-83-65156-73-0</t>
  </si>
  <si>
    <t xml:space="preserve">Jedz, pij i popuszczaj pasa. Staropolskie obyczaje i rozrywki</t>
  </si>
  <si>
    <t xml:space="preserve">Kochanki, bastardzi, oszuści. Nieprawe łoża królów Polski: XVI–XVIII wiek</t>
  </si>
  <si>
    <t xml:space="preserve">978-83-65156-12-9</t>
  </si>
  <si>
    <t xml:space="preserve">978-83-65156-32-7</t>
  </si>
  <si>
    <t xml:space="preserve">978-83-65156-77-8</t>
  </si>
  <si>
    <t xml:space="preserve">978-83-65156-78-5</t>
  </si>
  <si>
    <t xml:space="preserve">Wyprawy krzyżowe. Zderzenie dwóch światów</t>
  </si>
  <si>
    <t xml:space="preserve">978-83-934630-5-3</t>
  </si>
  <si>
    <t xml:space="preserve">Władza, miłość, zdrada. Życie prywatne brytyjskich władców 1714–1837</t>
  </si>
  <si>
    <t xml:space="preserve">978-83-65156-52-5</t>
  </si>
  <si>
    <t xml:space="preserve">X za Y</t>
  </si>
  <si>
    <t xml:space="preserve">AYCE</t>
  </si>
  <si>
    <t xml:space="preserve">5.00</t>
  </si>
  <si>
    <t xml:space="preserve">7.00</t>
  </si>
  <si>
    <t xml:space="preserve">9.00</t>
  </si>
  <si>
    <t xml:space="preserve">AYCE EBOOK</t>
  </si>
  <si>
    <t xml:space="preserve">Revenue Share</t>
  </si>
  <si>
    <t xml:space="preserve">0s</t>
  </si>
  <si>
    <t xml:space="preserve">Biblioteczny</t>
  </si>
  <si>
    <t xml:space="preserve">BB</t>
  </si>
  <si>
    <t xml:space="preserve">ST</t>
  </si>
  <si>
    <t xml:space="preserve">AU</t>
  </si>
  <si>
    <t xml:space="preserve">Numer zamówienia</t>
  </si>
  <si>
    <t xml:space="preserve">Data zamówienia</t>
  </si>
  <si>
    <t xml:space="preserve">Data płatności</t>
  </si>
  <si>
    <t xml:space="preserve">Id produktu (identyfikator Agory)</t>
  </si>
  <si>
    <t xml:space="preserve">Id produktu (identyfikator Wydawcy)</t>
  </si>
  <si>
    <t xml:space="preserve">Podtytuł</t>
  </si>
  <si>
    <t xml:space="preserve">ISBN/ISSN/ISMN</t>
  </si>
  <si>
    <t xml:space="preserve">Typ produktu</t>
  </si>
  <si>
    <t xml:space="preserve">Sugerowana cena detaliczna netto sprzedaży</t>
  </si>
  <si>
    <t xml:space="preserve">Sugerowana cena detaliczna brutto sprzedaży</t>
  </si>
  <si>
    <t xml:space="preserve">Rabat od sugerowanej ceny detalicznej netto sprzedaży dla Agory [%]</t>
  </si>
  <si>
    <t xml:space="preserve">Vat[%]</t>
  </si>
  <si>
    <t xml:space="preserve">Liczba sprzedanych egzemplarzy</t>
  </si>
  <si>
    <t xml:space="preserve">Kwota dla wydawcy netto</t>
  </si>
  <si>
    <t xml:space="preserve">Wartość VAT</t>
  </si>
  <si>
    <t xml:space="preserve">Kwota dla wydawcy brutto</t>
  </si>
  <si>
    <t xml:space="preserve">Wydawca</t>
  </si>
  <si>
    <t xml:space="preserve">Zakres dat</t>
  </si>
  <si>
    <t xml:space="preserve">ZAM-50626672771</t>
  </si>
  <si>
    <t xml:space="preserve">Trylogia Sienkiewicza: Historia prawdziwa</t>
  </si>
  <si>
    <t xml:space="preserve">978-83-651-5655-6</t>
  </si>
  <si>
    <t xml:space="preserve">(Zakup publikacji)</t>
  </si>
  <si>
    <t xml:space="preserve">e-booki</t>
  </si>
  <si>
    <t xml:space="preserve">Język, literatura, kultura</t>
  </si>
  <si>
    <t xml:space="preserve">Histmag</t>
  </si>
  <si>
    <t xml:space="preserve">2025.12.01 do 2025.12.31</t>
  </si>
  <si>
    <t xml:space="preserve">ZAM-10628085167</t>
  </si>
  <si>
    <t xml:space="preserve">978-83-651-5637-2</t>
  </si>
  <si>
    <t xml:space="preserve">Historia</t>
  </si>
  <si>
    <t xml:space="preserve">Wyprawy krzyżowe</t>
  </si>
  <si>
    <t xml:space="preserve">Zderzenie dwóch światów</t>
  </si>
  <si>
    <t xml:space="preserve">978-839-346-305-3</t>
  </si>
  <si>
    <t xml:space="preserve">Historia powszechna</t>
  </si>
  <si>
    <t xml:space="preserve">ZAM-60629063965</t>
  </si>
  <si>
    <t xml:space="preserve">Mit blitzkriegu w Polsce</t>
  </si>
  <si>
    <t xml:space="preserve">Dlaczego wciąż utrwalamy niemiecką propagandę?</t>
  </si>
  <si>
    <t xml:space="preserve">978-83-651-5682-2</t>
  </si>
  <si>
    <t xml:space="preserve">II wojna światowa</t>
  </si>
  <si>
    <t xml:space="preserve">ZAM-70629093764</t>
  </si>
  <si>
    <t xml:space="preserve">Jedz, pij i popuszczaj pasa</t>
  </si>
  <si>
    <t xml:space="preserve">Staropolskie obyczaje i rozrywki</t>
  </si>
  <si>
    <t xml:space="preserve">978-83-651-5641-9</t>
  </si>
  <si>
    <t xml:space="preserve">ZAM-50629195561</t>
  </si>
  <si>
    <t xml:space="preserve">ZAM-60630367764</t>
  </si>
  <si>
    <t xml:space="preserve">978-83-651-5685-3</t>
  </si>
  <si>
    <t xml:space="preserve">audiobooki</t>
  </si>
  <si>
    <t xml:space="preserve">ZAM-50630424368</t>
  </si>
  <si>
    <t xml:space="preserve">ZAM-70630555763</t>
  </si>
  <si>
    <t xml:space="preserve">978-83-651-5611-2</t>
  </si>
  <si>
    <t xml:space="preserve">ZAM-70630905964</t>
  </si>
  <si>
    <t xml:space="preserve">ZAM-50630742563</t>
  </si>
  <si>
    <t xml:space="preserve">Warszawa – miasto grzechu. Prostytucja w II RP</t>
  </si>
  <si>
    <t xml:space="preserve">978-83-651-5613-6</t>
  </si>
  <si>
    <t xml:space="preserve">II Rzeczpospolita Polska</t>
  </si>
  <si>
    <t xml:space="preserve">ZAM-70631940366</t>
  </si>
  <si>
    <t xml:space="preserve">978-83-651-5638-9</t>
  </si>
  <si>
    <t xml:space="preserve">ZAM-90631960365</t>
  </si>
  <si>
    <t xml:space="preserve">Seryjni mordercy</t>
  </si>
  <si>
    <t xml:space="preserve">Oblicza najstraszniejszych zbrodni</t>
  </si>
  <si>
    <t xml:space="preserve">978-83-651-5686-0</t>
  </si>
  <si>
    <t xml:space="preserve">Reportaże</t>
  </si>
  <si>
    <t xml:space="preserve">ZAM-70632155361</t>
  </si>
  <si>
    <t xml:space="preserve">ZAM-00632535360</t>
  </si>
  <si>
    <t xml:space="preserve">ZAM-40633177968</t>
  </si>
  <si>
    <t xml:space="preserve">ZAM-80633695774</t>
  </si>
  <si>
    <t xml:space="preserve">ZAM-30633138364</t>
  </si>
  <si>
    <t xml:space="preserve">ZAM-00634252762</t>
  </si>
  <si>
    <t xml:space="preserve">Polscy Hipokratesi</t>
  </si>
  <si>
    <t xml:space="preserve">Najświetniejsi lekarze Rzeczypospolitej</t>
  </si>
  <si>
    <t xml:space="preserve">978-83-651-5687-7</t>
  </si>
  <si>
    <t xml:space="preserve">Lista książek</t>
  </si>
  <si>
    <t xml:space="preserve">Od: 01.12.2025 Do: 31.12.2025, Typ sprzedaży: Wszystko</t>
  </si>
  <si>
    <t xml:space="preserve">Typ sprzedaży</t>
  </si>
  <si>
    <t xml:space="preserve">Liczba</t>
  </si>
  <si>
    <t xml:space="preserve">Wynagrodzenie netto</t>
  </si>
  <si>
    <t xml:space="preserve">Wynagrodzenie brutto</t>
  </si>
  <si>
    <t xml:space="preserve">epub, mobi, pdf</t>
  </si>
  <si>
    <t xml:space="preserve">Katalog bez limitu</t>
  </si>
  <si>
    <t xml:space="preserve">Kochanki, bastardzi, oszuści. Nieprawe łoża królów Polski</t>
  </si>
  <si>
    <t xml:space="preserve">Z historią na szlaku. Zabytki w Polsce, które warto zobaczyć. Część 2</t>
  </si>
  <si>
    <t xml:space="preserve">audiobook</t>
  </si>
  <si>
    <t xml:space="preserve">Razem</t>
  </si>
  <si>
    <t xml:space="preserve">Dostawca raportu: e-Kiosk S.A.</t>
  </si>
  <si>
    <t xml:space="preserve">Wydawca:</t>
  </si>
  <si>
    <t xml:space="preserve">HISTMAG.ORG</t>
  </si>
  <si>
    <t xml:space="preserve">Raport ze sprzedaży agencyjnej w ramach serwisu Nexto</t>
  </si>
  <si>
    <t xml:space="preserve">Dane obejmują sprzedaż w okresie:</t>
  </si>
  <si>
    <t xml:space="preserve">XII-25</t>
  </si>
  <si>
    <t xml:space="preserve">Kwota rozliczenia na fakturze dla e-Kiosk S.A. (netto):</t>
  </si>
  <si>
    <t xml:space="preserve">Kwota rozliczenia na fakturze dla e-Kiosk S.A. (brutto):</t>
  </si>
  <si>
    <t xml:space="preserve">Raport sprzedaży - Nexto</t>
  </si>
  <si>
    <t xml:space="preserve">Kartoteka</t>
  </si>
  <si>
    <t xml:space="preserve">Dane podstawowe</t>
  </si>
  <si>
    <t xml:space="preserve">Marża NEXTO (rabaty za 1 szt.)</t>
  </si>
  <si>
    <t xml:space="preserve">Kwota do rozliczenia na Fakturze VAT</t>
  </si>
  <si>
    <t xml:space="preserve">Dostawca</t>
  </si>
  <si>
    <t xml:space="preserve">ISSN/ISBN</t>
  </si>
  <si>
    <t xml:space="preserve">Id tytułu</t>
  </si>
  <si>
    <t xml:space="preserve">Nr wydania</t>
  </si>
  <si>
    <t xml:space="preserve">Kod Wydania</t>
  </si>
  <si>
    <t xml:space="preserve">Sprzedawany jako aktualny od</t>
  </si>
  <si>
    <t xml:space="preserve">Rodzaj zakupu</t>
  </si>
  <si>
    <t xml:space="preserve">Źródło</t>
  </si>
  <si>
    <t xml:space="preserve">Cena katalogowa netto</t>
  </si>
  <si>
    <t xml:space="preserve">Cena katalogowa brutto</t>
  </si>
  <si>
    <t xml:space="preserve">Marża %</t>
  </si>
  <si>
    <t xml:space="preserve">Wartość rabatu za 1 szt. (netto)</t>
  </si>
  <si>
    <t xml:space="preserve">Cena 1 szt. po rabacie (netto)</t>
  </si>
  <si>
    <t xml:space="preserve">Netto</t>
  </si>
  <si>
    <t xml:space="preserve">SV (%)</t>
  </si>
  <si>
    <t xml:space="preserve">VAT</t>
  </si>
  <si>
    <t xml:space="preserve">Brutto</t>
  </si>
  <si>
    <t xml:space="preserve">Gdy Polacy nosili dredy. Kołtun - historia prawdziwa</t>
  </si>
  <si>
    <t xml:space="preserve">1 egzemplarz</t>
  </si>
  <si>
    <t xml:space="preserve">978-83-65156-20-4</t>
  </si>
  <si>
    <t xml:space="preserve">Razem:</t>
  </si>
  <si>
    <t xml:space="preserve">Raport sprzedaży - Prenumeraty cykliczne</t>
  </si>
  <si>
    <t xml:space="preserve">Początek prenumeraty</t>
  </si>
  <si>
    <t xml:space="preserve">Koniec prenumeraty</t>
  </si>
  <si>
    <t xml:space="preserve">Cena katalogowa za 1 szt. netto</t>
  </si>
  <si>
    <t xml:space="preserve">Cena katalogowa za 1 szt. brutto</t>
  </si>
  <si>
    <t xml:space="preserve">zł-</t>
  </si>
  <si>
    <t xml:space="preserve">Typ rozliczenia</t>
  </si>
  <si>
    <t xml:space="preserve">Raport sprzedaży za okres:</t>
  </si>
  <si>
    <t xml:space="preserve">Data transakcji</t>
  </si>
  <si>
    <t xml:space="preserve">Autor</t>
  </si>
  <si>
    <t xml:space="preserve">Cena sprzedaży</t>
  </si>
  <si>
    <t xml:space="preserve">Cena netto</t>
  </si>
  <si>
    <t xml:space="preserve">Wynagrodzenie wydawcy netto</t>
  </si>
  <si>
    <t xml:space="preserve">Transakcja zakończona</t>
  </si>
  <si>
    <t xml:space="preserve">Cykl rozliczeniowy</t>
  </si>
  <si>
    <t xml:space="preserve">Rozliczenie dotyczy okresu</t>
  </si>
  <si>
    <t xml:space="preserve">Data aneksu</t>
  </si>
  <si>
    <t xml:space="preserve">Typ transakcji</t>
  </si>
  <si>
    <t xml:space="preserve">Uznanie_data transakcji korygowanej</t>
  </si>
  <si>
    <t xml:space="preserve">Indeks zewnętrzny</t>
  </si>
  <si>
    <t xml:space="preserve">Kolumna1</t>
  </si>
  <si>
    <t xml:space="preserve">2025-11-01__2025-11-30</t>
  </si>
  <si>
    <t xml:space="preserve">detal</t>
  </si>
  <si>
    <t xml:space="preserve">ebook</t>
  </si>
  <si>
    <t xml:space="preserve">Warszawa - miasto grzechu. Prostytucja w II RP</t>
  </si>
  <si>
    <t xml:space="preserve">Opis</t>
  </si>
  <si>
    <t xml:space="preserve">Symbol</t>
  </si>
  <si>
    <t xml:space="preserve">Typ_dostepu</t>
  </si>
  <si>
    <t xml:space="preserve">JM</t>
  </si>
  <si>
    <t xml:space="preserve">Cena</t>
  </si>
  <si>
    <t xml:space="preserve">%</t>
  </si>
  <si>
    <t xml:space="preserve">Wartość</t>
  </si>
  <si>
    <t xml:space="preserve">SMS</t>
  </si>
  <si>
    <t xml:space="preserve">Cena po rab.</t>
  </si>
  <si>
    <t xml:space="preserve">SV</t>
  </si>
  <si>
    <t xml:space="preserve">Data</t>
  </si>
  <si>
    <t xml:space="preserve">Indeks_obcy</t>
  </si>
  <si>
    <t xml:space="preserve">71D8EF87AB</t>
  </si>
  <si>
    <t xml:space="preserve">978-83-65156-62-4</t>
  </si>
  <si>
    <t xml:space="preserve">DL-nowm</t>
  </si>
  <si>
    <t xml:space="preserve">szt.</t>
  </si>
  <si>
    <t xml:space="preserve">18.95</t>
  </si>
  <si>
    <t xml:space="preserve">7.58</t>
  </si>
  <si>
    <t xml:space="preserve">11.37</t>
  </si>
  <si>
    <t xml:space="preserve">0.57</t>
  </si>
  <si>
    <t xml:space="preserve">11.94</t>
  </si>
  <si>
    <t xml:space="preserve">2A82F6DBEB</t>
  </si>
  <si>
    <t xml:space="preserve">DL-nodrm</t>
  </si>
  <si>
    <t xml:space="preserve">118B7140EB</t>
  </si>
  <si>
    <t xml:space="preserve">E36D516AEB</t>
  </si>
  <si>
    <t xml:space="preserve">5.68</t>
  </si>
  <si>
    <t xml:space="preserve">8.51</t>
  </si>
  <si>
    <t xml:space="preserve">0.43</t>
  </si>
  <si>
    <t xml:space="preserve">8.94</t>
  </si>
  <si>
    <t xml:space="preserve">Raport rozliczeniowy za sprzeda� na platformie ebookpoint.pl za miesi�c 2025-12</t>
  </si>
  <si>
    <t xml:space="preserve">Prosimy o wystawienie faktury na kwot� 1356,13 z� netto (1423,93 z� brutto)</t>
  </si>
  <si>
    <t xml:space="preserve">o tre�ci:</t>
  </si>
  <si>
    <t xml:space="preserve">sprzeda� ebook�w na platformie ebookpoint.pl za miesi�c 2025-12</t>
  </si>
  <si>
    <t xml:space="preserve">dla:</t>
  </si>
  <si>
    <t xml:space="preserve">helion.pl Sp z o.o.</t>
  </si>
  <si>
    <t xml:space="preserve">ul. Ko�ciuszki 1C, 44-100 Gliwice</t>
  </si>
  <si>
    <t xml:space="preserve">NIP: 6312636254</t>
  </si>
  <si>
    <t xml:space="preserve">Prosimy o przes�anie jej za pomoc� formularza na stronie:</t>
  </si>
  <si>
    <t xml:space="preserve">https://ebookpoint.pl/eps/fv/3ufy37g2xxjj82hwby57</t>
  </si>
  <si>
    <t xml:space="preserve">Przes�anie faktury za pomoc� wskazanego adresu umo�liwi jej szybk� identyfikacj� i przyspieszy realizacj� p�atno�ci.</t>
  </si>
  <si>
    <t xml:space="preserve">id</t>
  </si>
  <si>
    <t xml:space="preserve">tytul</t>
  </si>
  <si>
    <t xml:space="preserve">wydawca</t>
  </si>
  <si>
    <t xml:space="preserve">imprint</t>
  </si>
  <si>
    <t xml:space="preserve">isbn</t>
  </si>
  <si>
    <t xml:space="preserve">liczba</t>
  </si>
  <si>
    <t xml:space="preserve">sugerowana cena netto</t>
  </si>
  <si>
    <t xml:space="preserve">sugerowana cena brutto</t>
  </si>
  <si>
    <t xml:space="preserve">cena netto sprzedazy</t>
  </si>
  <si>
    <t xml:space="preserve">cena brutto sprzedazy</t>
  </si>
  <si>
    <t xml:space="preserve">prowizja ebookpoint.pl</t>
  </si>
  <si>
    <t xml:space="preserve">cena netto po prowizji</t>
  </si>
  <si>
    <t xml:space="preserve">wartosc netto</t>
  </si>
  <si>
    <t xml:space="preserve">vat</t>
  </si>
  <si>
    <t xml:space="preserve">wartosc brutto</t>
  </si>
  <si>
    <t xml:space="preserve">promo</t>
  </si>
  <si>
    <t xml:space="preserve">ksID wydawcy</t>
  </si>
  <si>
    <t xml:space="preserve">kanal dystrybucji</t>
  </si>
  <si>
    <t xml:space="preserve">E_0D47_E</t>
  </si>
  <si>
    <t xml:space="preserve">Per�y imperium brytyjskiego</t>
  </si>
  <si>
    <t xml:space="preserve">HISTMAG</t>
  </si>
  <si>
    <t xml:space="preserve">978-8-3651-5611-2</t>
  </si>
  <si>
    <t xml:space="preserve">GRUPA HELION</t>
  </si>
  <si>
    <t xml:space="preserve">E_0HJL_E</t>
  </si>
  <si>
    <t xml:space="preserve">Kochanki, bastardzi, oszu�ci. Nieprawe �o�a kr�l�w Polski: XVI-XVIII wiek</t>
  </si>
  <si>
    <t xml:space="preserve">978-8-3651-5612-9</t>
  </si>
  <si>
    <t xml:space="preserve">E_0L5G_E</t>
  </si>
  <si>
    <t xml:space="preserve">Inteligenci w bezpiece: Brystygier, Humer, R�a�ski</t>
  </si>
  <si>
    <t xml:space="preserve">978-8-3651-5614-3</t>
  </si>
  <si>
    <t xml:space="preserve">E_0LE4_E</t>
  </si>
  <si>
    <t xml:space="preserve">Sportowa Warszawa przed I wojn� �wiatow�</t>
  </si>
  <si>
    <t xml:space="preserve">978-8-3651-5615-0</t>
  </si>
  <si>
    <t xml:space="preserve">ALLEGRO</t>
  </si>
  <si>
    <t xml:space="preserve">E_0V04_E</t>
  </si>
  <si>
    <t xml:space="preserve">978-8-3934-6300-8</t>
  </si>
  <si>
    <t xml:space="preserve">E_0V0F_E</t>
  </si>
  <si>
    <t xml:space="preserve">Polacy na kra�cach �wiata: XIX wiek</t>
  </si>
  <si>
    <t xml:space="preserve">978-8-3651-5601-3</t>
  </si>
  <si>
    <t xml:space="preserve">E_0YLL_E</t>
  </si>
  <si>
    <t xml:space="preserve">E_1R8N_E</t>
  </si>
  <si>
    <t xml:space="preserve">E_1RTF_E</t>
  </si>
  <si>
    <t xml:space="preserve">II wojna �wiatowa wybuch�a w Szymankowie</t>
  </si>
  <si>
    <t xml:space="preserve">978-83-65156-38-9</t>
  </si>
  <si>
    <t xml:space="preserve">E_1WDM_E</t>
  </si>
  <si>
    <t xml:space="preserve">E_2V0P_E</t>
  </si>
  <si>
    <t xml:space="preserve">Indywidualnie ustalona prowizja</t>
  </si>
  <si>
    <t xml:space="preserve">E_3C0U_E</t>
  </si>
  <si>
    <t xml:space="preserve">Sto lat Nosferatu. Historia wampir�w na ekranie</t>
  </si>
  <si>
    <t xml:space="preserve">E_3OZX_3</t>
  </si>
  <si>
    <t xml:space="preserve">Dowody zbrodni. Pocz�tki kryminalistyki</t>
  </si>
  <si>
    <t xml:space="preserve">E_3RAB_3</t>
  </si>
  <si>
    <t xml:space="preserve">E_43KP_3</t>
  </si>
  <si>
    <t xml:space="preserve">Geniusze, nowatorzy i skandali�ci polskiej literatury. Od Przybyszewskiego do Gombrowicza</t>
  </si>
  <si>
    <t xml:space="preserve">E_45YQ_E</t>
  </si>
  <si>
    <t xml:space="preserve">Cywilizacja �mierci. Rosyjski kolonializm na Wschodzie</t>
  </si>
  <si>
    <t xml:space="preserve">E_49UU_3</t>
  </si>
  <si>
    <t xml:space="preserve">Tudorowie. Od Henryka VIII do El�biety Wielkiej</t>
  </si>
  <si>
    <t xml:space="preserve">PROMOHISTORIA [Histmag.org]</t>
  </si>
  <si>
    <t xml:space="preserve">E_4HCO_E</t>
  </si>
  <si>
    <t xml:space="preserve">Jak �wi�towali nasi przodkowie? Zapomniane tradycje i zwyczaje</t>
  </si>
  <si>
    <t xml:space="preserve">E_4IUZ_E</t>
  </si>
  <si>
    <t xml:space="preserve">Mit blitzkriegu w Polsce. Dlaczego wci�� utrwalamy niemieck� propagand�?</t>
  </si>
  <si>
    <t xml:space="preserve">E_4K8G_3</t>
  </si>
  <si>
    <t xml:space="preserve">E_4NAL_3</t>
  </si>
  <si>
    <t xml:space="preserve">E_4PQT_E</t>
  </si>
  <si>
    <t xml:space="preserve">Raport rozliczeniowy za sprzeda� na platformie ebookpoint BIBLIO (nasbi.pl) za miesi�c 2025-12</t>
  </si>
  <si>
    <t xml:space="preserve">Prosimy o wystawienie faktury na kwot� 23,04 z� netto</t>
  </si>
  <si>
    <t xml:space="preserve">wypo�yczenia ebook�w na platformie ebookpoint BIBLIO (nasbi.pl) za miesi�c 2025-12</t>
  </si>
  <si>
    <t xml:space="preserve">https://ebookpoint.pl/eps/fv/gffjrqnqcshg8r2zed2b</t>
  </si>
  <si>
    <t xml:space="preserve">prowizja ebookpoint BIBLIO</t>
  </si>
  <si>
    <t xml:space="preserve">E_3OZX_U</t>
  </si>
  <si>
    <t xml:space="preserve">Dowody zbrodni. Pocz�tki kryminalistyki - audiobook - licencja</t>
  </si>
  <si>
    <t xml:space="preserve">E_4DRL_U</t>
  </si>
  <si>
    <t xml:space="preserve">Hetmani i dow�dcy I Rzeczpospolitej</t>
  </si>
  <si>
    <t xml:space="preserve">Author(s)</t>
  </si>
  <si>
    <t xml:space="preserve">EBook Title</t>
  </si>
  <si>
    <t xml:space="preserve">Pool</t>
  </si>
  <si>
    <t xml:space="preserve">Country</t>
  </si>
  <si>
    <t xml:space="preserve">Price model</t>
  </si>
  <si>
    <t xml:space="preserve">Quantity/no. of units</t>
  </si>
  <si>
    <t xml:space="preserve">Net receipts per hour (local currency)</t>
  </si>
  <si>
    <t xml:space="preserve">ECB exchange rate</t>
  </si>
  <si>
    <t xml:space="preserve">Net receipts per hour (PLN)</t>
  </si>
  <si>
    <t xml:space="preserve">Book length (in hours)</t>
  </si>
  <si>
    <t xml:space="preserve">Price per Unit (PLN)</t>
  </si>
  <si>
    <t xml:space="preserve">Remuneration (PLN)</t>
  </si>
  <si>
    <t xml:space="preserve">VAT (%)</t>
  </si>
  <si>
    <t xml:space="preserve">Publisher</t>
  </si>
  <si>
    <t xml:space="preserve">Consumption dates</t>
  </si>
  <si>
    <t xml:space="preserve">Przemysław Mrówka</t>
  </si>
  <si>
    <t xml:space="preserve">PL Primary Pool</t>
  </si>
  <si>
    <t xml:space="preserve">pl</t>
  </si>
  <si>
    <t xml:space="preserve">Revenue share 50%/hour</t>
  </si>
  <si>
    <t xml:space="preserve">1 PLN = 1 PLN</t>
  </si>
  <si>
    <t xml:space="preserve">Histmag.org / PROMOHISTORIA Michał Świgoń</t>
  </si>
  <si>
    <t xml:space="preserve">2025-12-18 to 2025-12-18</t>
  </si>
  <si>
    <t xml:space="preserve">Michał Gadziński</t>
  </si>
  <si>
    <t xml:space="preserve">2025-10-07 to 2025-11-16</t>
  </si>
  <si>
    <t xml:space="preserve">2025-12-16 to 2025-12-16</t>
  </si>
  <si>
    <t xml:space="preserve">2025-10-06 to 2025-10-06</t>
  </si>
  <si>
    <t xml:space="preserve">2025-11-16 to 2025-11-16</t>
  </si>
  <si>
    <t xml:space="preserve">Marcin Winkowski</t>
  </si>
  <si>
    <t xml:space="preserve">2025-11-02 to 2025-12-05</t>
  </si>
  <si>
    <t xml:space="preserve">Jakub Jędrzejski</t>
  </si>
  <si>
    <t xml:space="preserve">Hetmani i dowódcy I Rzeczpospolitej, t. 1</t>
  </si>
  <si>
    <t xml:space="preserve">2025-10-24 to 2025-10-24</t>
  </si>
  <si>
    <t xml:space="preserve">Natalia Stawarz, Piotr Bejrowski</t>
  </si>
  <si>
    <t xml:space="preserve">Azja we krwi</t>
  </si>
  <si>
    <t xml:space="preserve">2025-11-23 to 2025-11-23</t>
  </si>
  <si>
    <t xml:space="preserve">Mariusz Gadomski</t>
  </si>
  <si>
    <t xml:space="preserve">2025-11-03 to 2025-11-03</t>
  </si>
  <si>
    <t xml:space="preserve">Anna Wójciuk</t>
  </si>
  <si>
    <t xml:space="preserve">2025-10-18 to 2025-10-27</t>
  </si>
  <si>
    <t xml:space="preserve">2025-12-19 to 2025-12-19</t>
  </si>
  <si>
    <t xml:space="preserve">2025-11-27 to 2025-11-27</t>
  </si>
  <si>
    <t xml:space="preserve">2025-10-19 to 2025-10-19</t>
  </si>
  <si>
    <t xml:space="preserve">2025-10-27 to 2025-10-27</t>
  </si>
  <si>
    <t xml:space="preserve">Krzysztof Rozwadowski</t>
  </si>
  <si>
    <t xml:space="preserve">2025-10-01 to 2025-12-15</t>
  </si>
  <si>
    <t xml:space="preserve">2025-12-24 to 2025-12-29</t>
  </si>
  <si>
    <t xml:space="preserve">Marcin Sałański</t>
  </si>
  <si>
    <t xml:space="preserve">Paweł Rzewuski</t>
  </si>
  <si>
    <t xml:space="preserve">2025-11-18 to 2025-11-18</t>
  </si>
  <si>
    <t xml:space="preserve">Audio Book Title</t>
  </si>
  <si>
    <t xml:space="preserve">2025-10-04 to 2025-12-30</t>
  </si>
  <si>
    <t xml:space="preserve">2025-10-03 to 2025-12-31</t>
  </si>
  <si>
    <t xml:space="preserve">Sebastian Adamkiewicz</t>
  </si>
  <si>
    <t xml:space="preserve">2025-10-09 to 2025-12-31</t>
  </si>
  <si>
    <t xml:space="preserve">2025-10-02 to 2025-12-29</t>
  </si>
  <si>
    <t xml:space="preserve">Michał Przeperski</t>
  </si>
  <si>
    <t xml:space="preserve">2025-10-01 to 2025-12-30</t>
  </si>
  <si>
    <t xml:space="preserve">2025-10-03 to 2025-11-30</t>
  </si>
  <si>
    <t xml:space="preserve">2025-10-08 to 2025-12-30</t>
  </si>
  <si>
    <t xml:space="preserve">2025-12-03 to 2025-12-24</t>
  </si>
  <si>
    <t xml:space="preserve">2025-10-03 to 2025-12-22</t>
  </si>
  <si>
    <t xml:space="preserve">Aleksandra Pawłowska (z d. Niedźwiedź)</t>
  </si>
  <si>
    <t xml:space="preserve">2025-10-08 to 2025-12-28</t>
  </si>
  <si>
    <t xml:space="preserve">2025-10-08 to 2025-12-31</t>
  </si>
  <si>
    <t xml:space="preserve">2025-10-06 to 2025-12-20</t>
  </si>
  <si>
    <t xml:space="preserve">2025-10-06 to 2025-12-31</t>
  </si>
  <si>
    <t xml:space="preserve">2025-10-07 to 2025-12-30</t>
  </si>
  <si>
    <t xml:space="preserve">2025-10-03 to 2025-12-18</t>
  </si>
  <si>
    <t xml:space="preserve">Tudorowie</t>
  </si>
  <si>
    <t xml:space="preserve">2025-10-02 to 2025-12-24</t>
  </si>
  <si>
    <t xml:space="preserve">Kacper Walczak</t>
  </si>
  <si>
    <t xml:space="preserve">Cywilizacja śmierci</t>
  </si>
  <si>
    <t xml:space="preserve">2025-10-01 to 2025-12-31</t>
  </si>
  <si>
    <t xml:space="preserve">2025-12-02 to 2025-12-30</t>
  </si>
  <si>
    <t xml:space="preserve">2025-12-31 to 2025-12-31</t>
  </si>
  <si>
    <t xml:space="preserve">PROMOHISTORIA - Histmag.org</t>
  </si>
  <si>
    <t xml:space="preserve">Okres: od 2025-10-01 do 2025-12-31</t>
  </si>
  <si>
    <t xml:space="preserve">LP</t>
  </si>
  <si>
    <t xml:space="preserve">Nazwa produktu</t>
  </si>
  <si>
    <t xml:space="preserve">Lektor</t>
  </si>
  <si>
    <t xml:space="preserve">Cena katalogowa (brutto)</t>
  </si>
  <si>
    <t xml:space="preserve">Cena sprzedaży netto</t>
  </si>
  <si>
    <t xml:space="preserve">Wartość netto</t>
  </si>
  <si>
    <t xml:space="preserve">Stawka VAT</t>
  </si>
  <si>
    <t xml:space="preserve">Kwota VAT</t>
  </si>
  <si>
    <t xml:space="preserve">Cena sprzedaży brutto</t>
  </si>
  <si>
    <t xml:space="preserve">Wartość sprzedaży brutto</t>
  </si>
  <si>
    <t xml:space="preserve">Prowizja</t>
  </si>
  <si>
    <t xml:space="preserve">Kwota należna z tytułu umowy</t>
  </si>
  <si>
    <t xml:space="preserve">Id promocji</t>
  </si>
  <si>
    <t xml:space="preserve">Kod kraju</t>
  </si>
  <si>
    <t xml:space="preserve">Karolina Wiśniewska</t>
  </si>
  <si>
    <t xml:space="preserve">PL</t>
  </si>
  <si>
    <t xml:space="preserve">Dawid Miązek</t>
  </si>
  <si>
    <t xml:space="preserve">Karnet 20</t>
  </si>
  <si>
    <t xml:space="preserve">Jakub Jagodziński</t>
  </si>
  <si>
    <t xml:space="preserve">Aleksander Petryszyn</t>
  </si>
  <si>
    <t xml:space="preserve">Mateusz Balcerkiewicz</t>
  </si>
  <si>
    <t xml:space="preserve">Wojciech Olej</t>
  </si>
  <si>
    <t xml:space="preserve">Maciej Uba</t>
  </si>
  <si>
    <t xml:space="preserve">Aleksandra Pawłowska</t>
  </si>
  <si>
    <t xml:space="preserve">Maciej Marcinkowski</t>
  </si>
  <si>
    <t xml:space="preserve">KE</t>
  </si>
  <si>
    <t xml:space="preserve">Audiobooki w Play</t>
  </si>
  <si>
    <t xml:space="preserve">Karnet z Karty Upominkowej 5</t>
  </si>
  <si>
    <t xml:space="preserve">Krzysztof Sikorski</t>
  </si>
  <si>
    <t xml:space="preserve">978-83-65156-13-6</t>
  </si>
  <si>
    <t xml:space="preserve">GB</t>
  </si>
  <si>
    <t xml:space="preserve">Kwota nie zawiera podatku VAT.</t>
  </si>
  <si>
    <t xml:space="preserve">BookBeat Sales - PROMOHISTORIA</t>
  </si>
  <si>
    <t xml:space="preserve">START DATE:</t>
  </si>
  <si>
    <t xml:space="preserve">NUMBER OF CONSUMPTIONS</t>
  </si>
  <si>
    <t xml:space="preserve">TOTAL AMOUNT</t>
  </si>
  <si>
    <t xml:space="preserve">END DATE:</t>
  </si>
  <si>
    <t xml:space="preserve">PLN</t>
  </si>
  <si>
    <t xml:space="preserve">Author</t>
  </si>
  <si>
    <t xml:space="preserve">Title</t>
  </si>
  <si>
    <t xml:space="preserve">Duration in Hours</t>
  </si>
  <si>
    <t xml:space="preserve">BookBeat Market</t>
  </si>
  <si>
    <t xml:space="preserve">Consumptions</t>
  </si>
  <si>
    <t xml:space="preserve">BookBeat Price excl sales tax</t>
  </si>
  <si>
    <t xml:space="preserve">Trial Consumption Share</t>
  </si>
  <si>
    <t xml:space="preserve">Trial Consumption Discount</t>
  </si>
  <si>
    <t xml:space="preserve">Total Amount</t>
  </si>
  <si>
    <t xml:space="preserve">Currency</t>
  </si>
  <si>
    <t xml:space="preserve">Audiobook</t>
  </si>
  <si>
    <t xml:space="preserve">PROMOHISTORIA – Histmag.org</t>
  </si>
  <si>
    <t xml:space="preserve">E-book</t>
  </si>
  <si>
    <t xml:space="preserve">Izabela Pawłowska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</si>
</sst>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0\ [$zł-415]"/>
    <numFmt numFmtId="166" formatCode="General"/>
    <numFmt numFmtId="167" formatCode="#,##0.00&quot;zł&quot;"/>
    <numFmt numFmtId="168" formatCode="#,##0.00"/>
    <numFmt numFmtId="169" formatCode="m/d"/>
    <numFmt numFmtId="170" formatCode="0.00%"/>
    <numFmt numFmtId="171" formatCode="0%"/>
    <numFmt numFmtId="172" formatCode="yyyy\-mm\-dd\ hh:mm"/>
    <numFmt numFmtId="173" formatCode="yy\-mm\-dd\ hh:mm"/>
    <numFmt numFmtId="174" formatCode="yy\-m\-d\ hh:mm"/>
    <numFmt numFmtId="175" formatCode="d/m/yyyy"/>
    <numFmt numFmtId="176" formatCode="dd/mm/yyyy"/>
    <numFmt numFmtId="177" formatCode="yyyy\-mm\-dd"/>
    <numFmt numFmtId="178" formatCode="mm/dd"/>
    <numFmt numFmtId="179" formatCode="@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99999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B7B7B7"/>
      <name val="Arial"/>
      <family val="0"/>
      <charset val="1"/>
    </font>
    <font>
      <b val="true"/>
      <sz val="11"/>
      <color rgb="FFB7B7B7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8"/>
      <color rgb="FF0000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u val="single"/>
      <sz val="11"/>
      <color rgb="FF000000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999"/>
        <bgColor rgb="FFFFFFCC"/>
      </patternFill>
    </fill>
    <fill>
      <patternFill patternType="solid">
        <fgColor rgb="FF92D050"/>
        <bgColor rgb="FFA9A9A9"/>
      </patternFill>
    </fill>
    <fill>
      <patternFill patternType="solid">
        <fgColor rgb="FFD3D3D3"/>
        <bgColor rgb="FFB7B7B7"/>
      </patternFill>
    </fill>
    <fill>
      <patternFill patternType="solid">
        <fgColor rgb="FFA9A9A9"/>
        <bgColor rgb="FFB7B7B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5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1" fontId="5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6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0" fontId="6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71" fontId="6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9A9A9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sharedStrings" Target="sharedStrings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histmag.org/" TargetMode="External"/><Relationship Id="rId2" Type="http://schemas.openxmlformats.org/officeDocument/2006/relationships/hyperlink" Target="http://histmag.org/" TargetMode="External"/><Relationship Id="rId3" Type="http://schemas.openxmlformats.org/officeDocument/2006/relationships/hyperlink" Target="http://histmag.org/" TargetMode="External"/><Relationship Id="rId4" Type="http://schemas.openxmlformats.org/officeDocument/2006/relationships/hyperlink" Target="http://histmag.org/" TargetMode="External"/><Relationship Id="rId5" Type="http://schemas.openxmlformats.org/officeDocument/2006/relationships/hyperlink" Target="http://histmag.org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ebookpoint.pl/eps/fv/3ufy37g2xxjj82hwby57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ebookpoint.pl/eps/fv/gffjrqnqcshg8r2zed2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10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58.13"/>
    <col collapsed="false" customWidth="true" hidden="false" outlineLevel="0" max="3" min="3" style="0" width="6.13"/>
    <col collapsed="false" customWidth="true" hidden="false" outlineLevel="0" max="4" min="4" style="0" width="2.63"/>
    <col collapsed="false" customWidth="true" hidden="false" outlineLevel="0" max="7" min="7" style="0" width="2.63"/>
    <col collapsed="false" customWidth="true" hidden="false" outlineLevel="0" max="10" min="10" style="0" width="2.63"/>
    <col collapsed="false" customWidth="true" hidden="false" outlineLevel="0" max="13" min="13" style="0" width="2.63"/>
    <col collapsed="false" customWidth="true" hidden="false" outlineLevel="0" max="16" min="16" style="0" width="2.63"/>
    <col collapsed="false" customWidth="true" hidden="false" outlineLevel="0" max="19" min="19" style="0" width="2.63"/>
    <col collapsed="false" customWidth="true" hidden="false" outlineLevel="0" max="22" min="22" style="0" width="2.63"/>
    <col collapsed="false" customWidth="true" hidden="false" outlineLevel="0" max="25" min="25" style="0" width="2.63"/>
    <col collapsed="false" customWidth="true" hidden="false" outlineLevel="0" max="28" min="28" style="0" width="2.63"/>
    <col collapsed="false" customWidth="true" hidden="false" outlineLevel="0" max="31" min="31" style="0" width="2.63"/>
    <col collapsed="false" customWidth="true" hidden="false" outlineLevel="0" max="34" min="34" style="0" width="2.63"/>
    <col collapsed="false" customWidth="true" hidden="false" outlineLevel="0" max="37" min="37" style="0" width="2.63"/>
    <col collapsed="false" customWidth="true" hidden="false" outlineLevel="0" max="40" min="40" style="0" width="2.63"/>
    <col collapsed="false" customWidth="true" hidden="false" outlineLevel="0" max="43" min="43" style="0" width="2.63"/>
    <col collapsed="false" customWidth="true" hidden="false" outlineLevel="0" max="46" min="46" style="0" width="2.63"/>
  </cols>
  <sheetData>
    <row r="1" customFormat="false" ht="15.75" hidden="false" customHeight="false" outlineLevel="0" collapsed="false">
      <c r="A1" s="1"/>
      <c r="B1" s="2" t="s">
        <v>0</v>
      </c>
      <c r="C1" s="3"/>
      <c r="D1" s="3"/>
      <c r="E1" s="2" t="s">
        <v>1</v>
      </c>
      <c r="F1" s="3"/>
      <c r="G1" s="3"/>
      <c r="H1" s="3" t="s">
        <v>2</v>
      </c>
      <c r="I1" s="4"/>
      <c r="J1" s="3"/>
      <c r="K1" s="5" t="s">
        <v>3</v>
      </c>
      <c r="L1" s="1"/>
      <c r="M1" s="3"/>
      <c r="N1" s="3" t="s">
        <v>4</v>
      </c>
      <c r="O1" s="4"/>
      <c r="P1" s="3"/>
      <c r="Q1" s="3" t="s">
        <v>5</v>
      </c>
      <c r="R1" s="4"/>
      <c r="S1" s="3"/>
      <c r="T1" s="2" t="s">
        <v>6</v>
      </c>
      <c r="U1" s="6"/>
      <c r="V1" s="3"/>
      <c r="W1" s="3" t="s">
        <v>7</v>
      </c>
      <c r="X1" s="4"/>
      <c r="Y1" s="3"/>
      <c r="Z1" s="3" t="s">
        <v>8</v>
      </c>
      <c r="AA1" s="4"/>
      <c r="AB1" s="3"/>
      <c r="AC1" s="2" t="s">
        <v>9</v>
      </c>
      <c r="AD1" s="4"/>
      <c r="AE1" s="3"/>
      <c r="AF1" s="2" t="s">
        <v>10</v>
      </c>
      <c r="AG1" s="3"/>
      <c r="AH1" s="3"/>
      <c r="AI1" s="2" t="s">
        <v>11</v>
      </c>
      <c r="AJ1" s="3"/>
      <c r="AK1" s="3"/>
      <c r="AL1" s="2" t="s">
        <v>12</v>
      </c>
      <c r="AO1" s="2" t="s">
        <v>13</v>
      </c>
      <c r="AR1" s="2" t="s">
        <v>14</v>
      </c>
      <c r="AU1" s="2" t="s">
        <v>15</v>
      </c>
      <c r="AV1" s="4"/>
    </row>
    <row r="2" customFormat="false" ht="15.75" hidden="false" customHeight="false" outlineLevel="0" collapsed="false">
      <c r="A2" s="7"/>
      <c r="B2" s="8"/>
      <c r="E2" s="3"/>
      <c r="F2" s="3"/>
      <c r="H2" s="9" t="s">
        <v>16</v>
      </c>
      <c r="I2" s="10"/>
      <c r="K2" s="7"/>
      <c r="L2" s="7"/>
      <c r="O2" s="10"/>
      <c r="R2" s="10"/>
      <c r="T2" s="8"/>
      <c r="U2" s="6"/>
      <c r="X2" s="10"/>
      <c r="AA2" s="10"/>
      <c r="AD2" s="10"/>
      <c r="AV2" s="10"/>
    </row>
    <row r="3" customFormat="false" ht="15.75" hidden="false" customHeight="false" outlineLevel="0" collapsed="false">
      <c r="A3" s="7"/>
      <c r="B3" s="8"/>
      <c r="E3" s="3"/>
      <c r="F3" s="3"/>
      <c r="I3" s="10"/>
      <c r="K3" s="7"/>
      <c r="L3" s="7"/>
      <c r="O3" s="10"/>
      <c r="R3" s="10"/>
      <c r="T3" s="8"/>
      <c r="U3" s="6"/>
      <c r="X3" s="10"/>
      <c r="AA3" s="10"/>
      <c r="AD3" s="10"/>
      <c r="AV3" s="10"/>
    </row>
    <row r="4" customFormat="false" ht="15.75" hidden="false" customHeight="false" outlineLevel="0" collapsed="false">
      <c r="A4" s="11" t="n">
        <v>9788365156365</v>
      </c>
      <c r="B4" s="8" t="s">
        <v>17</v>
      </c>
      <c r="E4" s="3" t="n">
        <f aca="false">H4+K4</f>
        <v>1</v>
      </c>
      <c r="F4" s="4" t="n">
        <f aca="false">I4+L4</f>
        <v>1.95</v>
      </c>
      <c r="H4" s="9" t="n">
        <f aca="false">SUMIF(konwertery!A$2:A$300,A4,Histmag!C$2:C$300)</f>
        <v>0</v>
      </c>
      <c r="I4" s="10" t="n">
        <f aca="false">SUMIF(konwertery!A$2:A$300,A4,konwertery!B$2:B$300) * 0.97</f>
        <v>0</v>
      </c>
      <c r="K4" s="7" t="n">
        <f aca="false">N4+Q4+T4+W4+Z4+AC4+AF4+AI4+AL4+AO4+AR4+AU4</f>
        <v>1</v>
      </c>
      <c r="L4" s="12" t="n">
        <f aca="false">O4+R4+U4+X4+AA4+AD4+AG4+AJ4+AM4+AP4+AS4+AV4</f>
        <v>1.95</v>
      </c>
      <c r="N4" s="9" t="n">
        <f aca="false">SUMIF(konwertery!C$2:C$300,A4,Virtualo!L$2:L$300)</f>
        <v>0</v>
      </c>
      <c r="O4" s="10" t="n">
        <f aca="false">(SUMIF(konwertery!C$2:C$300,A4,Virtualo!P$2:P$300))</f>
        <v>0</v>
      </c>
      <c r="Q4" s="9" t="n">
        <f aca="false">SUMIF(konwertery!D$2:D$300,A4,Empik!M$2:M$300)</f>
        <v>0</v>
      </c>
      <c r="R4" s="10" t="n">
        <f aca="false">SUMIF(konwertery!D$2:D$300,A4,Empik!N$2:N$300)</f>
        <v>0</v>
      </c>
      <c r="T4" s="13" t="n">
        <f aca="false">SUMIF(konwertery!E$2:E$300,A4,Publio!P$2:P$300)</f>
        <v>0</v>
      </c>
      <c r="U4" s="14" t="n">
        <f aca="false">SUMIF(konwertery!E$2:E$300,A4,konwertery!F$2:F$300)</f>
        <v>0</v>
      </c>
      <c r="W4" s="9" t="n">
        <f aca="false">SUMIF(Legimi!D$2:D$300,A4,Legimi!G$2:G$300)</f>
        <v>0</v>
      </c>
      <c r="X4" s="10" t="n">
        <f aca="false">SUMIF(Legimi!D$2:D$300,A4,Legimi!H$2:H$300)</f>
        <v>0</v>
      </c>
      <c r="Z4" s="9" t="n">
        <f aca="false">SUMIF(konwertery!G$2:G$302,A4,Nexto!J$2:J$283)</f>
        <v>0</v>
      </c>
      <c r="AA4" s="9" t="n">
        <f aca="false">SUMIF(konwertery!G$2:G$302,A4,Nexto!N$2:P$302)</f>
        <v>0</v>
      </c>
      <c r="AC4" s="9" t="n">
        <f aca="false">SUMIF(Woblink!E$14:E$314,A4,Woblink!I$14:I$314)</f>
        <v>0</v>
      </c>
      <c r="AD4" s="10" t="n">
        <f aca="false">SUMIF(Woblink!E$14:E$314,A4,konwertery!R$2:R$300)</f>
        <v>0</v>
      </c>
      <c r="AF4" s="9" t="n">
        <f aca="false">SUM(SUMIF(konwertery!I$2:I$300,A4,Azymut!H$2:H$298),(SUMIF(konwertery!S$2:S$300,A4,AzymutB!H$2:H300)*2))</f>
        <v>0</v>
      </c>
      <c r="AG4" s="8" t="n">
        <f aca="false">SUM(SUMIF(konwertery!I$2:I$300,A4,konwertery!J$2:J$300),SUMIF(konwertery!S$2:S$300,A4,konwertery!T$2:T$300))</f>
        <v>0</v>
      </c>
      <c r="AI4" s="9" t="n">
        <f aca="false">SUMIF(konwertery!K$2:K$300,A4,Ebookpoint!F$14:F$312)</f>
        <v>0</v>
      </c>
      <c r="AJ4" s="9" t="n">
        <f aca="false">SUMIF(konwertery!K$2:K$300,A4,Ebookpoint!M$14:M$312)</f>
        <v>0</v>
      </c>
      <c r="AL4" s="9" t="n">
        <f aca="false">SUMIF(konwertery!L$2:L$300,A4,Nasbi!F$14:F$312)</f>
        <v>0</v>
      </c>
      <c r="AM4" s="9" t="n">
        <f aca="false">SUMIF(konwertery!L$2:L$300,A4,Nasbi!K$14:K$312)</f>
        <v>0</v>
      </c>
      <c r="AO4" s="9" t="n">
        <f aca="false">SUMIF(StorytelE!C$2:C$300,A4,konwertery!M$2:M$300)+SUMIF(StorytelA!C$2:C$300,A4,konwertery!N$2:N$300)</f>
        <v>1</v>
      </c>
      <c r="AP4" s="9" t="n">
        <f aca="false">SUMIF(StorytelE!C$2:C$300,A4,konwertery!O$2:O$300)+SUMIF(StorytelA!C$2:C$300,A4,konwertery!P$2:P$300)</f>
        <v>1.95</v>
      </c>
      <c r="AR4" s="9" t="n">
        <f aca="false">SUMIF(konwertery!U$2:U$300,A4,Audioteka!E$4:E$302)</f>
        <v>0</v>
      </c>
      <c r="AS4" s="9" t="n">
        <f aca="false">SUMIF(konwertery!U$2:U$300,A4,Audioteka!O$4:O$302)</f>
        <v>0</v>
      </c>
      <c r="AU4" s="9" t="n">
        <f aca="false">SUMIF(Bookbeat!A$9:A$309,A4,Bookbeat!H$9:H$309)</f>
        <v>0</v>
      </c>
      <c r="AV4" s="10" t="n">
        <f aca="false">SUMIF(Bookbeat!A$9:A$309,A4,Bookbeat!L$9:L$309)</f>
        <v>0</v>
      </c>
    </row>
    <row r="5" customFormat="false" ht="15.75" hidden="false" customHeight="false" outlineLevel="0" collapsed="false">
      <c r="A5" s="11" t="n">
        <v>9788393463077</v>
      </c>
      <c r="B5" s="8" t="s">
        <v>18</v>
      </c>
      <c r="E5" s="3" t="n">
        <f aca="false">H5+K5</f>
        <v>3</v>
      </c>
      <c r="F5" s="4" t="n">
        <f aca="false">I5+L5</f>
        <v>21.4952</v>
      </c>
      <c r="H5" s="9" t="n">
        <f aca="false">SUMIF(konwertery!A$2:A$300,A5,Histmag!C$2:C$300)</f>
        <v>3</v>
      </c>
      <c r="I5" s="10" t="n">
        <f aca="false">SUMIF(konwertery!A$2:A$300,A5,konwertery!B$2:B$300) * 0.97</f>
        <v>21.4952</v>
      </c>
      <c r="K5" s="7" t="n">
        <f aca="false">N5+Q5+T5+W5+Z5+AC5+AF5+AI5+AL5+AO5+AR5+AU5</f>
        <v>0</v>
      </c>
      <c r="L5" s="12" t="n">
        <f aca="false">O5+R5+U5+X5+AA5+AD5+AG5+AJ5+AM5+AP5+AS5+AV5</f>
        <v>0</v>
      </c>
      <c r="N5" s="9" t="n">
        <f aca="false">SUMIF(konwertery!C$2:C$300,A5,Virtualo!L$2:L$300)</f>
        <v>0</v>
      </c>
      <c r="O5" s="10" t="n">
        <f aca="false">(SUMIF(konwertery!C$2:C$300,A5,Virtualo!P$2:P$300))</f>
        <v>0</v>
      </c>
      <c r="Q5" s="9" t="n">
        <f aca="false">SUMIF(konwertery!D$2:D$300,A5,Empik!M$2:M$300)</f>
        <v>0</v>
      </c>
      <c r="R5" s="10" t="n">
        <f aca="false">SUMIF(konwertery!D$2:D$300,A5,Empik!N$2:N$300)</f>
        <v>0</v>
      </c>
      <c r="T5" s="13" t="n">
        <f aca="false">SUMIF(konwertery!E$2:E$300,A5,Publio!P$2:P$300)</f>
        <v>0</v>
      </c>
      <c r="U5" s="14" t="n">
        <f aca="false">SUMIF(konwertery!E$2:E$300,A5,konwertery!F$2:F$300)</f>
        <v>0</v>
      </c>
      <c r="W5" s="9" t="n">
        <f aca="false">SUMIF(Legimi!D$2:D$300,A5,Legimi!G$2:G$300)</f>
        <v>0</v>
      </c>
      <c r="X5" s="10" t="n">
        <f aca="false">SUMIF(Legimi!D$2:D$300,A5,Legimi!H$2:H$300)</f>
        <v>0</v>
      </c>
      <c r="Z5" s="9" t="n">
        <f aca="false">SUMIF(konwertery!G$2:G$302,A5,Nexto!J$2:J$283)</f>
        <v>0</v>
      </c>
      <c r="AA5" s="9" t="n">
        <f aca="false">SUMIF(konwertery!G$2:G$302,A5,Nexto!N$2:P$302)</f>
        <v>0</v>
      </c>
      <c r="AC5" s="9" t="n">
        <f aca="false">SUMIF(Woblink!E$9:E$309,A5,Woblink!I$9:I$309)</f>
        <v>0</v>
      </c>
      <c r="AD5" s="10" t="n">
        <f aca="false">SUMIF(Woblink!E$14:E$314,A5,konwertery!R$2:R$300)</f>
        <v>0</v>
      </c>
      <c r="AF5" s="9" t="n">
        <f aca="false">SUM(SUMIF(konwertery!I$2:I$300,A5,Azymut!H$2:H$298),(SUMIF(konwertery!S$2:S$300,A5,AzymutB!H$2:H301)*2))</f>
        <v>0</v>
      </c>
      <c r="AG5" s="8" t="n">
        <f aca="false">SUM(SUMIF(konwertery!I$2:I$300,A5,konwertery!J$2:J$300),SUMIF(konwertery!S$2:S$300,A5,konwertery!T$2:T$300))</f>
        <v>0</v>
      </c>
      <c r="AI5" s="9" t="n">
        <f aca="false">SUMIF(konwertery!K$2:K$300,A5,Ebookpoint!F$14:F$312)</f>
        <v>0</v>
      </c>
      <c r="AJ5" s="9" t="n">
        <f aca="false">SUMIF(konwertery!K$2:K$300,A5,Ebookpoint!M$14:M$312)</f>
        <v>0</v>
      </c>
      <c r="AL5" s="9" t="n">
        <f aca="false">SUMIF(konwertery!L$2:L$300,A5,Nasbi!F$14:F$312)</f>
        <v>0</v>
      </c>
      <c r="AM5" s="9" t="n">
        <f aca="false">SUMIF(konwertery!L$2:L$300,A5,Nasbi!K$14:K$312)</f>
        <v>0</v>
      </c>
      <c r="AO5" s="9" t="n">
        <f aca="false">SUMIF(StorytelE!C$2:C$300,A5,konwertery!M$2:M$300)+SUMIF(StorytelA!C$2:C$300,A5,konwertery!N$2:N$300)</f>
        <v>0</v>
      </c>
      <c r="AP5" s="9" t="n">
        <f aca="false">SUMIF(StorytelE!C$2:C$300,A5,konwertery!O$2:O$300)+SUMIF(StorytelA!C$2:C$300,A5,konwertery!P$2:P$300)</f>
        <v>0</v>
      </c>
      <c r="AR5" s="9" t="n">
        <f aca="false">SUMIF(konwertery!U$2:U$300,A5,Audioteka!E$4:E$302)</f>
        <v>0</v>
      </c>
      <c r="AS5" s="9" t="n">
        <f aca="false">SUMIF(konwertery!U$2:U$300,A5,Audioteka!O$4:O$302)</f>
        <v>0</v>
      </c>
      <c r="AU5" s="9" t="n">
        <f aca="false">SUMIF(Bookbeat!A$9:A$309,A5,Bookbeat!H$9:H$309)</f>
        <v>0</v>
      </c>
      <c r="AV5" s="10" t="n">
        <f aca="false">SUMIF(Bookbeat!A$9:A$309,A5,Bookbeat!L$9:L$309)</f>
        <v>0</v>
      </c>
    </row>
    <row r="6" customFormat="false" ht="15.75" hidden="false" customHeight="false" outlineLevel="0" collapsed="false">
      <c r="A6" s="11" t="n">
        <v>9788365156068</v>
      </c>
      <c r="B6" s="8" t="s">
        <v>19</v>
      </c>
      <c r="E6" s="3" t="n">
        <f aca="false">H6+K6</f>
        <v>0</v>
      </c>
      <c r="F6" s="4" t="n">
        <f aca="false">I6+L6</f>
        <v>0</v>
      </c>
      <c r="H6" s="9" t="n">
        <f aca="false">SUMIF(konwertery!A$2:A$300,A6,Histmag!C$2:C$300)</f>
        <v>0</v>
      </c>
      <c r="I6" s="10" t="n">
        <f aca="false">SUMIF(konwertery!A$2:A$300,A6,konwertery!B$2:B$300) * 0.97</f>
        <v>0</v>
      </c>
      <c r="K6" s="7" t="n">
        <f aca="false">N6+Q6+T6+W6+Z6+AC6+AF6+AI6+AL6+AO6+AR6+AU6</f>
        <v>0</v>
      </c>
      <c r="L6" s="12" t="n">
        <f aca="false">O6+R6+U6+X6+AA6+AD6+AG6+AJ6+AM6+AP6+AS6+AV6</f>
        <v>0</v>
      </c>
      <c r="N6" s="9" t="n">
        <f aca="false">SUMIF(konwertery!C$2:C$300,A6,Virtualo!L$2:L$300)</f>
        <v>0</v>
      </c>
      <c r="O6" s="10" t="n">
        <f aca="false">(SUMIF(konwertery!C$2:C$300,A6,Virtualo!P$2:P$300))</f>
        <v>0</v>
      </c>
      <c r="Q6" s="9" t="n">
        <f aca="false">SUMIF(konwertery!D$2:D$300,A6,Empik!M$2:M$300)</f>
        <v>0</v>
      </c>
      <c r="R6" s="10" t="n">
        <f aca="false">SUMIF(konwertery!D$2:D$300,A6,Empik!N$2:N$300)</f>
        <v>0</v>
      </c>
      <c r="T6" s="13" t="n">
        <f aca="false">SUMIF(konwertery!E$2:E$300,A6,Publio!P$2:P$300)</f>
        <v>0</v>
      </c>
      <c r="U6" s="14" t="n">
        <f aca="false">SUMIF(konwertery!E$2:E$300,A6,konwertery!F$2:F$300)</f>
        <v>0</v>
      </c>
      <c r="W6" s="9" t="n">
        <f aca="false">SUMIF(Legimi!D$2:D$300,A6,Legimi!G$2:G$300)</f>
        <v>0</v>
      </c>
      <c r="X6" s="10" t="n">
        <f aca="false">SUMIF(Legimi!D$2:D$300,A6,Legimi!H$2:H$300)</f>
        <v>0</v>
      </c>
      <c r="Z6" s="9" t="n">
        <f aca="false">SUMIF(konwertery!G$2:G$302,A6,Nexto!J$2:J$283)</f>
        <v>0</v>
      </c>
      <c r="AA6" s="9" t="n">
        <f aca="false">SUMIF(konwertery!G$2:G$302,A6,Nexto!N$2:P$302)</f>
        <v>0</v>
      </c>
      <c r="AC6" s="9" t="n">
        <f aca="false">SUMIF(Woblink!E$9:E$309,A6,Woblink!I$9:I$309)</f>
        <v>0</v>
      </c>
      <c r="AD6" s="10" t="n">
        <f aca="false">SUMIF(Woblink!E$14:E$314,A6,konwertery!R$2:R$300)</f>
        <v>0</v>
      </c>
      <c r="AF6" s="9" t="n">
        <f aca="false">SUM(SUMIF(konwertery!I$2:I$300,A6,Azymut!H$2:H$298),(SUMIF(konwertery!S$2:S$300,A6,AzymutB!H$2:H302)*2))</f>
        <v>0</v>
      </c>
      <c r="AG6" s="8" t="n">
        <f aca="false">SUM(SUMIF(konwertery!I$2:I$300,A6,konwertery!J$2:J$300),SUMIF(konwertery!S$2:S$300,A6,konwertery!T$2:T$300))</f>
        <v>0</v>
      </c>
      <c r="AI6" s="9" t="n">
        <f aca="false">SUMIF(konwertery!K$2:K$300,A6,Ebookpoint!F$14:F$312)</f>
        <v>0</v>
      </c>
      <c r="AJ6" s="9" t="n">
        <f aca="false">SUMIF(konwertery!K$2:K$300,A6,Ebookpoint!M$14:M$312)</f>
        <v>0</v>
      </c>
      <c r="AL6" s="9" t="n">
        <f aca="false">SUMIF(konwertery!L$2:L$300,A6,Nasbi!F$14:F$312)</f>
        <v>0</v>
      </c>
      <c r="AM6" s="9" t="n">
        <f aca="false">SUMIF(konwertery!L$2:L$300,A6,Nasbi!K$14:K$312)</f>
        <v>0</v>
      </c>
      <c r="AO6" s="9" t="n">
        <f aca="false">SUMIF(StorytelE!C$2:C$300,A6,konwertery!M$2:M$300)+SUMIF(StorytelA!C$2:C$300,A6,konwertery!N$2:N$300)</f>
        <v>0</v>
      </c>
      <c r="AP6" s="9" t="n">
        <f aca="false">SUMIF(StorytelE!C$2:C$300,A6,konwertery!O$2:O$300)+SUMIF(StorytelA!C$2:C$300,A6,konwertery!P$2:P$300)</f>
        <v>0</v>
      </c>
      <c r="AR6" s="9" t="n">
        <f aca="false">SUMIF(konwertery!U$2:U$300,A6,Audioteka!E$4:E$302)</f>
        <v>0</v>
      </c>
      <c r="AS6" s="9" t="n">
        <f aca="false">SUMIF(konwertery!U$2:U$300,A6,Audioteka!O$4:O$302)</f>
        <v>0</v>
      </c>
      <c r="AU6" s="9" t="n">
        <f aca="false">SUMIF(Bookbeat!A$9:A$309,A6,Bookbeat!H$9:H$309)</f>
        <v>0</v>
      </c>
      <c r="AV6" s="10" t="n">
        <f aca="false">SUMIF(Bookbeat!A$9:A$309,A6,Bookbeat!L$9:L$309)</f>
        <v>0</v>
      </c>
    </row>
    <row r="7" customFormat="false" ht="15.75" hidden="false" customHeight="false" outlineLevel="0" collapsed="false">
      <c r="A7" s="11" t="n">
        <v>9788365156754</v>
      </c>
      <c r="B7" s="8" t="s">
        <v>20</v>
      </c>
      <c r="E7" s="3" t="n">
        <f aca="false">H7+K7</f>
        <v>6</v>
      </c>
      <c r="F7" s="4" t="n">
        <f aca="false">I7+L7</f>
        <v>60.2103</v>
      </c>
      <c r="H7" s="9" t="n">
        <f aca="false">SUMIF(konwertery!A$2:A$300,A7,Histmag!C$2:C$300)</f>
        <v>3</v>
      </c>
      <c r="I7" s="10" t="n">
        <f aca="false">SUMIF(konwertery!A$2:A$300,A7,konwertery!B$2:B$300) * 0.97</f>
        <v>32.9703</v>
      </c>
      <c r="K7" s="7" t="n">
        <f aca="false">N7+Q7+T7+W7+Z7+AC7+AF7+AI7+AL7+AO7+AR7+AU7</f>
        <v>3</v>
      </c>
      <c r="L7" s="12" t="n">
        <f aca="false">O7+R7+U7+X7+AA7+AD7+AG7+AJ7+AM7+AP7+AS7+AV7</f>
        <v>27.24</v>
      </c>
      <c r="N7" s="9" t="n">
        <f aca="false">SUMIF(konwertery!C$2:C$300,A7,Virtualo!L$2:L$300)</f>
        <v>0</v>
      </c>
      <c r="O7" s="10" t="n">
        <f aca="false">(SUMIF(konwertery!C$2:C$300,A7,Virtualo!P$2:P$300))</f>
        <v>0</v>
      </c>
      <c r="Q7" s="9" t="n">
        <f aca="false">SUMIF(konwertery!D$2:D$300,A7,Empik!M$2:M$300)</f>
        <v>0</v>
      </c>
      <c r="R7" s="10" t="n">
        <f aca="false">SUMIF(konwertery!D$2:D$300,A7,Empik!N$2:N$300)</f>
        <v>0</v>
      </c>
      <c r="T7" s="13" t="n">
        <f aca="false">SUMIF(konwertery!E$2:E$300,A7,Publio!P$2:P$300)</f>
        <v>0</v>
      </c>
      <c r="U7" s="14" t="n">
        <f aca="false">SUMIF(konwertery!E$2:E$300,A7,konwertery!F$2:F$300)</f>
        <v>0</v>
      </c>
      <c r="W7" s="9" t="n">
        <f aca="false">SUMIF(Legimi!D$2:D$300,A7,Legimi!G$2:G$300)</f>
        <v>0</v>
      </c>
      <c r="X7" s="10" t="n">
        <f aca="false">SUMIF(Legimi!D$2:D$300,A7,Legimi!H$2:H$300)</f>
        <v>0</v>
      </c>
      <c r="Z7" s="9" t="n">
        <f aca="false">SUMIF(konwertery!G$2:G$302,A7,Nexto!J$2:J$283)</f>
        <v>0</v>
      </c>
      <c r="AA7" s="9" t="n">
        <f aca="false">SUMIF(konwertery!G$2:G$302,A7,Nexto!N$2:P$302)</f>
        <v>0</v>
      </c>
      <c r="AC7" s="9" t="n">
        <f aca="false">SUMIF(Woblink!E$14:E$314,A7,Woblink!I$14:I$314)</f>
        <v>0</v>
      </c>
      <c r="AD7" s="10" t="n">
        <f aca="false">SUMIF(Woblink!E$14:E$314,A7,konwertery!R$2:R$300)</f>
        <v>0</v>
      </c>
      <c r="AF7" s="9" t="n">
        <f aca="false">SUM(SUMIF(konwertery!I$2:I$300,A7,Azymut!H$2:H$298),(SUMIF(konwertery!S$2:S$300,A7,AzymutB!H$2:H303)*2))</f>
        <v>0</v>
      </c>
      <c r="AG7" s="8" t="n">
        <f aca="false">SUM(SUMIF(konwertery!I$2:I$300,A7,konwertery!J$2:J$300),SUMIF(konwertery!S$2:S$300,A7,konwertery!T$2:T$300))</f>
        <v>0</v>
      </c>
      <c r="AI7" s="9" t="n">
        <f aca="false">SUMIF(konwertery!K$2:K$300,A7,Ebookpoint!F$14:F$312)</f>
        <v>3</v>
      </c>
      <c r="AJ7" s="9" t="n">
        <f aca="false">SUMIF(konwertery!K$2:K$300,A7,Ebookpoint!M$14:M$312)</f>
        <v>27.24</v>
      </c>
      <c r="AL7" s="9" t="n">
        <f aca="false">SUMIF(konwertery!L$2:L$300,A7,Nasbi!F$14:F$312)</f>
        <v>0</v>
      </c>
      <c r="AM7" s="9" t="n">
        <f aca="false">SUMIF(konwertery!L$2:L$300,A7,Nasbi!K$14:K$312)</f>
        <v>0</v>
      </c>
      <c r="AO7" s="9" t="n">
        <f aca="false">SUMIF(StorytelE!C$2:C$300,A7,konwertery!M$2:M$300)+SUMIF(StorytelA!C$2:C$300,A7,konwertery!N$2:N$300)</f>
        <v>0</v>
      </c>
      <c r="AP7" s="9" t="n">
        <f aca="false">SUMIF(StorytelE!C$2:C$300,A7,konwertery!O$2:O$300)+SUMIF(StorytelA!C$2:C$300,A7,konwertery!P$2:P$300)</f>
        <v>0</v>
      </c>
      <c r="AR7" s="9" t="n">
        <f aca="false">SUMIF(konwertery!U$2:U$300,A7,Audioteka!E$4:E$302)</f>
        <v>0</v>
      </c>
      <c r="AS7" s="9" t="n">
        <f aca="false">SUMIF(konwertery!U$2:U$300,A7,Audioteka!O$4:O$302)</f>
        <v>0</v>
      </c>
      <c r="AU7" s="9" t="n">
        <f aca="false">SUMIF(Bookbeat!A$9:A$309,A7,Bookbeat!H$9:H$309)</f>
        <v>0</v>
      </c>
      <c r="AV7" s="10" t="n">
        <f aca="false">SUMIF(Bookbeat!A$9:A$309,A7,Bookbeat!L$9:L$309)</f>
        <v>0</v>
      </c>
    </row>
    <row r="8" customFormat="false" ht="15.75" hidden="false" customHeight="false" outlineLevel="0" collapsed="false">
      <c r="A8" s="11" t="n">
        <v>9788365156808</v>
      </c>
      <c r="B8" s="15" t="s">
        <v>21</v>
      </c>
      <c r="E8" s="3" t="n">
        <f aca="false">H8+K8</f>
        <v>75</v>
      </c>
      <c r="F8" s="4" t="n">
        <f aca="false">I8+L8</f>
        <v>113.45</v>
      </c>
      <c r="H8" s="9" t="n">
        <f aca="false">SUMIF(konwertery!A$2:A$300,A8,Histmag!C$2:C$300)</f>
        <v>0</v>
      </c>
      <c r="I8" s="10" t="n">
        <f aca="false">SUMIF(konwertery!A$2:A$300,A8,konwertery!B$2:B$300) * 0.97</f>
        <v>0</v>
      </c>
      <c r="K8" s="7" t="n">
        <f aca="false">N8+Q8+T8+W8+Z8+AC8+AF8+AI8+AL8+AO8+AR8+AU8</f>
        <v>75</v>
      </c>
      <c r="L8" s="12" t="n">
        <f aca="false">O8+R8+U8+X8+AA8+AD8+AG8+AJ8+AM8+AP8+AS8+AV8</f>
        <v>113.45</v>
      </c>
      <c r="N8" s="9" t="n">
        <f aca="false">SUMIF(konwertery!C$2:C$300,A8,Virtualo!L$2:L$300)</f>
        <v>0</v>
      </c>
      <c r="O8" s="10" t="n">
        <f aca="false">(SUMIF(konwertery!C$2:C$300,A8,Virtualo!P$2:P$300))</f>
        <v>0</v>
      </c>
      <c r="Q8" s="9" t="n">
        <f aca="false">SUMIF(konwertery!D$2:D$300,A8,Empik!M$2:M$300)</f>
        <v>1</v>
      </c>
      <c r="R8" s="10" t="n">
        <f aca="false">SUMIF(konwertery!D$2:D$300,A8,Empik!N$2:N$300)</f>
        <v>9</v>
      </c>
      <c r="T8" s="13" t="n">
        <f aca="false">SUMIF(konwertery!E$2:E$300,A8,Publio!P$2:P$300)</f>
        <v>0</v>
      </c>
      <c r="U8" s="14" t="n">
        <f aca="false">SUMIF(konwertery!E$2:E$300,A8,konwertery!F$2:F$300)</f>
        <v>0</v>
      </c>
      <c r="W8" s="9" t="n">
        <f aca="false">SUMIF(Legimi!D$2:D$300,A8,Legimi!G$2:G$300)</f>
        <v>0</v>
      </c>
      <c r="X8" s="10" t="n">
        <f aca="false">SUMIF(Legimi!D$2:D$300,A8,Legimi!H$2:H$300)</f>
        <v>0</v>
      </c>
      <c r="Z8" s="9" t="n">
        <f aca="false">SUMIF(konwertery!G$2:G$302,A8,Nexto!J$2:J$283)</f>
        <v>0</v>
      </c>
      <c r="AA8" s="9" t="n">
        <f aca="false">SUMIF(konwertery!G$2:G$302,A8,Nexto!N$2:P$302)</f>
        <v>0</v>
      </c>
      <c r="AC8" s="9" t="n">
        <f aca="false">SUMIF(Woblink!E$14:E$314,A8,Woblink!I$14:I$314)</f>
        <v>0</v>
      </c>
      <c r="AD8" s="10" t="n">
        <f aca="false">SUMIF(Woblink!E$14:E$314,A8,konwertery!R$2:R$300)</f>
        <v>0</v>
      </c>
      <c r="AF8" s="9" t="n">
        <f aca="false">SUM(SUMIF(konwertery!I$2:I$300,A8,Azymut!H$2:H$298),(SUMIF(konwertery!S$2:S$300,A8,AzymutB!H$2:H304)*2))</f>
        <v>0</v>
      </c>
      <c r="AG8" s="8" t="n">
        <f aca="false">SUM(SUMIF(konwertery!I$2:I$300,A8,konwertery!J$2:J$300),SUMIF(konwertery!S$2:S$300,A8,konwertery!T$2:T$300))</f>
        <v>0</v>
      </c>
      <c r="AI8" s="9" t="n">
        <f aca="false">SUMIF(konwertery!K$2:K$300,A8,Ebookpoint!F$14:F$312)</f>
        <v>0</v>
      </c>
      <c r="AJ8" s="9" t="n">
        <f aca="false">SUMIF(konwertery!K$2:K$300,A8,Ebookpoint!M$14:M$312)</f>
        <v>0</v>
      </c>
      <c r="AL8" s="9" t="n">
        <f aca="false">SUMIF(konwertery!L$2:L$300,A8,Nasbi!F$14:F$312)</f>
        <v>0</v>
      </c>
      <c r="AM8" s="9" t="n">
        <f aca="false">SUMIF(konwertery!L$2:L$300,A8,Nasbi!K$14:K$312)</f>
        <v>0</v>
      </c>
      <c r="AO8" s="9" t="n">
        <f aca="false">SUMIF(StorytelE!C$2:C$300,A8,konwertery!M$2:M$300)+SUMIF(StorytelA!C$2:C$300,A8,konwertery!N$2:N$300)</f>
        <v>73</v>
      </c>
      <c r="AP8" s="9" t="n">
        <f aca="false">SUMIF(StorytelE!C$2:C$300,A8,konwertery!O$2:O$300)+SUMIF(StorytelA!C$2:C$300,A8,konwertery!P$2:P$300)</f>
        <v>95.94</v>
      </c>
      <c r="AR8" s="9" t="n">
        <f aca="false">SUMIF(konwertery!U$2:U$300,A8,Audioteka!E$4:E$302)</f>
        <v>1</v>
      </c>
      <c r="AS8" s="9" t="n">
        <f aca="false">SUMIF(konwertery!U$2:U$300,A8,Audioteka!O$4:O$302)</f>
        <v>8.51</v>
      </c>
      <c r="AU8" s="9" t="n">
        <f aca="false">SUMIF(Bookbeat!A$9:A$309,A8,Bookbeat!H$9:H$309)</f>
        <v>0</v>
      </c>
      <c r="AV8" s="10" t="n">
        <f aca="false">SUMIF(Bookbeat!A$9:A$309,A8,Bookbeat!L$9:L$309)</f>
        <v>0</v>
      </c>
    </row>
    <row r="9" customFormat="false" ht="15.75" hidden="false" customHeight="false" outlineLevel="0" collapsed="false">
      <c r="A9" s="11" t="n">
        <v>9788365156594</v>
      </c>
      <c r="B9" s="8" t="s">
        <v>22</v>
      </c>
      <c r="E9" s="3" t="n">
        <f aca="false">H9+K9</f>
        <v>1</v>
      </c>
      <c r="F9" s="4" t="n">
        <f aca="false">I9+L9</f>
        <v>5.9461</v>
      </c>
      <c r="H9" s="9" t="n">
        <f aca="false">SUMIF(konwertery!A$2:A$300,A9,Histmag!C$2:C$300)</f>
        <v>1</v>
      </c>
      <c r="I9" s="10" t="n">
        <f aca="false">SUMIF(konwertery!A$2:A$300,A9,konwertery!B$2:B$300) * 0.97</f>
        <v>5.9461</v>
      </c>
      <c r="K9" s="7" t="n">
        <f aca="false">N9+Q9+T9+W9+Z9+AC9+AF9+AI9+AL9+AO9+AR9+AU9</f>
        <v>0</v>
      </c>
      <c r="L9" s="12" t="n">
        <f aca="false">O9+R9+U9+X9+AA9+AD9+AG9+AJ9+AM9+AP9+AS9+AV9</f>
        <v>0</v>
      </c>
      <c r="N9" s="9" t="n">
        <f aca="false">SUMIF(konwertery!C$2:C$300,A9,Virtualo!L$2:L$300)</f>
        <v>0</v>
      </c>
      <c r="O9" s="10" t="n">
        <f aca="false">(SUMIF(konwertery!C$2:C$300,A9,Virtualo!P$2:P$300))</f>
        <v>0</v>
      </c>
      <c r="Q9" s="9" t="n">
        <f aca="false">SUMIF(konwertery!D$2:D$300,A9,Empik!M$2:M$300)</f>
        <v>0</v>
      </c>
      <c r="R9" s="10" t="n">
        <f aca="false">SUMIF(konwertery!D$2:D$300,A9,Empik!N$2:N$300)</f>
        <v>0</v>
      </c>
      <c r="T9" s="13" t="n">
        <f aca="false">SUMIF(konwertery!E$2:E$300,A9,Publio!P$2:P$300)</f>
        <v>0</v>
      </c>
      <c r="U9" s="14" t="n">
        <f aca="false">SUMIF(konwertery!E$2:E$300,A9,konwertery!F$2:F$300)</f>
        <v>0</v>
      </c>
      <c r="W9" s="9" t="n">
        <f aca="false">SUMIF(Legimi!D$2:D$300,A9,Legimi!G$2:G$300)</f>
        <v>0</v>
      </c>
      <c r="X9" s="10" t="n">
        <f aca="false">SUMIF(Legimi!D$2:D$300,A9,Legimi!H$2:H$300)</f>
        <v>0</v>
      </c>
      <c r="Z9" s="9" t="n">
        <f aca="false">SUMIF(konwertery!G$2:G$302,A9,Nexto!J$2:J$283)</f>
        <v>0</v>
      </c>
      <c r="AA9" s="9" t="n">
        <f aca="false">SUMIF(konwertery!G$2:G$302,A9,Nexto!N$2:P$302)</f>
        <v>0</v>
      </c>
      <c r="AC9" s="9" t="n">
        <f aca="false">SUMIF(Woblink!E$9:E$309,A9,Woblink!I$9:I$309)</f>
        <v>0</v>
      </c>
      <c r="AD9" s="10" t="n">
        <f aca="false">SUMIF(Woblink!E$14:E$314,A9,konwertery!R$2:R$300)</f>
        <v>0</v>
      </c>
      <c r="AF9" s="9" t="n">
        <f aca="false">SUM(SUMIF(konwertery!I$2:I$300,A9,Azymut!H$2:H$298),(SUMIF(konwertery!S$2:S$300,A9,AzymutB!H$2:H305)*2))</f>
        <v>0</v>
      </c>
      <c r="AG9" s="8" t="n">
        <f aca="false">SUM(SUMIF(konwertery!I$2:I$300,A9,konwertery!J$2:J$300),SUMIF(konwertery!S$2:S$300,A9,konwertery!T$2:T$300))</f>
        <v>0</v>
      </c>
      <c r="AI9" s="9" t="n">
        <f aca="false">SUMIF(konwertery!K$2:K$300,A9,Ebookpoint!F$14:F$312)</f>
        <v>0</v>
      </c>
      <c r="AJ9" s="9" t="n">
        <f aca="false">SUMIF(konwertery!K$2:K$300,A9,Ebookpoint!M$14:M$312)</f>
        <v>0</v>
      </c>
      <c r="AL9" s="9" t="n">
        <f aca="false">SUMIF(konwertery!L$2:L$300,A9,Nasbi!F$14:F$312)</f>
        <v>0</v>
      </c>
      <c r="AM9" s="9" t="n">
        <f aca="false">SUMIF(konwertery!L$2:L$300,A9,Nasbi!K$14:K$312)</f>
        <v>0</v>
      </c>
      <c r="AO9" s="9" t="n">
        <f aca="false">SUMIF(StorytelE!C$2:C$300,A9,konwertery!M$2:M$300)+SUMIF(StorytelA!C$2:C$300,A9,konwertery!N$2:N$300)</f>
        <v>0</v>
      </c>
      <c r="AP9" s="9" t="n">
        <f aca="false">SUMIF(StorytelE!C$2:C$300,A9,konwertery!O$2:O$300)+SUMIF(StorytelA!C$2:C$300,A9,konwertery!P$2:P$300)</f>
        <v>0</v>
      </c>
      <c r="AR9" s="9" t="n">
        <f aca="false">SUMIF(konwertery!U$2:U$300,A9,Audioteka!E$4:E$302)</f>
        <v>0</v>
      </c>
      <c r="AS9" s="9" t="n">
        <f aca="false">SUMIF(konwertery!U$2:U$300,A9,Audioteka!O$4:O$302)</f>
        <v>0</v>
      </c>
      <c r="AU9" s="9" t="n">
        <f aca="false">SUMIF(Bookbeat!A$9:A$309,A9,Bookbeat!H$9:H$309)</f>
        <v>0</v>
      </c>
      <c r="AV9" s="10" t="n">
        <f aca="false">SUMIF(Bookbeat!A$9:A$309,A9,Bookbeat!L$9:L$309)</f>
        <v>0</v>
      </c>
    </row>
    <row r="10" customFormat="false" ht="15.75" hidden="false" customHeight="false" outlineLevel="0" collapsed="false">
      <c r="A10" s="11" t="n">
        <v>9788393463022</v>
      </c>
      <c r="B10" s="8" t="s">
        <v>23</v>
      </c>
      <c r="E10" s="3" t="n">
        <f aca="false">H10+K10</f>
        <v>1</v>
      </c>
      <c r="F10" s="4" t="n">
        <f aca="false">I10+L10</f>
        <v>4.1516</v>
      </c>
      <c r="H10" s="9" t="n">
        <f aca="false">SUMIF(konwertery!A$2:A$300,A10,Histmag!C$2:C$300)</f>
        <v>1</v>
      </c>
      <c r="I10" s="10" t="n">
        <f aca="false">SUMIF(konwertery!A$2:A$300,A10,konwertery!B$2:B$300) * 0.97</f>
        <v>4.1516</v>
      </c>
      <c r="K10" s="7" t="n">
        <f aca="false">N10+Q10+T10+W10+Z10+AC10+AF10+AI10+AL10+AO10+AR10+AU10</f>
        <v>0</v>
      </c>
      <c r="L10" s="12" t="n">
        <f aca="false">O10+R10+U10+X10+AA10+AD10+AG10+AJ10+AM10+AP10+AS10+AV10</f>
        <v>0</v>
      </c>
      <c r="N10" s="9" t="n">
        <f aca="false">SUMIF(konwertery!C$2:C$300,A10,Virtualo!L$2:L$300)</f>
        <v>0</v>
      </c>
      <c r="O10" s="10" t="n">
        <f aca="false">(SUMIF(konwertery!C$2:C$300,A10,Virtualo!P$2:P$300))</f>
        <v>0</v>
      </c>
      <c r="Q10" s="9" t="n">
        <f aca="false">SUMIF(konwertery!D$2:D$300,A10,Empik!M$2:M$300)</f>
        <v>0</v>
      </c>
      <c r="R10" s="10" t="n">
        <f aca="false">SUMIF(konwertery!D$2:D$300,A10,Empik!N$2:N$300)</f>
        <v>0</v>
      </c>
      <c r="T10" s="13" t="n">
        <f aca="false">SUMIF(konwertery!E$2:E$300,A10,Publio!P$2:P$300)</f>
        <v>0</v>
      </c>
      <c r="U10" s="14" t="n">
        <f aca="false">SUMIF(konwertery!E$2:E$300,A10,konwertery!F$2:F$300)</f>
        <v>0</v>
      </c>
      <c r="W10" s="9" t="n">
        <f aca="false">SUMIF(Legimi!D$2:D$300,A10,Legimi!G$2:G$300)</f>
        <v>0</v>
      </c>
      <c r="X10" s="10" t="n">
        <f aca="false">SUMIF(Legimi!D$2:D$300,A10,Legimi!H$2:H$300)</f>
        <v>0</v>
      </c>
      <c r="Z10" s="9" t="n">
        <f aca="false">SUMIF(konwertery!G$2:G$302,A10,Nexto!J$2:J$283)</f>
        <v>0</v>
      </c>
      <c r="AA10" s="9" t="n">
        <f aca="false">SUMIF(konwertery!G$2:G$302,A10,Nexto!N$2:P$302)</f>
        <v>0</v>
      </c>
      <c r="AC10" s="9" t="n">
        <f aca="false">SUMIF(Woblink!E$9:E$309,A10,Woblink!I$9:I$309)</f>
        <v>0</v>
      </c>
      <c r="AD10" s="10" t="n">
        <f aca="false">SUMIF(Woblink!E$14:E$314,A10,konwertery!R$2:R$300)</f>
        <v>0</v>
      </c>
      <c r="AF10" s="9" t="n">
        <f aca="false">SUM(SUMIF(konwertery!I$2:I$300,A10,Azymut!H$2:H$298),(SUMIF(konwertery!S$2:S$300,A10,AzymutB!H$2:H306)*2))</f>
        <v>0</v>
      </c>
      <c r="AG10" s="8" t="n">
        <f aca="false">SUM(SUMIF(konwertery!I$2:I$300,A10,konwertery!J$2:J$300),SUMIF(konwertery!S$2:S$300,A10,konwertery!T$2:T$300))</f>
        <v>0</v>
      </c>
      <c r="AI10" s="9" t="n">
        <f aca="false">SUMIF(konwertery!K$2:K$300,A10,Ebookpoint!F$14:F$312)</f>
        <v>0</v>
      </c>
      <c r="AJ10" s="9" t="n">
        <f aca="false">SUMIF(konwertery!K$2:K$300,A10,Ebookpoint!M$14:M$312)</f>
        <v>0</v>
      </c>
      <c r="AL10" s="9" t="n">
        <f aca="false">SUMIF(konwertery!L$2:L$300,A10,Nasbi!F$14:F$312)</f>
        <v>0</v>
      </c>
      <c r="AM10" s="9" t="n">
        <f aca="false">SUMIF(konwertery!L$2:L$300,A10,Nasbi!K$14:K$312)</f>
        <v>0</v>
      </c>
      <c r="AO10" s="9" t="n">
        <f aca="false">SUMIF(StorytelE!C$2:C$300,A10,konwertery!M$2:M$300)+SUMIF(StorytelA!C$2:C$300,A10,konwertery!N$2:N$300)</f>
        <v>0</v>
      </c>
      <c r="AP10" s="9" t="n">
        <f aca="false">SUMIF(StorytelE!C$2:C$300,A10,konwertery!O$2:O$300)+SUMIF(StorytelA!C$2:C$300,A10,konwertery!P$2:P$300)</f>
        <v>0</v>
      </c>
      <c r="AR10" s="9" t="n">
        <f aca="false">SUMIF(konwertery!U$2:U$300,A10,Audioteka!E$4:E$302)</f>
        <v>0</v>
      </c>
      <c r="AS10" s="9" t="n">
        <f aca="false">SUMIF(konwertery!U$2:U$300,A10,Audioteka!O$4:O$302)</f>
        <v>0</v>
      </c>
      <c r="AU10" s="9" t="n">
        <f aca="false">SUMIF(Bookbeat!A$9:A$309,A10,Bookbeat!H$9:H$309)</f>
        <v>0</v>
      </c>
      <c r="AV10" s="10" t="n">
        <f aca="false">SUMIF(Bookbeat!A$9:A$309,A10,Bookbeat!L$9:L$309)</f>
        <v>0</v>
      </c>
    </row>
    <row r="11" customFormat="false" ht="15.75" hidden="false" customHeight="false" outlineLevel="0" collapsed="false">
      <c r="A11" s="11" t="n">
        <v>9788365156044</v>
      </c>
      <c r="B11" s="8" t="s">
        <v>24</v>
      </c>
      <c r="E11" s="3" t="n">
        <f aca="false">H11+K11</f>
        <v>0</v>
      </c>
      <c r="F11" s="4" t="n">
        <f aca="false">I11+L11</f>
        <v>0</v>
      </c>
      <c r="H11" s="9" t="n">
        <f aca="false">SUMIF(konwertery!A$2:A$300,A11,Histmag!C$2:C$300)</f>
        <v>0</v>
      </c>
      <c r="I11" s="10" t="n">
        <f aca="false">SUMIF(konwertery!A$2:A$300,A11,konwertery!B$2:B$300) * 0.97</f>
        <v>0</v>
      </c>
      <c r="K11" s="7" t="n">
        <f aca="false">N11+Q11+T11+W11+Z11+AC11+AF11+AI11+AL11+AO11+AR11+AU11</f>
        <v>0</v>
      </c>
      <c r="L11" s="12" t="n">
        <f aca="false">O11+R11+U11+X11+AA11+AD11+AG11+AJ11+AM11+AP11+AS11+AV11</f>
        <v>0</v>
      </c>
      <c r="N11" s="9" t="n">
        <f aca="false">SUMIF(konwertery!C$2:C$300,A11,Virtualo!L$2:L$300)</f>
        <v>0</v>
      </c>
      <c r="O11" s="10" t="n">
        <f aca="false">(SUMIF(konwertery!C$2:C$300,A11,Virtualo!P$2:P$300))</f>
        <v>0</v>
      </c>
      <c r="Q11" s="9" t="n">
        <f aca="false">SUMIF(konwertery!D$2:D$300,A11,Empik!M$2:M$300)</f>
        <v>0</v>
      </c>
      <c r="R11" s="10" t="n">
        <f aca="false">SUMIF(konwertery!D$2:D$300,A11,Empik!N$2:N$300)</f>
        <v>0</v>
      </c>
      <c r="T11" s="13" t="n">
        <f aca="false">SUMIF(konwertery!E$2:E$300,A11,Publio!P$2:P$300)</f>
        <v>0</v>
      </c>
      <c r="U11" s="14" t="n">
        <f aca="false">SUMIF(konwertery!E$2:E$300,A11,konwertery!F$2:F$300)</f>
        <v>0</v>
      </c>
      <c r="W11" s="9" t="n">
        <f aca="false">SUMIF(Legimi!D$2:D$300,A11,Legimi!G$2:G$300)</f>
        <v>0</v>
      </c>
      <c r="X11" s="10" t="n">
        <f aca="false">SUMIF(Legimi!D$2:D$300,A11,Legimi!H$2:H$300)</f>
        <v>0</v>
      </c>
      <c r="Z11" s="9" t="n">
        <f aca="false">SUMIF(konwertery!G$2:G$302,A11,Nexto!J$2:J$283)</f>
        <v>0</v>
      </c>
      <c r="AA11" s="9" t="n">
        <f aca="false">SUMIF(konwertery!G$2:G$302,A11,Nexto!N$2:P$302)</f>
        <v>0</v>
      </c>
      <c r="AC11" s="9" t="n">
        <f aca="false">SUMIF(Woblink!E$9:E$309,A11,Woblink!I$9:I$309)</f>
        <v>0</v>
      </c>
      <c r="AD11" s="10" t="n">
        <f aca="false">SUMIF(Woblink!E$14:E$314,A11,konwertery!R$2:R$300)</f>
        <v>0</v>
      </c>
      <c r="AF11" s="9" t="n">
        <f aca="false">SUM(SUMIF(konwertery!I$2:I$300,A11,Azymut!H$2:H$298),(SUMIF(konwertery!S$2:S$300,A11,AzymutB!H$2:H307)*2))</f>
        <v>0</v>
      </c>
      <c r="AG11" s="8" t="n">
        <f aca="false">SUM(SUMIF(konwertery!I$2:I$300,A11,konwertery!J$2:J$300),SUMIF(konwertery!S$2:S$300,A11,konwertery!T$2:T$300))</f>
        <v>0</v>
      </c>
      <c r="AI11" s="9" t="n">
        <f aca="false">SUMIF(konwertery!K$2:K$300,A11,Ebookpoint!F$14:F$312)</f>
        <v>0</v>
      </c>
      <c r="AJ11" s="9" t="n">
        <f aca="false">SUMIF(konwertery!K$2:K$300,A11,Ebookpoint!M$14:M$312)</f>
        <v>0</v>
      </c>
      <c r="AL11" s="9" t="n">
        <f aca="false">SUMIF(konwertery!L$2:L$300,A11,Nasbi!F$14:F$312)</f>
        <v>0</v>
      </c>
      <c r="AM11" s="9" t="n">
        <f aca="false">SUMIF(konwertery!L$2:L$300,A11,Nasbi!K$14:K$312)</f>
        <v>0</v>
      </c>
      <c r="AO11" s="9" t="n">
        <f aca="false">SUMIF(StorytelE!C$2:C$300,A11,konwertery!M$2:M$300)+SUMIF(StorytelA!C$2:C$300,A11,konwertery!N$2:N$300)</f>
        <v>0</v>
      </c>
      <c r="AP11" s="9" t="n">
        <f aca="false">SUMIF(StorytelE!C$2:C$300,A11,konwertery!O$2:O$300)+SUMIF(StorytelA!C$2:C$300,A11,konwertery!P$2:P$300)</f>
        <v>0</v>
      </c>
      <c r="AR11" s="9" t="n">
        <f aca="false">SUMIF(konwertery!U$2:U$300,A11,Audioteka!E$4:E$302)</f>
        <v>0</v>
      </c>
      <c r="AS11" s="9" t="n">
        <f aca="false">SUMIF(konwertery!U$2:U$300,A11,Audioteka!O$4:O$302)</f>
        <v>0</v>
      </c>
      <c r="AU11" s="9" t="n">
        <f aca="false">SUMIF(Bookbeat!A$9:A$309,A11,Bookbeat!H$9:H$309)</f>
        <v>0</v>
      </c>
      <c r="AV11" s="10" t="n">
        <f aca="false">SUMIF(Bookbeat!A$9:A$309,A11,Bookbeat!L$9:L$309)</f>
        <v>0</v>
      </c>
    </row>
    <row r="12" customFormat="false" ht="15.75" hidden="false" customHeight="false" outlineLevel="0" collapsed="false">
      <c r="A12" s="11" t="n">
        <v>9788365156532</v>
      </c>
      <c r="B12" s="8" t="s">
        <v>25</v>
      </c>
      <c r="E12" s="3" t="n">
        <f aca="false">H12+K12</f>
        <v>5</v>
      </c>
      <c r="F12" s="4" t="n">
        <f aca="false">I12+L12</f>
        <v>45.8262</v>
      </c>
      <c r="H12" s="9" t="n">
        <f aca="false">SUMIF(konwertery!A$2:A$300,A12,Histmag!C$2:C$300)</f>
        <v>1</v>
      </c>
      <c r="I12" s="10" t="n">
        <f aca="false">SUMIF(konwertery!A$2:A$300,A12,konwertery!B$2:B$300) * 0.97</f>
        <v>10.1462</v>
      </c>
      <c r="K12" s="7" t="n">
        <f aca="false">N12+Q12+T12+W12+Z12+AC12+AF12+AI12+AL12+AO12+AR12+AU12</f>
        <v>4</v>
      </c>
      <c r="L12" s="12" t="n">
        <f aca="false">O12+R12+U12+X12+AA12+AD12+AG12+AJ12+AM12+AP12+AS12+AV12</f>
        <v>35.68</v>
      </c>
      <c r="N12" s="9" t="n">
        <f aca="false">SUMIF(konwertery!C$2:C$300,A12,Virtualo!L$2:L$300)</f>
        <v>1</v>
      </c>
      <c r="O12" s="10" t="n">
        <f aca="false">(SUMIF(konwertery!C$2:C$300,A12,Virtualo!P$2:P$300))</f>
        <v>12.31</v>
      </c>
      <c r="Q12" s="9" t="n">
        <f aca="false">SUMIF(konwertery!D$2:D$300,A12,Empik!M$2:M$300)</f>
        <v>2</v>
      </c>
      <c r="R12" s="10" t="n">
        <f aca="false">SUMIF(konwertery!D$2:D$300,A12,Empik!N$2:N$300)</f>
        <v>12</v>
      </c>
      <c r="T12" s="13" t="n">
        <f aca="false">SUMIF(konwertery!E$2:E$300,A12,Publio!P$2:P$300)</f>
        <v>0</v>
      </c>
      <c r="U12" s="14" t="n">
        <f aca="false">SUMIF(konwertery!E$2:E$300,A12,konwertery!F$2:F$300)</f>
        <v>0</v>
      </c>
      <c r="W12" s="9" t="n">
        <f aca="false">SUMIF(Legimi!D$2:D$300,A12,Legimi!G$2:G$300)</f>
        <v>0</v>
      </c>
      <c r="X12" s="10" t="n">
        <f aca="false">SUMIF(Legimi!D$2:D$300,A12,Legimi!H$2:H$300)</f>
        <v>0</v>
      </c>
      <c r="Z12" s="9" t="n">
        <f aca="false">SUMIF(konwertery!G$2:G$302,A12,Nexto!J$2:J$283)</f>
        <v>0</v>
      </c>
      <c r="AA12" s="9" t="n">
        <f aca="false">SUMIF(konwertery!G$2:G$302,A12,Nexto!N$2:P$302)</f>
        <v>0</v>
      </c>
      <c r="AC12" s="9" t="n">
        <f aca="false">SUMIF(Woblink!E$9:E$309,A12,Woblink!I$9:I$309)</f>
        <v>1</v>
      </c>
      <c r="AD12" s="10" t="n">
        <f aca="false">SUMIF(Woblink!E$14:E$314,A12,konwertery!R$2:R$300)</f>
        <v>11.37</v>
      </c>
      <c r="AF12" s="9" t="n">
        <f aca="false">SUM(SUMIF(konwertery!I$2:I$300,A12,Azymut!H$2:H$298),(SUMIF(konwertery!S$2:S$300,A12,AzymutB!H$2:H308)*2))</f>
        <v>0</v>
      </c>
      <c r="AG12" s="8" t="n">
        <f aca="false">SUM(SUMIF(konwertery!I$2:I$300,A12,konwertery!J$2:J$300),SUMIF(konwertery!S$2:S$300,A12,konwertery!T$2:T$300))</f>
        <v>0</v>
      </c>
      <c r="AI12" s="9" t="n">
        <f aca="false">SUMIF(konwertery!K$2:K$300,A12,Ebookpoint!F$14:F$312)</f>
        <v>0</v>
      </c>
      <c r="AJ12" s="9" t="n">
        <f aca="false">SUMIF(konwertery!K$2:K$300,A12,Ebookpoint!M$14:M$312)</f>
        <v>0</v>
      </c>
      <c r="AL12" s="9" t="n">
        <f aca="false">SUMIF(konwertery!L$2:L$300,A12,Nasbi!F$14:F$312)</f>
        <v>0</v>
      </c>
      <c r="AM12" s="9" t="n">
        <f aca="false">SUMIF(konwertery!L$2:L$300,A12,Nasbi!K$14:K$312)</f>
        <v>0</v>
      </c>
      <c r="AO12" s="9" t="n">
        <f aca="false">SUMIF(StorytelE!C$2:C$300,A12,konwertery!M$2:M$300)+SUMIF(StorytelA!C$2:C$300,A12,konwertery!N$2:N$300)</f>
        <v>0</v>
      </c>
      <c r="AP12" s="9" t="n">
        <f aca="false">SUMIF(StorytelE!C$2:C$300,A12,konwertery!O$2:O$300)+SUMIF(StorytelA!C$2:C$300,A12,konwertery!P$2:P$300)</f>
        <v>0</v>
      </c>
      <c r="AR12" s="9" t="n">
        <f aca="false">SUMIF(konwertery!U$2:U$300,A12,Audioteka!E$4:E$302)</f>
        <v>0</v>
      </c>
      <c r="AS12" s="9" t="n">
        <f aca="false">SUMIF(konwertery!U$2:U$300,A12,Audioteka!O$4:O$302)</f>
        <v>0</v>
      </c>
      <c r="AU12" s="9" t="n">
        <f aca="false">SUMIF(Bookbeat!A$9:A$309,A12,Bookbeat!H$9:H$309)</f>
        <v>0</v>
      </c>
      <c r="AV12" s="10" t="n">
        <f aca="false">SUMIF(Bookbeat!A$9:A$309,A12,Bookbeat!L$9:L$309)</f>
        <v>0</v>
      </c>
    </row>
    <row r="13" customFormat="false" ht="15.75" hidden="false" customHeight="false" outlineLevel="0" collapsed="false">
      <c r="A13" s="11" t="n">
        <v>9788365156624</v>
      </c>
      <c r="B13" s="15" t="s">
        <v>26</v>
      </c>
      <c r="E13" s="3" t="n">
        <f aca="false">H13+K13</f>
        <v>6</v>
      </c>
      <c r="F13" s="4" t="n">
        <f aca="false">I13+L13</f>
        <v>42.79</v>
      </c>
      <c r="H13" s="9" t="n">
        <f aca="false">SUMIF(konwertery!A$2:A$300,A13,Histmag!C$2:C$300)</f>
        <v>0</v>
      </c>
      <c r="I13" s="10" t="n">
        <f aca="false">SUMIF(konwertery!A$2:A$300,A13,konwertery!B$2:B$300) * 0.97</f>
        <v>0</v>
      </c>
      <c r="K13" s="7" t="n">
        <f aca="false">N13+Q13+T13+W13+Z13+AC13+AF13+AI13+AL13+AO13+AR13+AU13</f>
        <v>6</v>
      </c>
      <c r="L13" s="12" t="n">
        <f aca="false">O13+R13+U13+X13+AA13+AD13+AG13+AJ13+AM13+AP13+AS13+AV13</f>
        <v>42.79</v>
      </c>
      <c r="N13" s="9" t="n">
        <f aca="false">SUMIF(konwertery!C$2:C$300,A13,Virtualo!L$2:L$300)</f>
        <v>0</v>
      </c>
      <c r="O13" s="10" t="n">
        <f aca="false">(SUMIF(konwertery!C$2:C$300,A13,Virtualo!P$2:P$300))</f>
        <v>0</v>
      </c>
      <c r="Q13" s="9" t="n">
        <f aca="false">SUMIF(konwertery!D$2:D$300,A13,Empik!M$2:M$300)</f>
        <v>0</v>
      </c>
      <c r="R13" s="10" t="n">
        <f aca="false">SUMIF(konwertery!D$2:D$300,A13,Empik!N$2:N$300)</f>
        <v>0</v>
      </c>
      <c r="T13" s="13" t="n">
        <f aca="false">SUMIF(konwertery!E$2:E$300,A13,Publio!P$2:P$300)</f>
        <v>0</v>
      </c>
      <c r="U13" s="14" t="n">
        <f aca="false">SUMIF(konwertery!E$2:E$300,A13,konwertery!F$2:F$300)</f>
        <v>0</v>
      </c>
      <c r="W13" s="9" t="n">
        <f aca="false">SUMIF(Legimi!D$2:D$300,A13,Legimi!G$2:G$300)</f>
        <v>0</v>
      </c>
      <c r="X13" s="10" t="n">
        <f aca="false">SUMIF(Legimi!D$2:D$300,A13,Legimi!H$2:H$300)</f>
        <v>0</v>
      </c>
      <c r="Z13" s="9" t="n">
        <f aca="false">SUMIF(konwertery!G$2:G$302,A13,Nexto!J$2:J$283)</f>
        <v>0</v>
      </c>
      <c r="AA13" s="9" t="n">
        <f aca="false">SUMIF(konwertery!G$2:G$302,A13,Nexto!N$2:P$302)</f>
        <v>0</v>
      </c>
      <c r="AC13" s="9" t="n">
        <f aca="false">SUMIF(Woblink!E$9:E$309,A13,Woblink!I$9:I$309)</f>
        <v>0</v>
      </c>
      <c r="AD13" s="10" t="n">
        <f aca="false">SUMIF(Woblink!E$14:E$314,A13,konwertery!R$2:R$300)</f>
        <v>0</v>
      </c>
      <c r="AF13" s="9" t="n">
        <f aca="false">SUM(SUMIF(konwertery!I$2:I$300,A13,Azymut!H$2:H$298),(SUMIF(konwertery!S$2:S$300,A13,AzymutB!H$2:H309)*2))</f>
        <v>1</v>
      </c>
      <c r="AG13" s="8" t="n">
        <f aca="false">SUM(SUMIF(konwertery!I$2:I$300,A13,konwertery!J$2:J$300),SUMIF(konwertery!S$2:S$300,A13,konwertery!T$2:T$300))</f>
        <v>11.37</v>
      </c>
      <c r="AI13" s="9" t="n">
        <f aca="false">SUMIF(konwertery!K$2:K$300,A13,Ebookpoint!F$14:F$312)</f>
        <v>1</v>
      </c>
      <c r="AJ13" s="9" t="n">
        <f aca="false">SUMIF(konwertery!K$2:K$300,A13,Ebookpoint!M$14:M$312)</f>
        <v>12.13</v>
      </c>
      <c r="AL13" s="9" t="n">
        <f aca="false">SUMIF(konwertery!L$2:L$300,A13,Nasbi!F$14:F$312)</f>
        <v>1</v>
      </c>
      <c r="AM13" s="9" t="n">
        <f aca="false">SUMIF(konwertery!L$2:L$300,A13,Nasbi!K$14:K$312)</f>
        <v>12.13</v>
      </c>
      <c r="AO13" s="9" t="n">
        <f aca="false">SUMIF(StorytelE!C$2:C$300,A13,konwertery!M$2:M$300)+SUMIF(StorytelA!C$2:C$300,A13,konwertery!N$2:N$300)</f>
        <v>2</v>
      </c>
      <c r="AP13" s="9" t="n">
        <f aca="false">SUMIF(StorytelE!C$2:C$300,A13,konwertery!O$2:O$300)+SUMIF(StorytelA!C$2:C$300,A13,konwertery!P$2:P$300)</f>
        <v>4.06</v>
      </c>
      <c r="AR13" s="9" t="n">
        <f aca="false">SUMIF(konwertery!U$2:U$300,A13,Audioteka!E$4:E$302)</f>
        <v>0</v>
      </c>
      <c r="AS13" s="9" t="n">
        <f aca="false">SUMIF(konwertery!U$2:U$300,A13,Audioteka!O$4:O$302)</f>
        <v>0</v>
      </c>
      <c r="AU13" s="9" t="n">
        <f aca="false">SUMIF(Bookbeat!A$9:A$309,A13,Bookbeat!H$9:H$309)</f>
        <v>1</v>
      </c>
      <c r="AV13" s="10" t="n">
        <f aca="false">SUMIF(Bookbeat!A$9:A$309,A13,Bookbeat!L$9:L$309)</f>
        <v>3.1</v>
      </c>
    </row>
    <row r="14" customFormat="false" ht="15.75" hidden="false" customHeight="false" outlineLevel="0" collapsed="false">
      <c r="A14" s="11" t="n">
        <v>9788365156181</v>
      </c>
      <c r="B14" s="8" t="s">
        <v>27</v>
      </c>
      <c r="E14" s="3" t="n">
        <f aca="false">H14+K14</f>
        <v>0</v>
      </c>
      <c r="F14" s="4" t="n">
        <f aca="false">I14+L14</f>
        <v>0</v>
      </c>
      <c r="H14" s="9" t="n">
        <f aca="false">SUMIF(konwertery!A$2:A$300,A14,Histmag!C$2:C$300)</f>
        <v>0</v>
      </c>
      <c r="I14" s="10" t="n">
        <f aca="false">SUMIF(konwertery!A$2:A$300,A14,konwertery!B$2:B$300) * 0.97</f>
        <v>0</v>
      </c>
      <c r="K14" s="7" t="n">
        <f aca="false">N14+Q14+T14+W14+Z14+AC14+AF14+AI14+AL14+AO14+AR14+AU14</f>
        <v>0</v>
      </c>
      <c r="L14" s="12" t="n">
        <f aca="false">O14+R14+U14+X14+AA14+AD14+AG14+AJ14+AM14+AP14+AS14+AV14</f>
        <v>0</v>
      </c>
      <c r="N14" s="9" t="n">
        <f aca="false">SUMIF(konwertery!C$2:C$300,A14,Virtualo!L$2:L$300)</f>
        <v>0</v>
      </c>
      <c r="O14" s="10" t="n">
        <f aca="false">(SUMIF(konwertery!C$2:C$300,A14,Virtualo!P$2:P$300))</f>
        <v>0</v>
      </c>
      <c r="Q14" s="9" t="n">
        <f aca="false">SUMIF(konwertery!D$2:D$300,A14,Empik!M$2:M$300)</f>
        <v>0</v>
      </c>
      <c r="R14" s="10" t="n">
        <f aca="false">SUMIF(konwertery!D$2:D$300,A14,Empik!N$2:N$300)</f>
        <v>0</v>
      </c>
      <c r="T14" s="13" t="n">
        <f aca="false">SUMIF(konwertery!E$2:E$300,A14,Publio!P$2:P$300)</f>
        <v>0</v>
      </c>
      <c r="U14" s="14" t="n">
        <f aca="false">SUMIF(konwertery!E$2:E$300,A14,konwertery!F$2:F$300)</f>
        <v>0</v>
      </c>
      <c r="W14" s="9" t="n">
        <f aca="false">SUMIF(Legimi!D$2:D$300,A14,Legimi!G$2:G$300)</f>
        <v>0</v>
      </c>
      <c r="X14" s="10" t="n">
        <f aca="false">SUMIF(Legimi!D$2:D$300,A14,Legimi!H$2:H$300)</f>
        <v>0</v>
      </c>
      <c r="Z14" s="9" t="n">
        <f aca="false">SUMIF(konwertery!G$2:G$302,A14,Nexto!J$2:J$283)</f>
        <v>0</v>
      </c>
      <c r="AA14" s="9" t="n">
        <f aca="false">SUMIF(konwertery!G$2:G$302,A14,Nexto!N$2:P$302)</f>
        <v>0</v>
      </c>
      <c r="AC14" s="9" t="n">
        <f aca="false">SUMIF(Woblink!E$9:E$309,A14,Woblink!I$9:I$309)</f>
        <v>0</v>
      </c>
      <c r="AD14" s="10" t="n">
        <f aca="false">SUMIF(Woblink!E$14:E$314,A14,konwertery!R$2:R$300)</f>
        <v>0</v>
      </c>
      <c r="AF14" s="9" t="n">
        <f aca="false">SUM(SUMIF(konwertery!I$2:I$300,A14,Azymut!H$2:H$298),(SUMIF(konwertery!S$2:S$300,A14,AzymutB!H$2:H310)*2))</f>
        <v>0</v>
      </c>
      <c r="AG14" s="8" t="n">
        <f aca="false">SUM(SUMIF(konwertery!I$2:I$300,A14,konwertery!J$2:J$300),SUMIF(konwertery!S$2:S$300,A14,konwertery!T$2:T$300))</f>
        <v>0</v>
      </c>
      <c r="AI14" s="9" t="n">
        <f aca="false">SUMIF(konwertery!K$2:K$300,A14,Ebookpoint!F$14:F$312)</f>
        <v>0</v>
      </c>
      <c r="AJ14" s="9" t="n">
        <f aca="false">SUMIF(konwertery!K$2:K$300,A14,Ebookpoint!M$14:M$312)</f>
        <v>0</v>
      </c>
      <c r="AL14" s="9" t="n">
        <f aca="false">SUMIF(konwertery!L$2:L$300,A14,Nasbi!F$14:F$312)</f>
        <v>0</v>
      </c>
      <c r="AM14" s="9" t="n">
        <f aca="false">SUMIF(konwertery!L$2:L$300,A14,Nasbi!K$14:K$312)</f>
        <v>0</v>
      </c>
      <c r="AO14" s="9" t="n">
        <f aca="false">SUMIF(StorytelE!C$2:C$300,A14,konwertery!M$2:M$300)+SUMIF(StorytelA!C$2:C$300,A14,konwertery!N$2:N$300)</f>
        <v>0</v>
      </c>
      <c r="AP14" s="9" t="n">
        <f aca="false">SUMIF(StorytelE!C$2:C$300,A14,konwertery!O$2:O$300)+SUMIF(StorytelA!C$2:C$300,A14,konwertery!P$2:P$300)</f>
        <v>0</v>
      </c>
      <c r="AR14" s="9" t="n">
        <f aca="false">SUMIF(konwertery!U$2:U$300,A14,Audioteka!E$4:E$302)</f>
        <v>0</v>
      </c>
      <c r="AS14" s="9" t="n">
        <f aca="false">SUMIF(konwertery!U$2:U$300,A14,Audioteka!O$4:O$302)</f>
        <v>0</v>
      </c>
      <c r="AU14" s="9" t="n">
        <f aca="false">SUMIF(Bookbeat!A$9:A$309,A14,Bookbeat!H$9:H$309)</f>
        <v>0</v>
      </c>
      <c r="AV14" s="10" t="n">
        <f aca="false">SUMIF(Bookbeat!A$9:A$309,A14,Bookbeat!L$9:L$309)</f>
        <v>0</v>
      </c>
    </row>
    <row r="15" customFormat="false" ht="15.75" hidden="false" customHeight="false" outlineLevel="0" collapsed="false">
      <c r="A15" s="11" t="n">
        <v>9788365156204</v>
      </c>
      <c r="B15" s="8" t="s">
        <v>28</v>
      </c>
      <c r="E15" s="3" t="n">
        <f aca="false">H15+K15</f>
        <v>1</v>
      </c>
      <c r="F15" s="4" t="n">
        <f aca="false">I15+L15</f>
        <v>4.3</v>
      </c>
      <c r="H15" s="9" t="n">
        <f aca="false">SUMIF(konwertery!A$2:A$300,A15,Histmag!C$2:C$300)</f>
        <v>0</v>
      </c>
      <c r="I15" s="10" t="n">
        <f aca="false">SUMIF(konwertery!A$2:A$300,A15,konwertery!B$2:B$300) * 0.97</f>
        <v>0</v>
      </c>
      <c r="K15" s="7" t="n">
        <f aca="false">N15+Q15+T15+W15+Z15+AC15+AF15+AI15+AL15+AO15+AR15+AU15</f>
        <v>1</v>
      </c>
      <c r="L15" s="12" t="n">
        <f aca="false">O15+R15+U15+X15+AA15+AD15+AG15+AJ15+AM15+AP15+AS15+AV15</f>
        <v>4.3</v>
      </c>
      <c r="N15" s="9" t="n">
        <f aca="false">SUMIF(konwertery!C$2:C$300,A15,Virtualo!L$2:L$300)</f>
        <v>0</v>
      </c>
      <c r="O15" s="10" t="n">
        <f aca="false">(SUMIF(konwertery!C$2:C$300,A15,Virtualo!P$2:P$300))</f>
        <v>0</v>
      </c>
      <c r="Q15" s="9" t="n">
        <f aca="false">SUMIF(konwertery!D$2:D$300,A15,Empik!M$2:M$300)</f>
        <v>0</v>
      </c>
      <c r="R15" s="10" t="n">
        <f aca="false">SUMIF(konwertery!D$2:D$300,A15,Empik!N$2:N$300)</f>
        <v>0</v>
      </c>
      <c r="T15" s="13" t="n">
        <f aca="false">SUMIF(konwertery!E$2:E$300,A15,Publio!P$2:P$300)</f>
        <v>0</v>
      </c>
      <c r="U15" s="14" t="n">
        <f aca="false">SUMIF(konwertery!E$2:E$300,A15,konwertery!F$2:F$300)</f>
        <v>0</v>
      </c>
      <c r="W15" s="9" t="n">
        <f aca="false">SUMIF(Legimi!D$2:D$300,A15,Legimi!G$2:G$300)</f>
        <v>0</v>
      </c>
      <c r="X15" s="10" t="n">
        <f aca="false">SUMIF(Legimi!D$2:D$300,A15,Legimi!H$2:H$300)</f>
        <v>0</v>
      </c>
      <c r="Z15" s="9" t="n">
        <f aca="false">SUMIF(konwertery!G$2:G$302,A15,Nexto!J$2:J$283)</f>
        <v>1</v>
      </c>
      <c r="AA15" s="9" t="n">
        <f aca="false">SUMIF(konwertery!G$2:G$302,A15,Nexto!N$2:P$302)</f>
        <v>4.3</v>
      </c>
      <c r="AC15" s="9" t="n">
        <f aca="false">SUMIF(Woblink!E$9:E$309,A15,Woblink!I$9:I$309)</f>
        <v>0</v>
      </c>
      <c r="AD15" s="10" t="n">
        <f aca="false">SUMIF(Woblink!E$14:E$314,A15,konwertery!R$2:R$300)</f>
        <v>0</v>
      </c>
      <c r="AF15" s="9" t="n">
        <f aca="false">SUM(SUMIF(konwertery!I$2:I$300,A15,Azymut!H$2:H$298),(SUMIF(konwertery!S$2:S$300,A15,AzymutB!H$2:H311)*2))</f>
        <v>0</v>
      </c>
      <c r="AG15" s="8" t="n">
        <f aca="false">SUM(SUMIF(konwertery!I$2:I$300,A15,konwertery!J$2:J$300),SUMIF(konwertery!S$2:S$300,A15,konwertery!T$2:T$300))</f>
        <v>0</v>
      </c>
      <c r="AI15" s="9" t="n">
        <f aca="false">SUMIF(konwertery!K$2:K$300,A15,Ebookpoint!F$14:F$312)</f>
        <v>0</v>
      </c>
      <c r="AJ15" s="9" t="n">
        <f aca="false">SUMIF(konwertery!K$2:K$300,A15,Ebookpoint!M$14:M$312)</f>
        <v>0</v>
      </c>
      <c r="AL15" s="9" t="n">
        <f aca="false">SUMIF(konwertery!L$2:L$300,A15,Nasbi!F$14:F$312)</f>
        <v>0</v>
      </c>
      <c r="AM15" s="9" t="n">
        <f aca="false">SUMIF(konwertery!L$2:L$300,A15,Nasbi!K$14:K$312)</f>
        <v>0</v>
      </c>
      <c r="AO15" s="9" t="n">
        <f aca="false">SUMIF(StorytelE!C$2:C$300,A15,konwertery!M$2:M$300)+SUMIF(StorytelA!C$2:C$300,A15,konwertery!N$2:N$300)</f>
        <v>0</v>
      </c>
      <c r="AP15" s="9" t="n">
        <f aca="false">SUMIF(StorytelE!C$2:C$300,A15,konwertery!O$2:O$300)+SUMIF(StorytelA!C$2:C$300,A15,konwertery!P$2:P$300)</f>
        <v>0</v>
      </c>
      <c r="AR15" s="9" t="n">
        <f aca="false">SUMIF(konwertery!U$2:U$300,A15,Audioteka!E$4:E$302)</f>
        <v>0</v>
      </c>
      <c r="AS15" s="9" t="n">
        <f aca="false">SUMIF(konwertery!U$2:U$300,A15,Audioteka!O$4:O$302)</f>
        <v>0</v>
      </c>
      <c r="AU15" s="9" t="n">
        <f aca="false">SUMIF(Bookbeat!A$9:A$309,A15,Bookbeat!H$9:H$309)</f>
        <v>0</v>
      </c>
      <c r="AV15" s="10" t="n">
        <f aca="false">SUMIF(Bookbeat!A$9:A$309,A15,Bookbeat!L$9:L$309)</f>
        <v>0</v>
      </c>
    </row>
    <row r="16" customFormat="false" ht="15.75" hidden="false" customHeight="false" outlineLevel="0" collapsed="false">
      <c r="A16" s="11" t="n">
        <v>9788365156631</v>
      </c>
      <c r="B16" s="8" t="s">
        <v>29</v>
      </c>
      <c r="E16" s="3" t="n">
        <f aca="false">H16+K16</f>
        <v>1</v>
      </c>
      <c r="F16" s="4" t="n">
        <f aca="false">I16+L16</f>
        <v>9.5448</v>
      </c>
      <c r="H16" s="9" t="n">
        <f aca="false">SUMIF(konwertery!A$2:A$300,A16,Histmag!C$2:C$300)</f>
        <v>1</v>
      </c>
      <c r="I16" s="10" t="n">
        <f aca="false">SUMIF(konwertery!A$2:A$300,A16,konwertery!B$2:B$300) * 0.97</f>
        <v>9.5448</v>
      </c>
      <c r="K16" s="7" t="n">
        <f aca="false">N16+Q16+T16+W16+Z16+AC16+AF16+AI16+AL16+AO16+AR16+AU16</f>
        <v>0</v>
      </c>
      <c r="L16" s="12" t="n">
        <f aca="false">O16+R16+U16+X16+AA16+AD16+AG16+AJ16+AM16+AP16+AS16+AV16</f>
        <v>0</v>
      </c>
      <c r="N16" s="9" t="n">
        <f aca="false">SUMIF(konwertery!C$2:C$300,A16,Virtualo!L$2:L$300)</f>
        <v>0</v>
      </c>
      <c r="O16" s="10" t="n">
        <f aca="false">(SUMIF(konwertery!C$2:C$300,A16,Virtualo!P$2:P$300))</f>
        <v>0</v>
      </c>
      <c r="Q16" s="9" t="n">
        <f aca="false">SUMIF(konwertery!D$2:D$300,A16,Empik!M$2:M$300)</f>
        <v>0</v>
      </c>
      <c r="R16" s="10" t="n">
        <f aca="false">SUMIF(konwertery!D$2:D$300,A16,Empik!N$2:N$300)</f>
        <v>0</v>
      </c>
      <c r="T16" s="13" t="n">
        <f aca="false">SUMIF(konwertery!E$2:E$300,A16,Publio!P$2:P$300)</f>
        <v>0</v>
      </c>
      <c r="U16" s="14" t="n">
        <f aca="false">SUMIF(konwertery!E$2:E$300,A16,konwertery!F$2:F$300)</f>
        <v>0</v>
      </c>
      <c r="W16" s="9" t="n">
        <f aca="false">SUMIF(Legimi!D$2:D$300,A16,Legimi!G$2:G$300)</f>
        <v>0</v>
      </c>
      <c r="X16" s="10" t="n">
        <f aca="false">SUMIF(Legimi!D$2:D$300,A16,Legimi!H$2:H$300)</f>
        <v>0</v>
      </c>
      <c r="Z16" s="9" t="n">
        <f aca="false">SUMIF(konwertery!G$2:G$302,A16,Nexto!J$2:J$283)</f>
        <v>0</v>
      </c>
      <c r="AA16" s="9" t="n">
        <f aca="false">SUMIF(konwertery!G$2:G$302,A16,Nexto!N$2:P$302)</f>
        <v>0</v>
      </c>
      <c r="AC16" s="9" t="n">
        <f aca="false">SUMIF(Woblink!E$9:E$309,A16,Woblink!I$9:I$309)</f>
        <v>0</v>
      </c>
      <c r="AD16" s="10" t="n">
        <f aca="false">SUMIF(Woblink!E$14:E$314,A16,konwertery!R$2:R$300)</f>
        <v>0</v>
      </c>
      <c r="AF16" s="9" t="n">
        <f aca="false">SUM(SUMIF(konwertery!I$2:I$300,A16,Azymut!H$2:H$298),(SUMIF(konwertery!S$2:S$300,A16,AzymutB!H$2:H312)*2))</f>
        <v>0</v>
      </c>
      <c r="AG16" s="8" t="n">
        <f aca="false">SUM(SUMIF(konwertery!I$2:I$300,A16,konwertery!J$2:J$300),SUMIF(konwertery!S$2:S$300,A16,konwertery!T$2:T$300))</f>
        <v>0</v>
      </c>
      <c r="AI16" s="9" t="n">
        <f aca="false">SUMIF(konwertery!K$2:K$300,A16,Ebookpoint!F$14:F$312)</f>
        <v>0</v>
      </c>
      <c r="AJ16" s="9" t="n">
        <f aca="false">SUMIF(konwertery!K$2:K$300,A16,Ebookpoint!M$14:M$312)</f>
        <v>0</v>
      </c>
      <c r="AL16" s="9" t="n">
        <f aca="false">SUMIF(konwertery!L$2:L$300,A16,Nasbi!F$14:F$312)</f>
        <v>0</v>
      </c>
      <c r="AM16" s="9" t="n">
        <f aca="false">SUMIF(konwertery!L$2:L$300,A16,Nasbi!K$14:K$312)</f>
        <v>0</v>
      </c>
      <c r="AO16" s="9" t="n">
        <f aca="false">SUMIF(StorytelE!C$2:C$300,A16,konwertery!M$2:M$300)+SUMIF(StorytelA!C$2:C$300,A16,konwertery!N$2:N$300)</f>
        <v>0</v>
      </c>
      <c r="AP16" s="9" t="n">
        <f aca="false">SUMIF(StorytelE!C$2:C$300,A16,konwertery!O$2:O$300)+SUMIF(StorytelA!C$2:C$300,A16,konwertery!P$2:P$300)</f>
        <v>0</v>
      </c>
      <c r="AR16" s="9" t="n">
        <f aca="false">SUMIF(konwertery!U$2:U$300,A16,Audioteka!E$4:E$302)</f>
        <v>0</v>
      </c>
      <c r="AS16" s="9" t="n">
        <f aca="false">SUMIF(konwertery!U$2:U$300,A16,Audioteka!O$4:O$302)</f>
        <v>0</v>
      </c>
      <c r="AU16" s="9" t="n">
        <f aca="false">SUMIF(Bookbeat!A$9:A$309,A16,Bookbeat!H$9:H$309)</f>
        <v>0</v>
      </c>
      <c r="AV16" s="10" t="n">
        <f aca="false">SUMIF(Bookbeat!A$9:A$309,A16,Bookbeat!L$9:L$309)</f>
        <v>0</v>
      </c>
    </row>
    <row r="17" customFormat="false" ht="15.75" hidden="false" customHeight="false" outlineLevel="0" collapsed="false">
      <c r="A17" s="11" t="n">
        <v>9788393463084</v>
      </c>
      <c r="B17" s="8" t="s">
        <v>30</v>
      </c>
      <c r="E17" s="3" t="n">
        <f aca="false">H17+K17</f>
        <v>0</v>
      </c>
      <c r="F17" s="4" t="n">
        <f aca="false">I17+L17</f>
        <v>0</v>
      </c>
      <c r="H17" s="9" t="n">
        <f aca="false">SUMIF(konwertery!A$2:A$300,A17,Histmag!C$2:C$300)</f>
        <v>0</v>
      </c>
      <c r="I17" s="10" t="n">
        <f aca="false">SUMIF(konwertery!A$2:A$300,A17,konwertery!B$2:B$300) * 0.97</f>
        <v>0</v>
      </c>
      <c r="K17" s="7" t="n">
        <f aca="false">N17+Q17+T17+W17+Z17+AC17+AF17+AI17+AL17+AO17+AR17+AU17</f>
        <v>0</v>
      </c>
      <c r="L17" s="12" t="n">
        <f aca="false">O17+R17+U17+X17+AA17+AD17+AG17+AJ17+AM17+AP17+AS17+AV17</f>
        <v>0</v>
      </c>
      <c r="N17" s="9" t="n">
        <f aca="false">SUMIF(konwertery!C$2:C$300,A17,Virtualo!L$2:L$300)</f>
        <v>0</v>
      </c>
      <c r="O17" s="10" t="n">
        <f aca="false">(SUMIF(konwertery!C$2:C$300,A17,Virtualo!P$2:P$300))</f>
        <v>0</v>
      </c>
      <c r="Q17" s="9" t="n">
        <f aca="false">SUMIF(konwertery!D$2:D$300,A17,Empik!M$2:M$300)</f>
        <v>0</v>
      </c>
      <c r="R17" s="10" t="n">
        <f aca="false">SUMIF(konwertery!D$2:D$300,A17,Empik!N$2:N$300)</f>
        <v>0</v>
      </c>
      <c r="T17" s="13" t="n">
        <f aca="false">SUMIF(konwertery!E$2:E$300,A17,Publio!P$2:P$300)</f>
        <v>0</v>
      </c>
      <c r="U17" s="14" t="n">
        <f aca="false">SUMIF(konwertery!E$2:E$300,A17,konwertery!F$2:F$300)</f>
        <v>0</v>
      </c>
      <c r="W17" s="9" t="n">
        <f aca="false">SUMIF(Legimi!D$2:D$300,A17,Legimi!G$2:G$300)</f>
        <v>0</v>
      </c>
      <c r="X17" s="10" t="n">
        <f aca="false">SUMIF(Legimi!D$2:D$300,A17,Legimi!H$2:H$300)</f>
        <v>0</v>
      </c>
      <c r="Z17" s="9" t="n">
        <f aca="false">SUMIF(konwertery!G$2:G$302,A17,Nexto!J$2:J$283)</f>
        <v>0</v>
      </c>
      <c r="AA17" s="9" t="n">
        <f aca="false">SUMIF(konwertery!G$2:G$302,A17,Nexto!N$2:P$302)</f>
        <v>0</v>
      </c>
      <c r="AC17" s="9" t="n">
        <f aca="false">SUMIF(Woblink!E$9:E$309,A17,Woblink!I$9:I$309)</f>
        <v>0</v>
      </c>
      <c r="AD17" s="10" t="n">
        <f aca="false">SUMIF(Woblink!E$14:E$314,A17,konwertery!R$2:R$300)</f>
        <v>0</v>
      </c>
      <c r="AF17" s="9" t="n">
        <f aca="false">SUM(SUMIF(konwertery!I$2:I$300,A17,Azymut!H$2:H$298),(SUMIF(konwertery!S$2:S$300,A17,AzymutB!H$2:H313)*2))</f>
        <v>0</v>
      </c>
      <c r="AG17" s="8" t="n">
        <f aca="false">SUM(SUMIF(konwertery!I$2:I$300,A17,konwertery!J$2:J$300),SUMIF(konwertery!S$2:S$300,A17,konwertery!T$2:T$300))</f>
        <v>0</v>
      </c>
      <c r="AI17" s="9" t="n">
        <f aca="false">SUMIF(konwertery!K$2:K$300,A17,Ebookpoint!F$14:F$312)</f>
        <v>0</v>
      </c>
      <c r="AJ17" s="9" t="n">
        <f aca="false">SUMIF(konwertery!K$2:K$300,A17,Ebookpoint!M$14:M$312)</f>
        <v>0</v>
      </c>
      <c r="AL17" s="9" t="n">
        <f aca="false">SUMIF(konwertery!L$2:L$300,A17,Nasbi!F$14:F$312)</f>
        <v>0</v>
      </c>
      <c r="AM17" s="9" t="n">
        <f aca="false">SUMIF(konwertery!L$2:L$300,A17,Nasbi!K$14:K$312)</f>
        <v>0</v>
      </c>
      <c r="AO17" s="9" t="n">
        <f aca="false">SUMIF(StorytelE!C$2:C$300,A17,konwertery!M$2:M$300)+SUMIF(StorytelA!C$2:C$300,A17,konwertery!N$2:N$300)</f>
        <v>0</v>
      </c>
      <c r="AP17" s="9" t="n">
        <f aca="false">SUMIF(StorytelE!C$2:C$300,A17,konwertery!O$2:O$300)+SUMIF(StorytelA!C$2:C$300,A17,konwertery!P$2:P$300)</f>
        <v>0</v>
      </c>
      <c r="AR17" s="9" t="n">
        <f aca="false">SUMIF(konwertery!U$2:U$300,A17,Audioteka!E$4:E$302)</f>
        <v>0</v>
      </c>
      <c r="AS17" s="9" t="n">
        <f aca="false">SUMIF(konwertery!U$2:U$300,A17,Audioteka!O$4:O$302)</f>
        <v>0</v>
      </c>
      <c r="AU17" s="9" t="n">
        <f aca="false">SUMIF(Bookbeat!A$9:A$309,A17,Bookbeat!H$9:H$309)</f>
        <v>0</v>
      </c>
      <c r="AV17" s="10" t="n">
        <f aca="false">SUMIF(Bookbeat!A$9:A$309,A17,Bookbeat!L$9:L$309)</f>
        <v>0</v>
      </c>
    </row>
    <row r="18" customFormat="false" ht="15.75" hidden="false" customHeight="false" outlineLevel="0" collapsed="false">
      <c r="A18" s="11" t="n">
        <v>9788365156280</v>
      </c>
      <c r="B18" s="8" t="s">
        <v>31</v>
      </c>
      <c r="E18" s="3" t="n">
        <f aca="false">H18+K18</f>
        <v>4</v>
      </c>
      <c r="F18" s="4" t="n">
        <f aca="false">I18+L18</f>
        <v>15.7521</v>
      </c>
      <c r="H18" s="9" t="n">
        <f aca="false">SUMIF(konwertery!A$2:A$300,A18,Histmag!C$2:C$300)</f>
        <v>1</v>
      </c>
      <c r="I18" s="10" t="n">
        <f aca="false">SUMIF(konwertery!A$2:A$300,A18,konwertery!B$2:B$300) * 0.97</f>
        <v>7.6921</v>
      </c>
      <c r="K18" s="7" t="n">
        <f aca="false">N18+Q18+T18+W18+Z18+AC18+AF18+AI18+AL18+AO18+AR18+AU18</f>
        <v>3</v>
      </c>
      <c r="L18" s="12" t="n">
        <f aca="false">O18+R18+U18+X18+AA18+AD18+AG18+AJ18+AM18+AP18+AS18+AV18</f>
        <v>8.06</v>
      </c>
      <c r="N18" s="9" t="n">
        <f aca="false">SUMIF(konwertery!C$2:C$300,A18,Virtualo!L$2:L$300)</f>
        <v>0</v>
      </c>
      <c r="O18" s="10" t="n">
        <f aca="false">(SUMIF(konwertery!C$2:C$300,A18,Virtualo!P$2:P$300))</f>
        <v>0</v>
      </c>
      <c r="Q18" s="9" t="n">
        <f aca="false">SUMIF(konwertery!D$2:D$300,A18,Empik!M$2:M$300)</f>
        <v>0</v>
      </c>
      <c r="R18" s="10" t="n">
        <f aca="false">SUMIF(konwertery!D$2:D$300,A18,Empik!N$2:N$300)</f>
        <v>0</v>
      </c>
      <c r="T18" s="13" t="n">
        <f aca="false">SUMIF(konwertery!E$2:E$300,A18,Publio!P$2:P$300)</f>
        <v>0</v>
      </c>
      <c r="U18" s="14" t="n">
        <f aca="false">SUMIF(konwertery!E$2:E$300,A18,konwertery!F$2:F$300)</f>
        <v>0</v>
      </c>
      <c r="W18" s="9" t="n">
        <f aca="false">SUMIF(Legimi!D$2:D$300,A18,Legimi!G$2:G$300)</f>
        <v>0</v>
      </c>
      <c r="X18" s="10" t="n">
        <f aca="false">SUMIF(Legimi!D$2:D$300,A18,Legimi!H$2:H$300)</f>
        <v>0</v>
      </c>
      <c r="Z18" s="9" t="n">
        <f aca="false">SUMIF(konwertery!G$2:G$302,A18,Nexto!J$2:J$283)</f>
        <v>1</v>
      </c>
      <c r="AA18" s="9" t="n">
        <f aca="false">SUMIF(konwertery!G$2:G$302,A18,Nexto!N$2:P$302)</f>
        <v>4.97</v>
      </c>
      <c r="AC18" s="9" t="n">
        <f aca="false">SUMIF(Woblink!E$9:E$309,A18,Woblink!I$9:I$309)</f>
        <v>0</v>
      </c>
      <c r="AD18" s="10" t="n">
        <f aca="false">SUMIF(Woblink!E$14:E$314,A18,konwertery!R$2:R$300)</f>
        <v>0</v>
      </c>
      <c r="AF18" s="9" t="n">
        <f aca="false">SUM(SUMIF(konwertery!I$2:I$300,A18,Azymut!H$2:H$298),(SUMIF(konwertery!S$2:S$300,A18,AzymutB!H$2:H314)*2))</f>
        <v>0</v>
      </c>
      <c r="AG18" s="8" t="n">
        <f aca="false">SUM(SUMIF(konwertery!I$2:I$300,A18,konwertery!J$2:J$300),SUMIF(konwertery!S$2:S$300,A18,konwertery!T$2:T$300))</f>
        <v>0</v>
      </c>
      <c r="AI18" s="9" t="n">
        <f aca="false">SUMIF(konwertery!K$2:K$300,A18,Ebookpoint!F$14:F$312)</f>
        <v>0</v>
      </c>
      <c r="AJ18" s="9" t="n">
        <f aca="false">SUMIF(konwertery!K$2:K$300,A18,Ebookpoint!M$14:M$312)</f>
        <v>0</v>
      </c>
      <c r="AL18" s="9" t="n">
        <f aca="false">SUMIF(konwertery!L$2:L$300,A18,Nasbi!F$14:F$312)</f>
        <v>0</v>
      </c>
      <c r="AM18" s="9" t="n">
        <f aca="false">SUMIF(konwertery!L$2:L$300,A18,Nasbi!K$14:K$312)</f>
        <v>0</v>
      </c>
      <c r="AO18" s="9" t="n">
        <f aca="false">SUMIF(StorytelE!C$2:C$300,A18,konwertery!M$2:M$300)+SUMIF(StorytelA!C$2:C$300,A18,konwertery!N$2:N$300)</f>
        <v>2</v>
      </c>
      <c r="AP18" s="9" t="n">
        <f aca="false">SUMIF(StorytelE!C$2:C$300,A18,konwertery!O$2:O$300)+SUMIF(StorytelA!C$2:C$300,A18,konwertery!P$2:P$300)</f>
        <v>3.09</v>
      </c>
      <c r="AR18" s="9" t="n">
        <f aca="false">SUMIF(konwertery!U$2:U$300,A18,Audioteka!E$4:E$302)</f>
        <v>0</v>
      </c>
      <c r="AS18" s="9" t="n">
        <f aca="false">SUMIF(konwertery!U$2:U$300,A18,Audioteka!O$4:O$302)</f>
        <v>0</v>
      </c>
      <c r="AU18" s="9" t="n">
        <f aca="false">SUMIF(Bookbeat!A$9:A$309,A18,Bookbeat!H$9:H$309)</f>
        <v>0</v>
      </c>
      <c r="AV18" s="10" t="n">
        <f aca="false">SUMIF(Bookbeat!A$9:A$309,A18,Bookbeat!L$9:L$309)</f>
        <v>0</v>
      </c>
    </row>
    <row r="19" customFormat="false" ht="15.75" hidden="false" customHeight="false" outlineLevel="0" collapsed="false">
      <c r="A19" s="11" t="n">
        <v>9788365156761</v>
      </c>
      <c r="B19" s="15" t="s">
        <v>32</v>
      </c>
      <c r="E19" s="3" t="n">
        <f aca="false">H19+K19</f>
        <v>50</v>
      </c>
      <c r="F19" s="4" t="n">
        <f aca="false">I19+L19</f>
        <v>120.91</v>
      </c>
      <c r="H19" s="9" t="n">
        <f aca="false">SUMIF(konwertery!A$2:A$300,A19,Histmag!C$2:C$300)</f>
        <v>0</v>
      </c>
      <c r="I19" s="10" t="n">
        <f aca="false">SUMIF(konwertery!A$2:A$300,A19,konwertery!B$2:B$300) * 0.97</f>
        <v>0</v>
      </c>
      <c r="K19" s="7" t="n">
        <f aca="false">N19+Q19+T19+W19+Z19+AC19+AF19+AI19+AL19+AO19+AR19+AU19</f>
        <v>50</v>
      </c>
      <c r="L19" s="12" t="n">
        <f aca="false">O19+R19+U19+X19+AA19+AD19+AG19+AJ19+AM19+AP19+AS19+AV19</f>
        <v>120.91</v>
      </c>
      <c r="N19" s="9" t="n">
        <f aca="false">SUMIF(konwertery!C$2:C$300,A19,Virtualo!L$2:L$300)</f>
        <v>0</v>
      </c>
      <c r="O19" s="10" t="n">
        <f aca="false">(SUMIF(konwertery!C$2:C$300,A19,Virtualo!P$2:P$300))</f>
        <v>0</v>
      </c>
      <c r="Q19" s="9" t="n">
        <f aca="false">SUMIF(konwertery!D$2:D$300,A19,Empik!M$2:M$300)</f>
        <v>4</v>
      </c>
      <c r="R19" s="10" t="n">
        <f aca="false">SUMIF(konwertery!D$2:D$300,A19,Empik!N$2:N$300)</f>
        <v>36</v>
      </c>
      <c r="T19" s="13" t="n">
        <f aca="false">SUMIF(konwertery!E$2:E$300,A19,Publio!P$2:P$300)</f>
        <v>0</v>
      </c>
      <c r="U19" s="14" t="n">
        <f aca="false">SUMIF(konwertery!E$2:E$300,A19,konwertery!F$2:F$300)</f>
        <v>0</v>
      </c>
      <c r="W19" s="9" t="n">
        <f aca="false">SUMIF(Legimi!D$2:D$300,A19,Legimi!G$2:G$300)</f>
        <v>1</v>
      </c>
      <c r="X19" s="10" t="n">
        <f aca="false">SUMIF(Legimi!D$2:D$300,A19,Legimi!H$2:H$300)</f>
        <v>9.93</v>
      </c>
      <c r="Z19" s="9" t="n">
        <f aca="false">SUMIF(konwertery!G$2:G$302,A19,Nexto!J$2:J$283)</f>
        <v>0</v>
      </c>
      <c r="AA19" s="9" t="n">
        <f aca="false">SUMIF(konwertery!G$2:G$302,A19,Nexto!N$2:P$302)</f>
        <v>0</v>
      </c>
      <c r="AC19" s="9" t="n">
        <f aca="false">SUMIF(Woblink!E$14:E$314,A19,Woblink!I$14:I$314)</f>
        <v>0</v>
      </c>
      <c r="AD19" s="10" t="n">
        <f aca="false">SUMIF(Woblink!E$14:E$314,A19,konwertery!R$2:R$300)</f>
        <v>0</v>
      </c>
      <c r="AF19" s="9" t="n">
        <f aca="false">SUM(SUMIF(konwertery!I$2:I$300,A19,Azymut!H$2:H$298),(SUMIF(konwertery!S$2:S$300,A19,AzymutB!H$2:H315)*2))</f>
        <v>0</v>
      </c>
      <c r="AG19" s="8" t="n">
        <f aca="false">SUM(SUMIF(konwertery!I$2:I$300,A19,konwertery!J$2:J$300),SUMIF(konwertery!S$2:S$300,A19,konwertery!T$2:T$300))</f>
        <v>0</v>
      </c>
      <c r="AI19" s="9" t="n">
        <f aca="false">SUMIF(konwertery!K$2:K$300,A19,Ebookpoint!F$14:F$312)</f>
        <v>0</v>
      </c>
      <c r="AJ19" s="9" t="n">
        <f aca="false">SUMIF(konwertery!K$2:K$300,A19,Ebookpoint!M$14:M$312)</f>
        <v>0</v>
      </c>
      <c r="AL19" s="9" t="n">
        <f aca="false">SUMIF(konwertery!L$2:L$300,A19,Nasbi!F$14:F$312)</f>
        <v>0</v>
      </c>
      <c r="AM19" s="9" t="n">
        <f aca="false">SUMIF(konwertery!L$2:L$300,A19,Nasbi!K$14:K$312)</f>
        <v>0</v>
      </c>
      <c r="AO19" s="9" t="n">
        <f aca="false">SUMIF(StorytelE!C$2:C$300,A19,konwertery!M$2:M$300)+SUMIF(StorytelA!C$2:C$300,A19,konwertery!N$2:N$300)</f>
        <v>43</v>
      </c>
      <c r="AP19" s="9" t="n">
        <f aca="false">SUMIF(StorytelE!C$2:C$300,A19,konwertery!O$2:O$300)+SUMIF(StorytelA!C$2:C$300,A19,konwertery!P$2:P$300)</f>
        <v>57.96</v>
      </c>
      <c r="AR19" s="9" t="n">
        <f aca="false">SUMIF(konwertery!U$2:U$300,A19,Audioteka!E$4:E$302)</f>
        <v>2</v>
      </c>
      <c r="AS19" s="9" t="n">
        <f aca="false">SUMIF(konwertery!U$2:U$300,A19,Audioteka!O$4:O$302)</f>
        <v>17.02</v>
      </c>
      <c r="AU19" s="9" t="n">
        <f aca="false">SUMIF(Bookbeat!A$9:A$309,A19,Bookbeat!H$9:H$309)</f>
        <v>0</v>
      </c>
      <c r="AV19" s="10" t="n">
        <f aca="false">SUMIF(Bookbeat!A$9:A$309,A19,Bookbeat!L$9:L$309)</f>
        <v>0</v>
      </c>
    </row>
    <row r="20" customFormat="false" ht="15.75" hidden="false" customHeight="false" outlineLevel="0" collapsed="false">
      <c r="A20" s="11" t="n">
        <v>9788365156464</v>
      </c>
      <c r="B20" s="8" t="s">
        <v>33</v>
      </c>
      <c r="E20" s="3" t="n">
        <f aca="false">H20+K20</f>
        <v>1</v>
      </c>
      <c r="F20" s="4" t="n">
        <f aca="false">I20+L20</f>
        <v>7</v>
      </c>
      <c r="H20" s="9" t="n">
        <f aca="false">SUMIF(konwertery!A$2:A$300,A20,Histmag!C$2:C$300)</f>
        <v>0</v>
      </c>
      <c r="I20" s="10" t="n">
        <f aca="false">SUMIF(konwertery!A$2:A$300,A20,konwertery!B$2:B$300) * 0.97</f>
        <v>0</v>
      </c>
      <c r="K20" s="7" t="n">
        <f aca="false">N20+Q20+T20+W20+Z20+AC20+AF20+AI20+AL20+AO20+AR20+AU20</f>
        <v>1</v>
      </c>
      <c r="L20" s="12" t="n">
        <f aca="false">O20+R20+U20+X20+AA20+AD20+AG20+AJ20+AM20+AP20+AS20+AV20</f>
        <v>7</v>
      </c>
      <c r="N20" s="9" t="n">
        <f aca="false">SUMIF(konwertery!C$2:C$300,A20,Virtualo!L$2:L$300)</f>
        <v>0</v>
      </c>
      <c r="O20" s="10" t="n">
        <f aca="false">(SUMIF(konwertery!C$2:C$300,A20,Virtualo!P$2:P$300))</f>
        <v>0</v>
      </c>
      <c r="Q20" s="9" t="n">
        <f aca="false">SUMIF(konwertery!D$2:D$300,A20,Empik!M$2:M$300)</f>
        <v>1</v>
      </c>
      <c r="R20" s="10" t="n">
        <f aca="false">SUMIF(konwertery!D$2:D$300,A20,Empik!N$2:N$300)</f>
        <v>7</v>
      </c>
      <c r="T20" s="13" t="n">
        <f aca="false">SUMIF(konwertery!E$2:E$300,A20,Publio!P$2:P$300)</f>
        <v>0</v>
      </c>
      <c r="U20" s="14" t="n">
        <f aca="false">SUMIF(konwertery!E$2:E$300,A20,konwertery!F$2:F$300)</f>
        <v>0</v>
      </c>
      <c r="W20" s="9" t="n">
        <f aca="false">SUMIF(Legimi!D$2:D$300,A20,Legimi!G$2:G$300)</f>
        <v>0</v>
      </c>
      <c r="X20" s="10" t="n">
        <f aca="false">SUMIF(Legimi!D$2:D$300,A20,Legimi!H$2:H$300)</f>
        <v>0</v>
      </c>
      <c r="Z20" s="9" t="n">
        <f aca="false">SUMIF(konwertery!G$2:G$302,A20,Nexto!J$2:J$283)</f>
        <v>0</v>
      </c>
      <c r="AA20" s="9" t="n">
        <f aca="false">SUMIF(konwertery!G$2:G$302,A20,Nexto!N$2:P$302)</f>
        <v>0</v>
      </c>
      <c r="AC20" s="9" t="n">
        <f aca="false">SUMIF(Woblink!E$9:E$309,A20,Woblink!I$9:I$309)</f>
        <v>0</v>
      </c>
      <c r="AD20" s="10" t="n">
        <f aca="false">SUMIF(Woblink!E$14:E$314,A20,konwertery!R$2:R$300)</f>
        <v>0</v>
      </c>
      <c r="AF20" s="9" t="n">
        <f aca="false">SUM(SUMIF(konwertery!I$2:I$300,A20,Azymut!H$2:H$298),(SUMIF(konwertery!S$2:S$300,A20,AzymutB!H$2:H316)*2))</f>
        <v>0</v>
      </c>
      <c r="AG20" s="8" t="n">
        <f aca="false">SUM(SUMIF(konwertery!I$2:I$300,A20,konwertery!J$2:J$300),SUMIF(konwertery!S$2:S$300,A20,konwertery!T$2:T$300))</f>
        <v>0</v>
      </c>
      <c r="AI20" s="9" t="n">
        <f aca="false">SUMIF(konwertery!K$2:K$300,A20,Ebookpoint!F$14:F$312)</f>
        <v>0</v>
      </c>
      <c r="AJ20" s="9" t="n">
        <f aca="false">SUMIF(konwertery!K$2:K$300,A20,Ebookpoint!M$14:M$312)</f>
        <v>0</v>
      </c>
      <c r="AL20" s="9" t="n">
        <f aca="false">SUMIF(konwertery!L$2:L$300,A20,Nasbi!F$14:F$312)</f>
        <v>0</v>
      </c>
      <c r="AM20" s="9" t="n">
        <f aca="false">SUMIF(konwertery!L$2:L$300,A20,Nasbi!K$14:K$312)</f>
        <v>0</v>
      </c>
      <c r="AO20" s="9" t="n">
        <f aca="false">SUMIF(StorytelE!C$2:C$300,A20,konwertery!M$2:M$300)+SUMIF(StorytelA!C$2:C$300,A20,konwertery!N$2:N$300)</f>
        <v>0</v>
      </c>
      <c r="AP20" s="9" t="n">
        <f aca="false">SUMIF(StorytelE!C$2:C$300,A20,konwertery!O$2:O$300)+SUMIF(StorytelA!C$2:C$300,A20,konwertery!P$2:P$300)</f>
        <v>0</v>
      </c>
      <c r="AR20" s="9" t="n">
        <f aca="false">SUMIF(konwertery!U$2:U$300,A20,Audioteka!E$4:E$302)</f>
        <v>0</v>
      </c>
      <c r="AS20" s="9" t="n">
        <f aca="false">SUMIF(konwertery!U$2:U$300,A20,Audioteka!O$4:O$302)</f>
        <v>0</v>
      </c>
      <c r="AU20" s="9" t="n">
        <f aca="false">SUMIF(Bookbeat!A$9:A$309,A20,Bookbeat!H$9:H$309)</f>
        <v>0</v>
      </c>
      <c r="AV20" s="10" t="n">
        <f aca="false">SUMIF(Bookbeat!A$9:A$309,A20,Bookbeat!L$9:L$309)</f>
        <v>0</v>
      </c>
    </row>
    <row r="21" customFormat="false" ht="15.75" hidden="false" customHeight="false" outlineLevel="0" collapsed="false">
      <c r="A21" s="11" t="n">
        <v>9788365156242</v>
      </c>
      <c r="B21" s="8" t="s">
        <v>34</v>
      </c>
      <c r="E21" s="3" t="n">
        <f aca="false">H21+K21</f>
        <v>2</v>
      </c>
      <c r="F21" s="4" t="n">
        <f aca="false">I21+L21</f>
        <v>12.3601</v>
      </c>
      <c r="H21" s="9" t="n">
        <f aca="false">SUMIF(konwertery!A$2:A$300,A21,Histmag!C$2:C$300)</f>
        <v>1</v>
      </c>
      <c r="I21" s="10" t="n">
        <f aca="false">SUMIF(konwertery!A$2:A$300,A21,konwertery!B$2:B$300) * 0.97</f>
        <v>10.9901</v>
      </c>
      <c r="K21" s="7" t="n">
        <f aca="false">N21+Q21+T21+W21+Z21+AC21+AF21+AI21+AL21+AO21+AR21+AU21</f>
        <v>1</v>
      </c>
      <c r="L21" s="12" t="n">
        <f aca="false">O21+R21+U21+X21+AA21+AD21+AG21+AJ21+AM21+AP21+AS21+AV21</f>
        <v>1.37</v>
      </c>
      <c r="N21" s="9" t="n">
        <f aca="false">SUMIF(konwertery!C$2:C$300,A21,Virtualo!L$2:L$300)</f>
        <v>0</v>
      </c>
      <c r="O21" s="10" t="n">
        <f aca="false">(SUMIF(konwertery!C$2:C$300,A21,Virtualo!P$2:P$300))</f>
        <v>0</v>
      </c>
      <c r="Q21" s="9" t="n">
        <f aca="false">SUMIF(konwertery!D$2:D$300,A21,Empik!M$2:M$300)</f>
        <v>0</v>
      </c>
      <c r="R21" s="10" t="n">
        <f aca="false">SUMIF(konwertery!D$2:D$300,A21,Empik!N$2:N$300)</f>
        <v>0</v>
      </c>
      <c r="T21" s="13" t="n">
        <f aca="false">SUMIF(konwertery!E$2:E$300,A21,Publio!P$2:P$300)</f>
        <v>0</v>
      </c>
      <c r="U21" s="14" t="n">
        <f aca="false">SUMIF(konwertery!E$2:E$300,A21,konwertery!F$2:F$300)</f>
        <v>0</v>
      </c>
      <c r="W21" s="9" t="n">
        <f aca="false">SUMIF(Legimi!D$2:D$300,A21,Legimi!G$2:G$300)</f>
        <v>0</v>
      </c>
      <c r="X21" s="10" t="n">
        <f aca="false">SUMIF(Legimi!D$2:D$300,A21,Legimi!H$2:H$300)</f>
        <v>0</v>
      </c>
      <c r="Z21" s="9" t="n">
        <f aca="false">SUMIF(konwertery!G$2:G$302,A21,Nexto!J$2:J$283)</f>
        <v>0</v>
      </c>
      <c r="AA21" s="9" t="n">
        <f aca="false">SUMIF(konwertery!G$2:G$302,A21,Nexto!N$2:P$302)</f>
        <v>0</v>
      </c>
      <c r="AC21" s="9" t="n">
        <f aca="false">SUMIF(Woblink!E$9:E$309,A21,Woblink!I$9:I$309)</f>
        <v>0</v>
      </c>
      <c r="AD21" s="10" t="n">
        <f aca="false">SUMIF(Woblink!E$14:E$314,A21,konwertery!R$2:R$300)</f>
        <v>0</v>
      </c>
      <c r="AF21" s="9" t="n">
        <f aca="false">SUM(SUMIF(konwertery!I$2:I$300,A21,Azymut!H$2:H$298),(SUMIF(konwertery!S$2:S$300,A21,AzymutB!H$2:H317)*2))</f>
        <v>0</v>
      </c>
      <c r="AG21" s="8" t="n">
        <f aca="false">SUM(SUMIF(konwertery!I$2:I$300,A21,konwertery!J$2:J$300),SUMIF(konwertery!S$2:S$300,A21,konwertery!T$2:T$300))</f>
        <v>0</v>
      </c>
      <c r="AI21" s="9" t="n">
        <f aca="false">SUMIF(konwertery!K$2:K$300,A21,Ebookpoint!F$14:F$312)</f>
        <v>0</v>
      </c>
      <c r="AJ21" s="9" t="n">
        <f aca="false">SUMIF(konwertery!K$2:K$300,A21,Ebookpoint!M$14:M$312)</f>
        <v>0</v>
      </c>
      <c r="AL21" s="9" t="n">
        <f aca="false">SUMIF(konwertery!L$2:L$300,A21,Nasbi!F$14:F$312)</f>
        <v>0</v>
      </c>
      <c r="AM21" s="9" t="n">
        <f aca="false">SUMIF(konwertery!L$2:L$300,A21,Nasbi!K$14:K$312)</f>
        <v>0</v>
      </c>
      <c r="AO21" s="9" t="n">
        <f aca="false">SUMIF(StorytelE!C$2:C$300,A21,konwertery!M$2:M$300)+SUMIF(StorytelA!C$2:C$300,A21,konwertery!N$2:N$300)</f>
        <v>1</v>
      </c>
      <c r="AP21" s="9" t="n">
        <f aca="false">SUMIF(StorytelE!C$2:C$300,A21,konwertery!O$2:O$300)+SUMIF(StorytelA!C$2:C$300,A21,konwertery!P$2:P$300)</f>
        <v>1.37</v>
      </c>
      <c r="AR21" s="9" t="n">
        <f aca="false">SUMIF(konwertery!U$2:U$300,A21,Audioteka!E$4:E$302)</f>
        <v>0</v>
      </c>
      <c r="AS21" s="9" t="n">
        <f aca="false">SUMIF(konwertery!U$2:U$300,A21,Audioteka!O$4:O$302)</f>
        <v>0</v>
      </c>
      <c r="AU21" s="9" t="n">
        <f aca="false">SUMIF(Bookbeat!A$9:A$309,A21,Bookbeat!H$9:H$309)</f>
        <v>0</v>
      </c>
      <c r="AV21" s="10" t="n">
        <f aca="false">SUMIF(Bookbeat!A$9:A$309,A21,Bookbeat!L$9:L$309)</f>
        <v>0</v>
      </c>
    </row>
    <row r="22" customFormat="false" ht="15.75" hidden="false" customHeight="false" outlineLevel="0" collapsed="false">
      <c r="A22" s="11" t="n">
        <v>9788365156716</v>
      </c>
      <c r="B22" s="15" t="s">
        <v>35</v>
      </c>
      <c r="E22" s="3" t="n">
        <f aca="false">H22+K22</f>
        <v>68</v>
      </c>
      <c r="F22" s="4" t="n">
        <f aca="false">I22+L22</f>
        <v>229.32</v>
      </c>
      <c r="H22" s="9" t="n">
        <f aca="false">SUMIF(konwertery!A$2:A$300,A22,Histmag!C$2:C$300)</f>
        <v>0</v>
      </c>
      <c r="I22" s="10" t="n">
        <f aca="false">SUMIF(konwertery!A$2:A$300,A22,konwertery!B$2:B$300) * 0.97</f>
        <v>0</v>
      </c>
      <c r="K22" s="7" t="n">
        <f aca="false">N22+Q22+T22+W22+Z22+AC22+AF22+AI22+AL22+AO22+AR22+AU22</f>
        <v>68</v>
      </c>
      <c r="L22" s="12" t="n">
        <f aca="false">O22+R22+U22+X22+AA22+AD22+AG22+AJ22+AM22+AP22+AS22+AV22</f>
        <v>229.32</v>
      </c>
      <c r="N22" s="9" t="n">
        <f aca="false">SUMIF(konwertery!C$2:C$300,A22,Virtualo!L$2:L$300)</f>
        <v>3</v>
      </c>
      <c r="O22" s="10" t="n">
        <f aca="false">(SUMIF(konwertery!C$2:C$300,A22,Virtualo!P$2:P$300))</f>
        <v>27.66</v>
      </c>
      <c r="Q22" s="9" t="n">
        <f aca="false">SUMIF(konwertery!D$2:D$300,A22,Empik!M$2:M$300)</f>
        <v>7</v>
      </c>
      <c r="R22" s="10" t="n">
        <f aca="false">SUMIF(konwertery!D$2:D$300,A22,Empik!N$2:N$300)</f>
        <v>51</v>
      </c>
      <c r="T22" s="13" t="n">
        <f aca="false">SUMIF(konwertery!E$2:E$300,A22,Publio!P$2:P$300)</f>
        <v>0</v>
      </c>
      <c r="U22" s="14" t="n">
        <f aca="false">SUMIF(konwertery!E$2:E$300,A22,konwertery!F$2:F$300)</f>
        <v>0</v>
      </c>
      <c r="W22" s="9" t="n">
        <f aca="false">SUMIF(Legimi!D$2:D$300,A22,Legimi!G$2:G$300)</f>
        <v>1</v>
      </c>
      <c r="X22" s="10" t="n">
        <f aca="false">SUMIF(Legimi!D$2:D$300,A22,Legimi!H$2:H$300)</f>
        <v>9.93</v>
      </c>
      <c r="Z22" s="9" t="n">
        <f aca="false">SUMIF(konwertery!G$2:G$302,A22,Nexto!J$2:J$283)</f>
        <v>0</v>
      </c>
      <c r="AA22" s="9" t="n">
        <f aca="false">SUMIF(konwertery!G$2:G$302,A22,Nexto!N$2:P$302)</f>
        <v>0</v>
      </c>
      <c r="AC22" s="9" t="n">
        <f aca="false">SUMIF(Woblink!E$9:E$309,A22,Woblink!I$9:I$309)</f>
        <v>1</v>
      </c>
      <c r="AD22" s="10" t="n">
        <f aca="false">SUMIF(Woblink!E$14:E$314,A22,konwertery!R$2:R$300)</f>
        <v>8.51</v>
      </c>
      <c r="AF22" s="9" t="n">
        <f aca="false">SUM(SUMIF(konwertery!I$2:I$300,A22,Azymut!H$2:H$298),(SUMIF(konwertery!S$2:S$300,A22,AzymutB!H$2:H318)*2))</f>
        <v>0</v>
      </c>
      <c r="AG22" s="8" t="n">
        <f aca="false">SUM(SUMIF(konwertery!I$2:I$300,A22,konwertery!J$2:J$300),SUMIF(konwertery!S$2:S$300,A22,konwertery!T$2:T$300))</f>
        <v>0</v>
      </c>
      <c r="AI22" s="9" t="n">
        <f aca="false">SUMIF(konwertery!K$2:K$300,A22,Ebookpoint!F$14:F$312)</f>
        <v>1</v>
      </c>
      <c r="AJ22" s="9" t="n">
        <f aca="false">SUMIF(konwertery!K$2:K$300,A22,Ebookpoint!M$14:M$312)</f>
        <v>9.08</v>
      </c>
      <c r="AL22" s="9" t="n">
        <f aca="false">SUMIF(konwertery!L$2:L$300,A22,Nasbi!F$14:F$312)</f>
        <v>0</v>
      </c>
      <c r="AM22" s="9" t="n">
        <f aca="false">SUMIF(konwertery!L$2:L$300,A22,Nasbi!K$14:K$312)</f>
        <v>0</v>
      </c>
      <c r="AO22" s="9" t="n">
        <f aca="false">SUMIF(StorytelE!C$2:C$300,A22,konwertery!M$2:M$300)+SUMIF(StorytelA!C$2:C$300,A22,konwertery!N$2:N$300)</f>
        <v>42</v>
      </c>
      <c r="AP22" s="9" t="n">
        <f aca="false">SUMIF(StorytelE!C$2:C$300,A22,konwertery!O$2:O$300)+SUMIF(StorytelA!C$2:C$300,A22,konwertery!P$2:P$300)</f>
        <v>57.45</v>
      </c>
      <c r="AR22" s="9" t="n">
        <f aca="false">SUMIF(konwertery!U$2:U$300,A22,Audioteka!E$4:E$302)</f>
        <v>6</v>
      </c>
      <c r="AS22" s="9" t="n">
        <f aca="false">SUMIF(konwertery!U$2:U$300,A22,Audioteka!O$4:O$302)</f>
        <v>51.06</v>
      </c>
      <c r="AU22" s="9" t="n">
        <f aca="false">SUMIF(Bookbeat!A$9:A$309,A22,Bookbeat!H$9:H$309)</f>
        <v>7</v>
      </c>
      <c r="AV22" s="10" t="n">
        <f aca="false">SUMIF(Bookbeat!A$9:A$309,A22,Bookbeat!L$9:L$309)</f>
        <v>14.63</v>
      </c>
    </row>
    <row r="23" customFormat="false" ht="15.75" hidden="false" customHeight="false" outlineLevel="0" collapsed="false">
      <c r="A23" s="11" t="n">
        <v>9788393463039</v>
      </c>
      <c r="B23" s="8" t="s">
        <v>36</v>
      </c>
      <c r="E23" s="3" t="n">
        <f aca="false">H23+K23</f>
        <v>3</v>
      </c>
      <c r="F23" s="4" t="n">
        <f aca="false">I23+L23</f>
        <v>19.3418</v>
      </c>
      <c r="H23" s="9" t="n">
        <f aca="false">SUMIF(konwertery!A$2:A$300,A23,Histmag!C$2:C$300)</f>
        <v>3</v>
      </c>
      <c r="I23" s="10" t="n">
        <f aca="false">SUMIF(konwertery!A$2:A$300,A23,konwertery!B$2:B$300) * 0.97</f>
        <v>19.3418</v>
      </c>
      <c r="K23" s="7" t="n">
        <f aca="false">N23+Q23+T23+W23+Z23+AC23+AF23+AI23+AL23+AO23+AR23+AU23</f>
        <v>0</v>
      </c>
      <c r="L23" s="12" t="n">
        <f aca="false">O23+R23+U23+X23+AA23+AD23+AG23+AJ23+AM23+AP23+AS23+AV23</f>
        <v>0</v>
      </c>
      <c r="N23" s="9" t="n">
        <f aca="false">SUMIF(konwertery!C$2:C$300,A23,Virtualo!L$2:L$300)</f>
        <v>0</v>
      </c>
      <c r="O23" s="10" t="n">
        <f aca="false">(SUMIF(konwertery!C$2:C$300,A23,Virtualo!P$2:P$300))</f>
        <v>0</v>
      </c>
      <c r="Q23" s="9" t="n">
        <f aca="false">SUMIF(konwertery!D$2:D$300,A23,Empik!M$2:M$300)</f>
        <v>0</v>
      </c>
      <c r="R23" s="10" t="n">
        <f aca="false">SUMIF(konwertery!D$2:D$300,A23,Empik!N$2:N$300)</f>
        <v>0</v>
      </c>
      <c r="T23" s="13" t="n">
        <f aca="false">SUMIF(konwertery!E$2:E$300,A23,Publio!P$2:P$300)</f>
        <v>0</v>
      </c>
      <c r="U23" s="14" t="n">
        <f aca="false">SUMIF(konwertery!E$2:E$300,A23,konwertery!F$2:F$300)</f>
        <v>0</v>
      </c>
      <c r="W23" s="9" t="n">
        <f aca="false">SUMIF(Legimi!D$2:D$300,A23,Legimi!G$2:G$300)</f>
        <v>0</v>
      </c>
      <c r="X23" s="10" t="n">
        <f aca="false">SUMIF(Legimi!D$2:D$300,A23,Legimi!H$2:H$300)</f>
        <v>0</v>
      </c>
      <c r="Z23" s="9" t="n">
        <f aca="false">SUMIF(konwertery!G$2:G$302,A23,Nexto!J$2:J$283)</f>
        <v>0</v>
      </c>
      <c r="AA23" s="9" t="n">
        <f aca="false">SUMIF(konwertery!G$2:G$302,A23,Nexto!N$2:P$302)</f>
        <v>0</v>
      </c>
      <c r="AC23" s="9" t="n">
        <f aca="false">SUMIF(Woblink!E$9:E$309,A23,Woblink!I$9:I$309)</f>
        <v>0</v>
      </c>
      <c r="AD23" s="10" t="n">
        <f aca="false">SUMIF(Woblink!E$14:E$314,A23,konwertery!R$2:R$300)</f>
        <v>0</v>
      </c>
      <c r="AF23" s="9" t="n">
        <f aca="false">SUM(SUMIF(konwertery!I$2:I$300,A23,Azymut!H$2:H$298),(SUMIF(konwertery!S$2:S$300,A23,AzymutB!H$2:H319)*2))</f>
        <v>0</v>
      </c>
      <c r="AG23" s="8" t="n">
        <f aca="false">SUM(SUMIF(konwertery!I$2:I$300,A23,konwertery!J$2:J$300),SUMIF(konwertery!S$2:S$300,A23,konwertery!T$2:T$300))</f>
        <v>0</v>
      </c>
      <c r="AI23" s="9" t="n">
        <f aca="false">SUMIF(konwertery!K$2:K$300,A23,Ebookpoint!F$14:F$312)</f>
        <v>0</v>
      </c>
      <c r="AJ23" s="9" t="n">
        <f aca="false">SUMIF(konwertery!K$2:K$300,A23,Ebookpoint!M$14:M$312)</f>
        <v>0</v>
      </c>
      <c r="AL23" s="9" t="n">
        <f aca="false">SUMIF(konwertery!L$2:L$300,A23,Nasbi!F$14:F$312)</f>
        <v>0</v>
      </c>
      <c r="AM23" s="9" t="n">
        <f aca="false">SUMIF(konwertery!L$2:L$300,A23,Nasbi!K$14:K$312)</f>
        <v>0</v>
      </c>
      <c r="AO23" s="9" t="n">
        <f aca="false">SUMIF(StorytelE!C$2:C$300,A23,konwertery!M$2:M$300)+SUMIF(StorytelA!C$2:C$300,A23,konwertery!N$2:N$300)</f>
        <v>0</v>
      </c>
      <c r="AP23" s="9" t="n">
        <f aca="false">SUMIF(StorytelE!C$2:C$300,A23,konwertery!O$2:O$300)+SUMIF(StorytelA!C$2:C$300,A23,konwertery!P$2:P$300)</f>
        <v>0</v>
      </c>
      <c r="AR23" s="9" t="n">
        <f aca="false">SUMIF(konwertery!U$2:U$300,A23,Audioteka!E$4:E$302)</f>
        <v>0</v>
      </c>
      <c r="AS23" s="9" t="n">
        <f aca="false">SUMIF(konwertery!U$2:U$300,A23,Audioteka!O$4:O$302)</f>
        <v>0</v>
      </c>
      <c r="AU23" s="9" t="n">
        <f aca="false">SUMIF(Bookbeat!A$9:A$309,A23,Bookbeat!H$9:H$309)</f>
        <v>0</v>
      </c>
      <c r="AV23" s="10" t="n">
        <f aca="false">SUMIF(Bookbeat!A$9:A$309,A23,Bookbeat!L$9:L$309)</f>
        <v>0</v>
      </c>
    </row>
    <row r="24" customFormat="false" ht="15.75" hidden="false" customHeight="false" outlineLevel="0" collapsed="false">
      <c r="A24" s="11" t="n">
        <v>9788365156457</v>
      </c>
      <c r="B24" s="15" t="s">
        <v>37</v>
      </c>
      <c r="E24" s="3" t="n">
        <f aca="false">H24+K24</f>
        <v>41</v>
      </c>
      <c r="F24" s="4" t="n">
        <f aca="false">I24+L24</f>
        <v>75.3544</v>
      </c>
      <c r="H24" s="9" t="n">
        <f aca="false">SUMIF(konwertery!A$2:A$300,A24,Histmag!C$2:C$300)</f>
        <v>1</v>
      </c>
      <c r="I24" s="10" t="n">
        <f aca="false">SUMIF(konwertery!A$2:A$300,A24,konwertery!B$2:B$300) * 0.97</f>
        <v>7.2944</v>
      </c>
      <c r="K24" s="7" t="n">
        <f aca="false">N24+Q24+T24+W24+Z24+AC24+AF24+AI24+AL24+AO24+AR24+AU24</f>
        <v>40</v>
      </c>
      <c r="L24" s="12" t="n">
        <f aca="false">O24+R24+U24+X24+AA24+AD24+AG24+AJ24+AM24+AP24+AS24+AV24</f>
        <v>68.06</v>
      </c>
      <c r="N24" s="9" t="n">
        <f aca="false">SUMIF(konwertery!C$2:C$300,A24,Virtualo!L$2:L$300)</f>
        <v>0</v>
      </c>
      <c r="O24" s="10" t="n">
        <f aca="false">(SUMIF(konwertery!C$2:C$300,A24,Virtualo!P$2:P$300))</f>
        <v>0</v>
      </c>
      <c r="Q24" s="9" t="n">
        <f aca="false">SUMIF(konwertery!D$2:D$300,A24,Empik!M$2:M$300)</f>
        <v>3</v>
      </c>
      <c r="R24" s="10" t="n">
        <f aca="false">SUMIF(konwertery!D$2:D$300,A24,Empik!N$2:N$300)</f>
        <v>19</v>
      </c>
      <c r="T24" s="13" t="n">
        <f aca="false">SUMIF(konwertery!E$2:E$300,A24,Publio!P$2:P$300)</f>
        <v>0</v>
      </c>
      <c r="U24" s="14" t="n">
        <f aca="false">SUMIF(konwertery!E$2:E$300,A24,konwertery!F$2:F$300)</f>
        <v>0</v>
      </c>
      <c r="W24" s="9" t="n">
        <f aca="false">SUMIF(Legimi!D$2:D$300,A24,Legimi!G$2:G$300)</f>
        <v>1</v>
      </c>
      <c r="X24" s="10" t="n">
        <f aca="false">SUMIF(Legimi!D$2:D$300,A24,Legimi!H$2:H$300)</f>
        <v>7.27</v>
      </c>
      <c r="Z24" s="9" t="n">
        <f aca="false">SUMIF(konwertery!G$2:G$302,A24,Nexto!J$2:J$283)</f>
        <v>0</v>
      </c>
      <c r="AA24" s="9" t="n">
        <f aca="false">SUMIF(konwertery!G$2:G$302,A24,Nexto!N$2:P$302)</f>
        <v>0</v>
      </c>
      <c r="AC24" s="9" t="n">
        <f aca="false">SUMIF(Woblink!E$9:E$309,A24,Woblink!I$9:I$309)</f>
        <v>0</v>
      </c>
      <c r="AD24" s="10" t="n">
        <f aca="false">SUMIF(Woblink!E$14:E$314,A24,konwertery!R$2:R$300)</f>
        <v>0</v>
      </c>
      <c r="AF24" s="9" t="n">
        <f aca="false">SUM(SUMIF(konwertery!I$2:I$300,A24,Azymut!H$2:H$298),(SUMIF(konwertery!S$2:S$300,A24,AzymutB!H$2:H320)*2))</f>
        <v>0</v>
      </c>
      <c r="AG24" s="8" t="n">
        <f aca="false">SUM(SUMIF(konwertery!I$2:I$300,A24,konwertery!J$2:J$300),SUMIF(konwertery!S$2:S$300,A24,konwertery!T$2:T$300))</f>
        <v>0</v>
      </c>
      <c r="AI24" s="9" t="n">
        <f aca="false">SUMIF(konwertery!K$2:K$300,A24,Ebookpoint!F$14:F$312)</f>
        <v>0</v>
      </c>
      <c r="AJ24" s="9" t="n">
        <f aca="false">SUMIF(konwertery!K$2:K$300,A24,Ebookpoint!M$14:M$312)</f>
        <v>0</v>
      </c>
      <c r="AL24" s="9" t="n">
        <f aca="false">SUMIF(konwertery!L$2:L$300,A24,Nasbi!F$14:F$312)</f>
        <v>0</v>
      </c>
      <c r="AM24" s="9" t="n">
        <f aca="false">SUMIF(konwertery!L$2:L$300,A24,Nasbi!K$14:K$312)</f>
        <v>0</v>
      </c>
      <c r="AO24" s="9" t="n">
        <f aca="false">SUMIF(StorytelE!C$2:C$300,A24,konwertery!M$2:M$300)+SUMIF(StorytelA!C$2:C$300,A24,konwertery!N$2:N$300)</f>
        <v>35</v>
      </c>
      <c r="AP24" s="9" t="n">
        <f aca="false">SUMIF(StorytelE!C$2:C$300,A24,konwertery!O$2:O$300)+SUMIF(StorytelA!C$2:C$300,A24,konwertery!P$2:P$300)</f>
        <v>35.56</v>
      </c>
      <c r="AR24" s="9" t="n">
        <f aca="false">SUMIF(konwertery!U$2:U$300,A24,Audioteka!E$4:E$302)</f>
        <v>1</v>
      </c>
      <c r="AS24" s="9" t="n">
        <f aca="false">SUMIF(konwertery!U$2:U$300,A24,Audioteka!O$4:O$302)</f>
        <v>6.23</v>
      </c>
      <c r="AU24" s="9" t="n">
        <f aca="false">SUMIF(Bookbeat!A$9:A$309,A24,Bookbeat!H$9:H$309)</f>
        <v>0</v>
      </c>
      <c r="AV24" s="10" t="n">
        <f aca="false">SUMIF(Bookbeat!A$9:A$309,A24,Bookbeat!L$9:L$309)</f>
        <v>0</v>
      </c>
    </row>
    <row r="25" customFormat="false" ht="15.75" hidden="false" customHeight="false" outlineLevel="0" collapsed="false">
      <c r="A25" s="11" t="n">
        <v>9788365156105</v>
      </c>
      <c r="B25" s="8" t="s">
        <v>38</v>
      </c>
      <c r="E25" s="3" t="n">
        <f aca="false">H25+K25</f>
        <v>0</v>
      </c>
      <c r="F25" s="4" t="n">
        <f aca="false">I25+L25</f>
        <v>0</v>
      </c>
      <c r="H25" s="9" t="n">
        <f aca="false">SUMIF(konwertery!A$2:A$300,A25,Histmag!C$2:C$300)</f>
        <v>0</v>
      </c>
      <c r="I25" s="10" t="n">
        <f aca="false">SUMIF(konwertery!A$2:A$300,A25,konwertery!B$2:B$300) * 0.97</f>
        <v>0</v>
      </c>
      <c r="K25" s="7" t="n">
        <f aca="false">N25+Q25+T25+W25+Z25+AC25+AF25+AI25+AL25+AO25+AR25+AU25</f>
        <v>0</v>
      </c>
      <c r="L25" s="12" t="n">
        <f aca="false">O25+R25+U25+X25+AA25+AD25+AG25+AJ25+AM25+AP25+AS25+AV25</f>
        <v>0</v>
      </c>
      <c r="N25" s="9" t="n">
        <f aca="false">SUMIF(konwertery!C$2:C$300,A25,Virtualo!L$2:L$300)</f>
        <v>0</v>
      </c>
      <c r="O25" s="10" t="n">
        <f aca="false">(SUMIF(konwertery!C$2:C$300,A25,Virtualo!P$2:P$300))</f>
        <v>0</v>
      </c>
      <c r="Q25" s="9" t="n">
        <f aca="false">SUMIF(konwertery!D$2:D$300,A25,Empik!M$2:M$300)</f>
        <v>0</v>
      </c>
      <c r="R25" s="10" t="n">
        <f aca="false">SUMIF(konwertery!D$2:D$300,A25,Empik!N$2:N$300)</f>
        <v>0</v>
      </c>
      <c r="T25" s="13" t="n">
        <f aca="false">SUMIF(konwertery!E$2:E$300,A25,Publio!P$2:P$300)</f>
        <v>0</v>
      </c>
      <c r="U25" s="14" t="n">
        <f aca="false">SUMIF(konwertery!E$2:E$300,A25,konwertery!F$2:F$300)</f>
        <v>0</v>
      </c>
      <c r="W25" s="9" t="n">
        <f aca="false">SUMIF(Legimi!D$2:D$300,A25,Legimi!G$2:G$300)</f>
        <v>0</v>
      </c>
      <c r="X25" s="10" t="n">
        <f aca="false">SUMIF(Legimi!D$2:D$300,A25,Legimi!H$2:H$300)</f>
        <v>0</v>
      </c>
      <c r="Z25" s="9" t="n">
        <f aca="false">SUMIF(konwertery!G$2:G$302,A25,Nexto!J$2:J$283)</f>
        <v>0</v>
      </c>
      <c r="AA25" s="9" t="n">
        <f aca="false">SUMIF(konwertery!G$2:G$302,A25,Nexto!N$2:P$302)</f>
        <v>0</v>
      </c>
      <c r="AC25" s="9" t="n">
        <f aca="false">SUMIF(Woblink!E$9:E$309,A25,Woblink!I$9:I$309)</f>
        <v>0</v>
      </c>
      <c r="AD25" s="10" t="n">
        <f aca="false">SUMIF(Woblink!E$14:E$314,A25,konwertery!R$2:R$300)</f>
        <v>0</v>
      </c>
      <c r="AF25" s="9" t="n">
        <f aca="false">SUM(SUMIF(konwertery!I$2:I$300,A25,Azymut!H$2:H$298),(SUMIF(konwertery!S$2:S$300,A25,AzymutB!H$2:H321)*2))</f>
        <v>0</v>
      </c>
      <c r="AG25" s="8" t="n">
        <f aca="false">SUM(SUMIF(konwertery!I$2:I$300,A25,konwertery!J$2:J$300),SUMIF(konwertery!S$2:S$300,A25,konwertery!T$2:T$300))</f>
        <v>0</v>
      </c>
      <c r="AI25" s="9" t="n">
        <f aca="false">SUMIF(konwertery!K$2:K$300,A25,Ebookpoint!F$14:F$312)</f>
        <v>0</v>
      </c>
      <c r="AJ25" s="9" t="n">
        <f aca="false">SUMIF(konwertery!K$2:K$300,A25,Ebookpoint!M$14:M$312)</f>
        <v>0</v>
      </c>
      <c r="AL25" s="9" t="n">
        <f aca="false">SUMIF(konwertery!L$2:L$300,A25,Nasbi!F$14:F$312)</f>
        <v>0</v>
      </c>
      <c r="AM25" s="9" t="n">
        <f aca="false">SUMIF(konwertery!L$2:L$300,A25,Nasbi!K$14:K$312)</f>
        <v>0</v>
      </c>
      <c r="AO25" s="9" t="n">
        <f aca="false">SUMIF(StorytelE!C$2:C$300,A25,konwertery!M$2:M$300)+SUMIF(StorytelA!C$2:C$300,A25,konwertery!N$2:N$300)</f>
        <v>0</v>
      </c>
      <c r="AP25" s="9" t="n">
        <f aca="false">SUMIF(StorytelE!C$2:C$300,A25,konwertery!O$2:O$300)+SUMIF(StorytelA!C$2:C$300,A25,konwertery!P$2:P$300)</f>
        <v>0</v>
      </c>
      <c r="AR25" s="9" t="n">
        <f aca="false">SUMIF(konwertery!U$2:U$300,A25,Audioteka!E$4:E$302)</f>
        <v>0</v>
      </c>
      <c r="AS25" s="9" t="n">
        <f aca="false">SUMIF(konwertery!U$2:U$300,A25,Audioteka!O$4:O$302)</f>
        <v>0</v>
      </c>
      <c r="AU25" s="9" t="n">
        <f aca="false">SUMIF(Bookbeat!A$9:A$309,A25,Bookbeat!H$9:H$309)</f>
        <v>0</v>
      </c>
      <c r="AV25" s="10" t="n">
        <f aca="false">SUMIF(Bookbeat!A$9:A$309,A25,Bookbeat!L$9:L$309)</f>
        <v>0</v>
      </c>
    </row>
    <row r="26" customFormat="false" ht="15.75" hidden="false" customHeight="false" outlineLevel="0" collapsed="false">
      <c r="A26" s="11" t="n">
        <v>9788365156587</v>
      </c>
      <c r="B26" s="8" t="s">
        <v>39</v>
      </c>
      <c r="E26" s="3" t="n">
        <f aca="false">H26+K26</f>
        <v>2</v>
      </c>
      <c r="F26" s="4" t="n">
        <f aca="false">I26+L26</f>
        <v>17.8868</v>
      </c>
      <c r="H26" s="9" t="n">
        <f aca="false">SUMIF(konwertery!A$2:A$300,A26,Histmag!C$2:C$300)</f>
        <v>2</v>
      </c>
      <c r="I26" s="10" t="n">
        <f aca="false">SUMIF(konwertery!A$2:A$300,A26,konwertery!B$2:B$300) * 0.97</f>
        <v>17.8868</v>
      </c>
      <c r="K26" s="7" t="n">
        <f aca="false">N26+Q26+T26+W26+Z26+AC26+AF26+AI26+AL26+AO26+AR26+AU26</f>
        <v>0</v>
      </c>
      <c r="L26" s="12" t="n">
        <f aca="false">O26+R26+U26+X26+AA26+AD26+AG26+AJ26+AM26+AP26+AS26+AV26</f>
        <v>0</v>
      </c>
      <c r="N26" s="9" t="n">
        <f aca="false">SUMIF(konwertery!C$2:C$300,A26,Virtualo!L$2:L$300)</f>
        <v>0</v>
      </c>
      <c r="O26" s="10" t="n">
        <f aca="false">(SUMIF(konwertery!C$2:C$300,A26,Virtualo!P$2:P$300))</f>
        <v>0</v>
      </c>
      <c r="Q26" s="9" t="n">
        <f aca="false">SUMIF(konwertery!D$2:D$300,A26,Empik!M$2:M$300)</f>
        <v>0</v>
      </c>
      <c r="R26" s="10" t="n">
        <f aca="false">SUMIF(konwertery!D$2:D$300,A26,Empik!N$2:N$300)</f>
        <v>0</v>
      </c>
      <c r="T26" s="13" t="n">
        <f aca="false">SUMIF(konwertery!E$2:E$300,A26,Publio!P$2:P$300)</f>
        <v>0</v>
      </c>
      <c r="U26" s="14" t="n">
        <f aca="false">SUMIF(konwertery!E$2:E$300,A26,konwertery!F$2:F$300)</f>
        <v>0</v>
      </c>
      <c r="W26" s="9" t="n">
        <f aca="false">SUMIF(Legimi!D$2:D$300,A26,Legimi!G$2:G$300)</f>
        <v>0</v>
      </c>
      <c r="X26" s="10" t="n">
        <f aca="false">SUMIF(Legimi!D$2:D$300,A26,Legimi!H$2:H$300)</f>
        <v>0</v>
      </c>
      <c r="Z26" s="9" t="n">
        <f aca="false">SUMIF(konwertery!G$2:G$302,A26,Nexto!J$2:J$283)</f>
        <v>0</v>
      </c>
      <c r="AA26" s="9" t="n">
        <f aca="false">SUMIF(konwertery!G$2:G$302,A26,Nexto!N$2:P$302)</f>
        <v>0</v>
      </c>
      <c r="AC26" s="9" t="n">
        <f aca="false">SUMIF(Woblink!E$9:E$309,A26,Woblink!I$9:I$309)</f>
        <v>0</v>
      </c>
      <c r="AD26" s="10" t="n">
        <f aca="false">SUMIF(Woblink!E$14:E$314,A26,konwertery!R$2:R$300)</f>
        <v>0</v>
      </c>
      <c r="AF26" s="9" t="n">
        <f aca="false">SUM(SUMIF(konwertery!I$2:I$300,A26,Azymut!H$2:H$298),(SUMIF(konwertery!S$2:S$300,A26,AzymutB!H$2:H322)*2))</f>
        <v>0</v>
      </c>
      <c r="AG26" s="8" t="n">
        <f aca="false">SUM(SUMIF(konwertery!I$2:I$300,A26,konwertery!J$2:J$300),SUMIF(konwertery!S$2:S$300,A26,konwertery!T$2:T$300))</f>
        <v>0</v>
      </c>
      <c r="AI26" s="9" t="n">
        <f aca="false">SUMIF(konwertery!K$2:K$300,A26,Ebookpoint!F$14:F$312)</f>
        <v>0</v>
      </c>
      <c r="AJ26" s="9" t="n">
        <f aca="false">SUMIF(konwertery!K$2:K$300,A26,Ebookpoint!M$14:M$312)</f>
        <v>0</v>
      </c>
      <c r="AL26" s="9" t="n">
        <f aca="false">SUMIF(konwertery!L$2:L$300,A26,Nasbi!F$14:F$312)</f>
        <v>0</v>
      </c>
      <c r="AM26" s="9" t="n">
        <f aca="false">SUMIF(konwertery!L$2:L$300,A26,Nasbi!K$14:K$312)</f>
        <v>0</v>
      </c>
      <c r="AO26" s="9" t="n">
        <f aca="false">SUMIF(StorytelE!C$2:C$300,A26,konwertery!M$2:M$300)+SUMIF(StorytelA!C$2:C$300,A26,konwertery!N$2:N$300)</f>
        <v>0</v>
      </c>
      <c r="AP26" s="9" t="n">
        <f aca="false">SUMIF(StorytelE!C$2:C$300,A26,konwertery!O$2:O$300)+SUMIF(StorytelA!C$2:C$300,A26,konwertery!P$2:P$300)</f>
        <v>0</v>
      </c>
      <c r="AR26" s="9" t="n">
        <f aca="false">SUMIF(konwertery!U$2:U$300,A26,Audioteka!E$4:E$302)</f>
        <v>0</v>
      </c>
      <c r="AS26" s="9" t="n">
        <f aca="false">SUMIF(konwertery!U$2:U$300,A26,Audioteka!O$4:O$302)</f>
        <v>0</v>
      </c>
      <c r="AU26" s="9" t="n">
        <f aca="false">SUMIF(Bookbeat!A$9:A$309,A26,Bookbeat!H$9:H$309)</f>
        <v>0</v>
      </c>
      <c r="AV26" s="10" t="n">
        <f aca="false">SUMIF(Bookbeat!A$9:A$309,A26,Bookbeat!L$9:L$309)</f>
        <v>0</v>
      </c>
    </row>
    <row r="27" customFormat="false" ht="15.75" hidden="false" customHeight="false" outlineLevel="0" collapsed="false">
      <c r="A27" s="11" t="n">
        <v>9788365156549</v>
      </c>
      <c r="B27" s="8" t="s">
        <v>40</v>
      </c>
      <c r="E27" s="3" t="n">
        <f aca="false">H27+K27</f>
        <v>3</v>
      </c>
      <c r="F27" s="4" t="n">
        <f aca="false">I27+L27</f>
        <v>27.5189</v>
      </c>
      <c r="H27" s="9" t="n">
        <f aca="false">SUMIF(konwertery!A$2:A$300,A27,Histmag!C$2:C$300)</f>
        <v>3</v>
      </c>
      <c r="I27" s="10" t="n">
        <f aca="false">SUMIF(konwertery!A$2:A$300,A27,konwertery!B$2:B$300) * 0.97</f>
        <v>27.5189</v>
      </c>
      <c r="K27" s="7" t="n">
        <f aca="false">N27+Q27+T27+W27+Z27+AC27+AF27+AI27+AL27+AO27+AR27+AU27</f>
        <v>0</v>
      </c>
      <c r="L27" s="12" t="n">
        <f aca="false">O27+R27+U27+X27+AA27+AD27+AG27+AJ27+AM27+AP27+AS27+AV27</f>
        <v>0</v>
      </c>
      <c r="N27" s="9" t="n">
        <f aca="false">SUMIF(konwertery!C$2:C$300,A27,Virtualo!L$2:L$300)</f>
        <v>0</v>
      </c>
      <c r="O27" s="10" t="n">
        <f aca="false">(SUMIF(konwertery!C$2:C$300,A27,Virtualo!P$2:P$300))</f>
        <v>0</v>
      </c>
      <c r="Q27" s="9" t="n">
        <f aca="false">SUMIF(konwertery!D$2:D$300,A27,Empik!M$2:M$300)</f>
        <v>0</v>
      </c>
      <c r="R27" s="10" t="n">
        <f aca="false">SUMIF(konwertery!D$2:D$300,A27,Empik!N$2:N$300)</f>
        <v>0</v>
      </c>
      <c r="T27" s="13" t="n">
        <f aca="false">SUMIF(konwertery!E$2:E$300,A27,Publio!P$2:P$300)</f>
        <v>0</v>
      </c>
      <c r="U27" s="14" t="n">
        <f aca="false">SUMIF(konwertery!E$2:E$300,A27,konwertery!F$2:F$300)</f>
        <v>0</v>
      </c>
      <c r="W27" s="9" t="n">
        <f aca="false">SUMIF(Legimi!D$2:D$300,A27,Legimi!G$2:G$300)</f>
        <v>0</v>
      </c>
      <c r="X27" s="10" t="n">
        <f aca="false">SUMIF(Legimi!D$2:D$300,A27,Legimi!H$2:H$300)</f>
        <v>0</v>
      </c>
      <c r="Z27" s="9" t="n">
        <f aca="false">SUMIF(konwertery!G$2:G$302,A27,Nexto!J$2:J$283)</f>
        <v>0</v>
      </c>
      <c r="AA27" s="9" t="n">
        <f aca="false">SUMIF(konwertery!G$2:G$302,A27,Nexto!N$2:P$302)</f>
        <v>0</v>
      </c>
      <c r="AC27" s="9" t="n">
        <f aca="false">SUMIF(Woblink!E$9:E$309,A27,Woblink!I$9:I$309)</f>
        <v>0</v>
      </c>
      <c r="AD27" s="10" t="n">
        <f aca="false">SUMIF(Woblink!E$14:E$314,A27,konwertery!R$2:R$300)</f>
        <v>0</v>
      </c>
      <c r="AF27" s="9" t="n">
        <f aca="false">SUM(SUMIF(konwertery!I$2:I$300,A27,Azymut!H$2:H$298),(SUMIF(konwertery!S$2:S$300,A27,AzymutB!H$2:H323)*2))</f>
        <v>0</v>
      </c>
      <c r="AG27" s="8" t="n">
        <f aca="false">SUM(SUMIF(konwertery!I$2:I$300,A27,konwertery!J$2:J$300),SUMIF(konwertery!S$2:S$300,A27,konwertery!T$2:T$300))</f>
        <v>0</v>
      </c>
      <c r="AI27" s="9" t="n">
        <f aca="false">SUMIF(konwertery!K$2:K$300,A27,Ebookpoint!F$14:F$312)</f>
        <v>0</v>
      </c>
      <c r="AJ27" s="9" t="n">
        <f aca="false">SUMIF(konwertery!K$2:K$300,A27,Ebookpoint!M$14:M$312)</f>
        <v>0</v>
      </c>
      <c r="AL27" s="9" t="n">
        <f aca="false">SUMIF(konwertery!L$2:L$300,A27,Nasbi!F$14:F$312)</f>
        <v>0</v>
      </c>
      <c r="AM27" s="9" t="n">
        <f aca="false">SUMIF(konwertery!L$2:L$300,A27,Nasbi!K$14:K$312)</f>
        <v>0</v>
      </c>
      <c r="AO27" s="9" t="n">
        <f aca="false">SUMIF(StorytelE!C$2:C$300,A27,konwertery!M$2:M$300)+SUMIF(StorytelA!C$2:C$300,A27,konwertery!N$2:N$300)</f>
        <v>0</v>
      </c>
      <c r="AP27" s="9" t="n">
        <f aca="false">SUMIF(StorytelE!C$2:C$300,A27,konwertery!O$2:O$300)+SUMIF(StorytelA!C$2:C$300,A27,konwertery!P$2:P$300)</f>
        <v>0</v>
      </c>
      <c r="AR27" s="9" t="n">
        <f aca="false">SUMIF(konwertery!U$2:U$300,A27,Audioteka!E$4:E$302)</f>
        <v>0</v>
      </c>
      <c r="AS27" s="9" t="n">
        <f aca="false">SUMIF(konwertery!U$2:U$300,A27,Audioteka!O$4:O$302)</f>
        <v>0</v>
      </c>
      <c r="AU27" s="9" t="n">
        <f aca="false">SUMIF(Bookbeat!A$9:A$309,A27,Bookbeat!H$9:H$309)</f>
        <v>0</v>
      </c>
      <c r="AV27" s="10" t="n">
        <f aca="false">SUMIF(Bookbeat!A$9:A$309,A27,Bookbeat!L$9:L$309)</f>
        <v>0</v>
      </c>
    </row>
    <row r="28" customFormat="false" ht="15.75" hidden="false" customHeight="false" outlineLevel="0" collapsed="false">
      <c r="A28" s="11" t="n">
        <v>9788365156310</v>
      </c>
      <c r="B28" s="8" t="s">
        <v>41</v>
      </c>
      <c r="E28" s="3" t="n">
        <f aca="false">H28+K28</f>
        <v>5</v>
      </c>
      <c r="F28" s="4" t="n">
        <f aca="false">I28+L28</f>
        <v>38.5889</v>
      </c>
      <c r="H28" s="9" t="n">
        <f aca="false">SUMIF(konwertery!A$2:A$300,A28,Histmag!C$2:C$300)</f>
        <v>3</v>
      </c>
      <c r="I28" s="10" t="n">
        <f aca="false">SUMIF(konwertery!A$2:A$300,A28,konwertery!B$2:B$300) * 0.97</f>
        <v>27.5189</v>
      </c>
      <c r="K28" s="7" t="n">
        <f aca="false">N28+Q28+T28+W28+Z28+AC28+AF28+AI28+AL28+AO28+AR28+AU28</f>
        <v>2</v>
      </c>
      <c r="L28" s="12" t="n">
        <f aca="false">O28+R28+U28+X28+AA28+AD28+AG28+AJ28+AM28+AP28+AS28+AV28</f>
        <v>11.07</v>
      </c>
      <c r="N28" s="9" t="n">
        <f aca="false">SUMIF(konwertery!C$2:C$300,A28,Virtualo!L$2:L$300)</f>
        <v>0</v>
      </c>
      <c r="O28" s="10" t="n">
        <f aca="false">(SUMIF(konwertery!C$2:C$300,A28,Virtualo!P$2:P$300))</f>
        <v>0</v>
      </c>
      <c r="Q28" s="9" t="n">
        <f aca="false">SUMIF(konwertery!D$2:D$300,A28,Empik!M$2:M$300)</f>
        <v>1</v>
      </c>
      <c r="R28" s="10" t="n">
        <f aca="false">SUMIF(konwertery!D$2:D$300,A28,Empik!N$2:N$300)</f>
        <v>9</v>
      </c>
      <c r="T28" s="13" t="n">
        <f aca="false">SUMIF(konwertery!E$2:E$300,A28,Publio!P$2:P$300)</f>
        <v>0</v>
      </c>
      <c r="U28" s="14" t="n">
        <f aca="false">SUMIF(konwertery!E$2:E$300,A28,konwertery!F$2:F$300)</f>
        <v>0</v>
      </c>
      <c r="W28" s="9" t="n">
        <f aca="false">SUMIF(Legimi!D$2:D$300,A28,Legimi!G$2:G$300)</f>
        <v>0</v>
      </c>
      <c r="X28" s="10" t="n">
        <f aca="false">SUMIF(Legimi!D$2:D$300,A28,Legimi!H$2:H$300)</f>
        <v>0</v>
      </c>
      <c r="Z28" s="9" t="n">
        <f aca="false">SUMIF(konwertery!G$2:G$302,A28,Nexto!J$2:J$283)</f>
        <v>0</v>
      </c>
      <c r="AA28" s="9" t="n">
        <f aca="false">SUMIF(konwertery!G$2:G$302,A28,Nexto!N$2:P$302)</f>
        <v>0</v>
      </c>
      <c r="AC28" s="9" t="n">
        <f aca="false">SUMIF(Woblink!E$9:E$309,A28,Woblink!I$9:I$309)</f>
        <v>0</v>
      </c>
      <c r="AD28" s="10" t="n">
        <f aca="false">SUMIF(Woblink!E$14:E$314,A28,konwertery!R$2:R$300)</f>
        <v>0</v>
      </c>
      <c r="AF28" s="9" t="n">
        <f aca="false">SUM(SUMIF(konwertery!I$2:I$300,A28,Azymut!H$2:H$298),(SUMIF(konwertery!S$2:S$300,A28,AzymutB!H$2:H324)*2))</f>
        <v>0</v>
      </c>
      <c r="AG28" s="8" t="n">
        <f aca="false">SUM(SUMIF(konwertery!I$2:I$300,A28,konwertery!J$2:J$300),SUMIF(konwertery!S$2:S$300,A28,konwertery!T$2:T$300))</f>
        <v>0</v>
      </c>
      <c r="AI28" s="9" t="n">
        <f aca="false">SUMIF(konwertery!K$2:K$300,A28,Ebookpoint!F$14:F$312)</f>
        <v>0</v>
      </c>
      <c r="AJ28" s="9" t="n">
        <f aca="false">SUMIF(konwertery!K$2:K$300,A28,Ebookpoint!M$14:M$312)</f>
        <v>0</v>
      </c>
      <c r="AL28" s="9" t="n">
        <f aca="false">SUMIF(konwertery!L$2:L$300,A28,Nasbi!F$14:F$312)</f>
        <v>0</v>
      </c>
      <c r="AM28" s="9" t="n">
        <f aca="false">SUMIF(konwertery!L$2:L$300,A28,Nasbi!K$14:K$312)</f>
        <v>0</v>
      </c>
      <c r="AO28" s="9" t="n">
        <f aca="false">SUMIF(StorytelE!C$2:C$300,A28,konwertery!M$2:M$300)+SUMIF(StorytelA!C$2:C$300,A28,konwertery!N$2:N$300)</f>
        <v>1</v>
      </c>
      <c r="AP28" s="9" t="n">
        <f aca="false">SUMIF(StorytelE!C$2:C$300,A28,konwertery!O$2:O$300)+SUMIF(StorytelA!C$2:C$300,A28,konwertery!P$2:P$300)</f>
        <v>2.07</v>
      </c>
      <c r="AR28" s="9" t="n">
        <f aca="false">SUMIF(konwertery!U$2:U$300,A28,Audioteka!E$4:E$302)</f>
        <v>0</v>
      </c>
      <c r="AS28" s="9" t="n">
        <f aca="false">SUMIF(konwertery!U$2:U$300,A28,Audioteka!O$4:O$302)</f>
        <v>0</v>
      </c>
      <c r="AU28" s="9" t="n">
        <f aca="false">SUMIF(Bookbeat!A$9:A$309,A28,Bookbeat!H$9:H$309)</f>
        <v>0</v>
      </c>
      <c r="AV28" s="10" t="n">
        <f aca="false">SUMIF(Bookbeat!A$9:A$309,A28,Bookbeat!L$9:L$309)</f>
        <v>0</v>
      </c>
    </row>
    <row r="29" customFormat="false" ht="15.75" hidden="false" customHeight="false" outlineLevel="0" collapsed="false">
      <c r="A29" s="11" t="n">
        <v>9788365156792</v>
      </c>
      <c r="B29" s="15" t="s">
        <v>42</v>
      </c>
      <c r="E29" s="3" t="n">
        <f aca="false">H29+K29</f>
        <v>34</v>
      </c>
      <c r="F29" s="4" t="n">
        <f aca="false">I29+L29</f>
        <v>174.1834</v>
      </c>
      <c r="H29" s="9" t="n">
        <f aca="false">SUMIF(konwertery!A$2:A$300,A29,Histmag!C$2:C$300)</f>
        <v>1</v>
      </c>
      <c r="I29" s="10" t="n">
        <f aca="false">SUMIF(konwertery!A$2:A$300,A29,konwertery!B$2:B$300) * 0.97</f>
        <v>8.9434</v>
      </c>
      <c r="K29" s="7" t="n">
        <f aca="false">N29+Q29+T29+W29+Z29+AC29+AF29+AI29+AL29+AO29+AR29+AU29</f>
        <v>33</v>
      </c>
      <c r="L29" s="12" t="n">
        <f aca="false">O29+R29+U29+X29+AA29+AD29+AG29+AJ29+AM29+AP29+AS29+AV29</f>
        <v>165.24</v>
      </c>
      <c r="N29" s="9" t="n">
        <f aca="false">SUMIF(konwertery!C$2:C$300,A29,Virtualo!L$2:L$300)</f>
        <v>0</v>
      </c>
      <c r="O29" s="10" t="n">
        <f aca="false">(SUMIF(konwertery!C$2:C$300,A29,Virtualo!P$2:P$300))</f>
        <v>0</v>
      </c>
      <c r="Q29" s="9" t="n">
        <f aca="false">SUMIF(konwertery!D$2:D$300,A29,Empik!M$2:M$300)</f>
        <v>4</v>
      </c>
      <c r="R29" s="10" t="n">
        <f aca="false">SUMIF(konwertery!D$2:D$300,A29,Empik!N$2:N$300)</f>
        <v>32</v>
      </c>
      <c r="T29" s="13" t="n">
        <f aca="false">SUMIF(konwertery!E$2:E$300,A29,Publio!P$2:P$300)</f>
        <v>0</v>
      </c>
      <c r="U29" s="14" t="n">
        <f aca="false">SUMIF(konwertery!E$2:E$300,A29,konwertery!F$2:F$300)</f>
        <v>0</v>
      </c>
      <c r="W29" s="9" t="n">
        <f aca="false">SUMIF(Legimi!D$2:D$300,A29,Legimi!G$2:G$300)</f>
        <v>1</v>
      </c>
      <c r="X29" s="10" t="n">
        <f aca="false">SUMIF(Legimi!D$2:D$300,A29,Legimi!H$2:H$300)</f>
        <v>11.93</v>
      </c>
      <c r="Z29" s="9" t="n">
        <f aca="false">SUMIF(konwertery!G$2:G$302,A29,Nexto!J$2:J$283)</f>
        <v>0</v>
      </c>
      <c r="AA29" s="9" t="n">
        <f aca="false">SUMIF(konwertery!G$2:G$302,A29,Nexto!N$2:P$302)</f>
        <v>0</v>
      </c>
      <c r="AC29" s="9" t="n">
        <f aca="false">SUMIF(Woblink!E$9:E$309,A29,Woblink!I$9:I$309)</f>
        <v>0</v>
      </c>
      <c r="AD29" s="10" t="n">
        <f aca="false">SUMIF(Woblink!E$14:E$314,A29,konwertery!R$2:R$300)</f>
        <v>0</v>
      </c>
      <c r="AF29" s="9" t="n">
        <f aca="false">SUM(SUMIF(konwertery!I$2:I$300,A29,Azymut!H$2:H$298),(SUMIF(konwertery!S$2:S$300,A29,AzymutB!H$2:H325)*2))</f>
        <v>0</v>
      </c>
      <c r="AG29" s="8" t="n">
        <f aca="false">SUM(SUMIF(konwertery!I$2:I$300,A29,konwertery!J$2:J$300),SUMIF(konwertery!S$2:S$300,A29,konwertery!T$2:T$300))</f>
        <v>0</v>
      </c>
      <c r="AI29" s="9" t="n">
        <f aca="false">SUMIF(konwertery!K$2:K$300,A29,Ebookpoint!F$14:F$312)</f>
        <v>0</v>
      </c>
      <c r="AJ29" s="9" t="n">
        <f aca="false">SUMIF(konwertery!K$2:K$300,A29,Ebookpoint!M$14:M$312)</f>
        <v>0</v>
      </c>
      <c r="AL29" s="9" t="n">
        <f aca="false">SUMIF(konwertery!L$2:L$300,A29,Nasbi!F$14:F$312)</f>
        <v>1</v>
      </c>
      <c r="AM29" s="9" t="n">
        <f aca="false">SUMIF(konwertery!L$2:L$300,A29,Nasbi!K$14:K$312)</f>
        <v>10.91</v>
      </c>
      <c r="AO29" s="9" t="n">
        <f aca="false">SUMIF(StorytelE!C$2:C$300,A29,konwertery!M$2:M$300)+SUMIF(StorytelA!C$2:C$300,A29,konwertery!N$2:N$300)</f>
        <v>21</v>
      </c>
      <c r="AP29" s="9" t="n">
        <f aca="false">SUMIF(StorytelE!C$2:C$300,A29,konwertery!O$2:O$300)+SUMIF(StorytelA!C$2:C$300,A29,konwertery!P$2:P$300)</f>
        <v>50.3</v>
      </c>
      <c r="AR29" s="9" t="n">
        <f aca="false">SUMIF(konwertery!U$2:U$300,A29,Audioteka!E$4:E$302)</f>
        <v>6</v>
      </c>
      <c r="AS29" s="9" t="n">
        <f aca="false">SUMIF(konwertery!U$2:U$300,A29,Audioteka!O$4:O$302)</f>
        <v>60.1</v>
      </c>
      <c r="AU29" s="9" t="n">
        <f aca="false">SUMIF(Bookbeat!A$9:A$309,A29,Bookbeat!H$9:H$309)</f>
        <v>0</v>
      </c>
      <c r="AV29" s="10" t="n">
        <f aca="false">SUMIF(Bookbeat!A$9:A$309,A29,Bookbeat!L$9:L$309)</f>
        <v>0</v>
      </c>
    </row>
    <row r="30" customFormat="false" ht="15.75" hidden="false" customHeight="false" outlineLevel="0" collapsed="false">
      <c r="A30" s="11" t="n">
        <v>9788362329984</v>
      </c>
      <c r="B30" s="8" t="s">
        <v>43</v>
      </c>
      <c r="E30" s="3" t="n">
        <f aca="false">H30+K30</f>
        <v>2</v>
      </c>
      <c r="F30" s="4" t="n">
        <f aca="false">I30+L30</f>
        <v>12.7458</v>
      </c>
      <c r="H30" s="9" t="n">
        <f aca="false">SUMIF(konwertery!A$2:A$300,A30,Histmag!C$2:C$300)</f>
        <v>2</v>
      </c>
      <c r="I30" s="10" t="n">
        <f aca="false">SUMIF(konwertery!A$2:A$300,A30,konwertery!B$2:B$300) * 0.97</f>
        <v>12.7458</v>
      </c>
      <c r="K30" s="7" t="n">
        <f aca="false">N30+Q30+T30+W30+Z30+AC30+AF30+AI30+AL30+AO30+AR30+AU30</f>
        <v>0</v>
      </c>
      <c r="L30" s="12" t="n">
        <f aca="false">O30+R30+U30+X30+AA30+AD30+AG30+AJ30+AM30+AP30+AS30+AV30</f>
        <v>0</v>
      </c>
      <c r="N30" s="9" t="n">
        <f aca="false">SUMIF(konwertery!C$2:C$300,A30,Virtualo!L$2:L$300)</f>
        <v>0</v>
      </c>
      <c r="O30" s="10" t="n">
        <f aca="false">(SUMIF(konwertery!C$2:C$300,A30,Virtualo!P$2:P$300))</f>
        <v>0</v>
      </c>
      <c r="Q30" s="9" t="n">
        <f aca="false">SUMIF(konwertery!D$2:D$300,A30,Empik!M$2:M$300)</f>
        <v>0</v>
      </c>
      <c r="R30" s="10" t="n">
        <f aca="false">SUMIF(konwertery!D$2:D$300,A30,Empik!N$2:N$300)</f>
        <v>0</v>
      </c>
      <c r="T30" s="13" t="n">
        <f aca="false">SUMIF(konwertery!E$2:E$300,A30,Publio!P$2:P$300)</f>
        <v>0</v>
      </c>
      <c r="U30" s="14" t="n">
        <f aca="false">SUMIF(konwertery!E$2:E$300,A30,konwertery!F$2:F$300)</f>
        <v>0</v>
      </c>
      <c r="W30" s="9" t="n">
        <f aca="false">SUMIF(Legimi!D$2:D$300,A30,Legimi!G$2:G$300)</f>
        <v>0</v>
      </c>
      <c r="X30" s="10" t="n">
        <f aca="false">SUMIF(Legimi!D$2:D$300,A30,Legimi!H$2:H$300)</f>
        <v>0</v>
      </c>
      <c r="Z30" s="9" t="n">
        <f aca="false">SUMIF(konwertery!G$2:G$302,A30,Nexto!J$2:J$283)</f>
        <v>0</v>
      </c>
      <c r="AA30" s="9" t="n">
        <f aca="false">SUMIF(konwertery!G$2:G$302,A30,Nexto!N$2:P$302)</f>
        <v>0</v>
      </c>
      <c r="AC30" s="9" t="n">
        <f aca="false">SUMIF(Woblink!E$9:E$309,A30,Woblink!I$9:I$309)</f>
        <v>0</v>
      </c>
      <c r="AD30" s="10" t="n">
        <f aca="false">SUMIF(Woblink!E$14:E$314,A30,konwertery!R$2:R$300)</f>
        <v>0</v>
      </c>
      <c r="AF30" s="9" t="n">
        <f aca="false">SUM(SUMIF(konwertery!I$2:I$300,A30,Azymut!H$2:H$298),(SUMIF(konwertery!S$2:S$300,A30,AzymutB!H$2:H326)*2))</f>
        <v>0</v>
      </c>
      <c r="AG30" s="8" t="n">
        <f aca="false">SUM(SUMIF(konwertery!I$2:I$300,A30,konwertery!J$2:J$300),SUMIF(konwertery!S$2:S$300,A30,konwertery!T$2:T$300))</f>
        <v>0</v>
      </c>
      <c r="AI30" s="9" t="n">
        <f aca="false">SUMIF(konwertery!K$2:K$300,A30,Ebookpoint!F$14:F$312)</f>
        <v>0</v>
      </c>
      <c r="AJ30" s="9" t="n">
        <f aca="false">SUMIF(konwertery!K$2:K$300,A30,Ebookpoint!M$14:M$312)</f>
        <v>0</v>
      </c>
      <c r="AL30" s="9" t="n">
        <f aca="false">SUMIF(konwertery!L$2:L$300,A30,Nasbi!F$14:F$312)</f>
        <v>0</v>
      </c>
      <c r="AM30" s="9" t="n">
        <f aca="false">SUMIF(konwertery!L$2:L$300,A30,Nasbi!K$14:K$312)</f>
        <v>0</v>
      </c>
      <c r="AO30" s="9" t="n">
        <f aca="false">SUMIF(StorytelE!C$2:C$300,A30,konwertery!M$2:M$300)+SUMIF(StorytelA!C$2:C$300,A30,konwertery!N$2:N$300)</f>
        <v>0</v>
      </c>
      <c r="AP30" s="9" t="n">
        <f aca="false">SUMIF(StorytelE!C$2:C$300,A30,konwertery!O$2:O$300)+SUMIF(StorytelA!C$2:C$300,A30,konwertery!P$2:P$300)</f>
        <v>0</v>
      </c>
      <c r="AR30" s="9" t="n">
        <f aca="false">SUMIF(konwertery!U$2:U$300,A30,Audioteka!E$4:E$302)</f>
        <v>0</v>
      </c>
      <c r="AS30" s="9" t="n">
        <f aca="false">SUMIF(konwertery!U$2:U$300,A30,Audioteka!O$4:O$302)</f>
        <v>0</v>
      </c>
      <c r="AU30" s="9" t="n">
        <f aca="false">SUMIF(Bookbeat!A$9:A$309,A30,Bookbeat!H$9:H$309)</f>
        <v>0</v>
      </c>
      <c r="AV30" s="10" t="n">
        <f aca="false">SUMIF(Bookbeat!A$9:A$309,A30,Bookbeat!L$9:L$309)</f>
        <v>0</v>
      </c>
    </row>
    <row r="31" customFormat="false" ht="15.75" hidden="false" customHeight="false" outlineLevel="0" collapsed="false">
      <c r="A31" s="11" t="n">
        <v>9788365156389</v>
      </c>
      <c r="B31" s="8" t="s">
        <v>44</v>
      </c>
      <c r="E31" s="3" t="n">
        <f aca="false">H31+K31</f>
        <v>3</v>
      </c>
      <c r="F31" s="4" t="n">
        <f aca="false">I31+L31</f>
        <v>19.51</v>
      </c>
      <c r="H31" s="9" t="n">
        <f aca="false">SUMIF(konwertery!A$2:A$300,A31,Histmag!C$2:C$300)</f>
        <v>0</v>
      </c>
      <c r="I31" s="10" t="n">
        <f aca="false">SUMIF(konwertery!A$2:A$300,A31,konwertery!B$2:B$300) * 0.97</f>
        <v>0</v>
      </c>
      <c r="K31" s="7" t="n">
        <f aca="false">N31+Q31+T31+W31+Z31+AC31+AF31+AI31+AL31+AO31+AR31+AU31</f>
        <v>3</v>
      </c>
      <c r="L31" s="12" t="n">
        <f aca="false">O31+R31+U31+X31+AA31+AD31+AG31+AJ31+AM31+AP31+AS31+AV31</f>
        <v>19.51</v>
      </c>
      <c r="N31" s="9" t="n">
        <f aca="false">SUMIF(konwertery!C$2:C$300,A31,Virtualo!L$2:L$300)</f>
        <v>0</v>
      </c>
      <c r="O31" s="10" t="n">
        <f aca="false">(SUMIF(konwertery!C$2:C$300,A31,Virtualo!P$2:P$300))</f>
        <v>0</v>
      </c>
      <c r="Q31" s="9" t="n">
        <f aca="false">SUMIF(konwertery!D$2:D$300,A31,Empik!M$2:M$300)</f>
        <v>0</v>
      </c>
      <c r="R31" s="10" t="n">
        <f aca="false">SUMIF(konwertery!D$2:D$300,A31,Empik!N$2:N$300)</f>
        <v>0</v>
      </c>
      <c r="T31" s="13" t="n">
        <f aca="false">SUMIF(konwertery!E$2:E$300,A31,Publio!P$2:P$300)</f>
        <v>1</v>
      </c>
      <c r="U31" s="14" t="n">
        <f aca="false">SUMIF(konwertery!E$2:E$300,A31,konwertery!F$2:F$300)</f>
        <v>6.23</v>
      </c>
      <c r="W31" s="9" t="n">
        <f aca="false">SUMIF(Legimi!D$2:D$300,A31,Legimi!G$2:G$300)</f>
        <v>0</v>
      </c>
      <c r="X31" s="10" t="n">
        <f aca="false">SUMIF(Legimi!D$2:D$300,A31,Legimi!H$2:H$300)</f>
        <v>0</v>
      </c>
      <c r="Z31" s="9" t="n">
        <f aca="false">SUMIF(konwertery!G$2:G$302,A31,Nexto!J$2:J$283)</f>
        <v>0</v>
      </c>
      <c r="AA31" s="9" t="n">
        <f aca="false">SUMIF(konwertery!G$2:G$302,A31,Nexto!N$2:P$302)</f>
        <v>0</v>
      </c>
      <c r="AC31" s="9" t="n">
        <f aca="false">SUMIF(Woblink!E$9:E$309,A31,Woblink!I$9:I$309)</f>
        <v>0</v>
      </c>
      <c r="AD31" s="10" t="n">
        <f aca="false">SUMIF(Woblink!E$14:E$314,A31,konwertery!R$2:R$300)</f>
        <v>0</v>
      </c>
      <c r="AF31" s="9" t="n">
        <f aca="false">SUM(SUMIF(konwertery!I$2:I$300,A31,Azymut!H$2:H$298),(SUMIF(konwertery!S$2:S$300,A31,AzymutB!H$2:H327)*2))</f>
        <v>0</v>
      </c>
      <c r="AG31" s="8" t="n">
        <f aca="false">SUM(SUMIF(konwertery!I$2:I$300,A31,konwertery!J$2:J$300),SUMIF(konwertery!S$2:S$300,A31,konwertery!T$2:T$300))</f>
        <v>0</v>
      </c>
      <c r="AI31" s="9" t="n">
        <f aca="false">SUMIF(konwertery!K$2:K$300,A31,Ebookpoint!F$14:F$312)</f>
        <v>2</v>
      </c>
      <c r="AJ31" s="9" t="n">
        <f aca="false">SUMIF(konwertery!K$2:K$300,A31,Ebookpoint!M$14:M$312)</f>
        <v>13.28</v>
      </c>
      <c r="AL31" s="9" t="n">
        <f aca="false">SUMIF(konwertery!L$2:L$300,A31,Nasbi!F$14:F$312)</f>
        <v>0</v>
      </c>
      <c r="AM31" s="9" t="n">
        <f aca="false">SUMIF(konwertery!L$2:L$300,A31,Nasbi!K$14:K$312)</f>
        <v>0</v>
      </c>
      <c r="AO31" s="9" t="n">
        <f aca="false">SUMIF(StorytelE!C$2:C$300,A31,konwertery!M$2:M$300)+SUMIF(StorytelA!C$2:C$300,A31,konwertery!N$2:N$300)</f>
        <v>0</v>
      </c>
      <c r="AP31" s="9" t="n">
        <f aca="false">SUMIF(StorytelE!C$2:C$300,A31,konwertery!O$2:O$300)+SUMIF(StorytelA!C$2:C$300,A31,konwertery!P$2:P$300)</f>
        <v>0</v>
      </c>
      <c r="AR31" s="9" t="n">
        <f aca="false">SUMIF(konwertery!U$2:U$300,A31,Audioteka!E$4:E$302)</f>
        <v>0</v>
      </c>
      <c r="AS31" s="9" t="n">
        <f aca="false">SUMIF(konwertery!U$2:U$300,A31,Audioteka!O$4:O$302)</f>
        <v>0</v>
      </c>
      <c r="AU31" s="9" t="n">
        <f aca="false">SUMIF(Bookbeat!A$9:A$309,A31,Bookbeat!H$9:H$309)</f>
        <v>0</v>
      </c>
      <c r="AV31" s="10" t="n">
        <f aca="false">SUMIF(Bookbeat!A$9:A$309,A31,Bookbeat!L$9:L$309)</f>
        <v>0</v>
      </c>
    </row>
    <row r="32" customFormat="false" ht="15.75" hidden="false" customHeight="false" outlineLevel="0" collapsed="false">
      <c r="A32" s="11" t="n">
        <v>9788365156143</v>
      </c>
      <c r="B32" s="8" t="s">
        <v>45</v>
      </c>
      <c r="E32" s="3" t="n">
        <f aca="false">H32+K32</f>
        <v>4</v>
      </c>
      <c r="F32" s="4" t="n">
        <f aca="false">I32+L32</f>
        <v>44.6977</v>
      </c>
      <c r="H32" s="9" t="n">
        <f aca="false">SUMIF(konwertery!A$2:A$300,A32,Histmag!C$2:C$300)</f>
        <v>2</v>
      </c>
      <c r="I32" s="10" t="n">
        <f aca="false">SUMIF(konwertery!A$2:A$300,A32,konwertery!B$2:B$300) * 0.97</f>
        <v>22.7077</v>
      </c>
      <c r="K32" s="7" t="n">
        <f aca="false">N32+Q32+T32+W32+Z32+AC32+AF32+AI32+AL32+AO32+AR32+AU32</f>
        <v>2</v>
      </c>
      <c r="L32" s="12" t="n">
        <f aca="false">O32+R32+U32+X32+AA32+AD32+AG32+AJ32+AM32+AP32+AS32+AV32</f>
        <v>21.99</v>
      </c>
      <c r="N32" s="9" t="n">
        <f aca="false">SUMIF(konwertery!C$2:C$300,A32,Virtualo!L$2:L$300)</f>
        <v>1</v>
      </c>
      <c r="O32" s="10" t="n">
        <f aca="false">(SUMIF(konwertery!C$2:C$300,A32,Virtualo!P$2:P$300))</f>
        <v>11.08</v>
      </c>
      <c r="Q32" s="9" t="n">
        <f aca="false">SUMIF(konwertery!D$2:D$300,A32,Empik!M$2:M$300)</f>
        <v>0</v>
      </c>
      <c r="R32" s="10" t="n">
        <f aca="false">SUMIF(konwertery!D$2:D$300,A32,Empik!N$2:N$300)</f>
        <v>0</v>
      </c>
      <c r="T32" s="13" t="n">
        <f aca="false">SUMIF(konwertery!E$2:E$300,A32,Publio!P$2:P$300)</f>
        <v>0</v>
      </c>
      <c r="U32" s="14" t="n">
        <f aca="false">SUMIF(konwertery!E$2:E$300,A32,konwertery!F$2:F$300)</f>
        <v>0</v>
      </c>
      <c r="W32" s="9" t="n">
        <f aca="false">SUMIF(Legimi!D$2:D$300,A32,Legimi!G$2:G$300)</f>
        <v>0</v>
      </c>
      <c r="X32" s="10" t="n">
        <f aca="false">SUMIF(Legimi!D$2:D$300,A32,Legimi!H$2:H$300)</f>
        <v>0</v>
      </c>
      <c r="Z32" s="9" t="n">
        <f aca="false">SUMIF(konwertery!G$2:G$302,A32,Nexto!J$2:J$283)</f>
        <v>0</v>
      </c>
      <c r="AA32" s="9" t="n">
        <f aca="false">SUMIF(konwertery!G$2:G$302,A32,Nexto!N$2:P$302)</f>
        <v>0</v>
      </c>
      <c r="AC32" s="9" t="n">
        <f aca="false">SUMIF(Woblink!E$9:E$309,A32,Woblink!I$9:I$309)</f>
        <v>0</v>
      </c>
      <c r="AD32" s="10" t="n">
        <f aca="false">SUMIF(Woblink!E$14:E$314,A32,konwertery!R$2:R$300)</f>
        <v>0</v>
      </c>
      <c r="AF32" s="9" t="n">
        <f aca="false">SUM(SUMIF(konwertery!I$2:I$300,A32,Azymut!H$2:H$298),(SUMIF(konwertery!S$2:S$300,A32,AzymutB!H$2:H328)*2))</f>
        <v>0</v>
      </c>
      <c r="AG32" s="8" t="n">
        <f aca="false">SUM(SUMIF(konwertery!I$2:I$300,A32,konwertery!J$2:J$300),SUMIF(konwertery!S$2:S$300,A32,konwertery!T$2:T$300))</f>
        <v>0</v>
      </c>
      <c r="AI32" s="9" t="n">
        <f aca="false">SUMIF(konwertery!K$2:K$300,A32,Ebookpoint!F$14:F$312)</f>
        <v>1</v>
      </c>
      <c r="AJ32" s="9" t="n">
        <f aca="false">SUMIF(konwertery!K$2:K$300,A32,Ebookpoint!M$14:M$312)</f>
        <v>10.91</v>
      </c>
      <c r="AL32" s="9" t="n">
        <f aca="false">SUMIF(konwertery!L$2:L$300,A32,Nasbi!F$14:F$312)</f>
        <v>0</v>
      </c>
      <c r="AM32" s="9" t="n">
        <f aca="false">SUMIF(konwertery!L$2:L$300,A32,Nasbi!K$14:K$312)</f>
        <v>0</v>
      </c>
      <c r="AO32" s="9" t="n">
        <f aca="false">SUMIF(StorytelE!C$2:C$300,A32,konwertery!M$2:M$300)+SUMIF(StorytelA!C$2:C$300,A32,konwertery!N$2:N$300)</f>
        <v>0</v>
      </c>
      <c r="AP32" s="9" t="n">
        <f aca="false">SUMIF(StorytelE!C$2:C$300,A32,konwertery!O$2:O$300)+SUMIF(StorytelA!C$2:C$300,A32,konwertery!P$2:P$300)</f>
        <v>0</v>
      </c>
      <c r="AR32" s="9" t="n">
        <f aca="false">SUMIF(konwertery!U$2:U$300,A32,Audioteka!E$4:E$302)</f>
        <v>0</v>
      </c>
      <c r="AS32" s="9" t="n">
        <f aca="false">SUMIF(konwertery!U$2:U$300,A32,Audioteka!O$4:O$302)</f>
        <v>0</v>
      </c>
      <c r="AU32" s="9" t="n">
        <f aca="false">SUMIF(Bookbeat!A$9:A$309,A32,Bookbeat!H$9:H$309)</f>
        <v>0</v>
      </c>
      <c r="AV32" s="10" t="n">
        <f aca="false">SUMIF(Bookbeat!A$9:A$309,A32,Bookbeat!L$9:L$309)</f>
        <v>0</v>
      </c>
    </row>
    <row r="33" customFormat="false" ht="15.75" hidden="false" customHeight="false" outlineLevel="0" collapsed="false">
      <c r="A33" s="11" t="n">
        <v>9788365156815</v>
      </c>
      <c r="B33" s="8" t="s">
        <v>46</v>
      </c>
      <c r="E33" s="3" t="n">
        <f aca="false">H33+K33</f>
        <v>57</v>
      </c>
      <c r="F33" s="4" t="n">
        <f aca="false">I33+L33</f>
        <v>391.0948</v>
      </c>
      <c r="H33" s="9" t="n">
        <f aca="false">SUMIF(konwertery!A$2:A$300,A33,Histmag!C$2:C$300)</f>
        <v>4</v>
      </c>
      <c r="I33" s="10" t="n">
        <f aca="false">SUMIF(konwertery!A$2:A$300,A33,konwertery!B$2:B$300) * 0.97</f>
        <v>55.1348</v>
      </c>
      <c r="K33" s="7" t="n">
        <f aca="false">N33+Q33+T33+W33+Z33+AC33+AF33+AI33+AL33+AO33+AR33+AU33</f>
        <v>53</v>
      </c>
      <c r="L33" s="12" t="n">
        <f aca="false">O33+R33+U33+X33+AA33+AD33+AG33+AJ33+AM33+AP33+AS33+AV33</f>
        <v>335.96</v>
      </c>
      <c r="N33" s="9" t="n">
        <f aca="false">SUMIF(konwertery!C$2:C$300,A33,Virtualo!L$2:L$300)</f>
        <v>0</v>
      </c>
      <c r="O33" s="10" t="n">
        <f aca="false">(SUMIF(konwertery!C$2:C$300,A33,Virtualo!P$2:P$300))</f>
        <v>0</v>
      </c>
      <c r="Q33" s="9" t="n">
        <f aca="false">SUMIF(konwertery!D$2:D$300,A33,Empik!M$2:M$300)</f>
        <v>0</v>
      </c>
      <c r="R33" s="10" t="n">
        <f aca="false">SUMIF(konwertery!D$2:D$300,A33,Empik!N$2:N$300)</f>
        <v>0</v>
      </c>
      <c r="T33" s="13" t="n">
        <f aca="false">SUMIF(konwertery!E$2:E$300,A33,Publio!P$2:P$300)</f>
        <v>0</v>
      </c>
      <c r="U33" s="14" t="n">
        <f aca="false">SUMIF(konwertery!E$2:E$300,A33,konwertery!F$2:F$300)</f>
        <v>0</v>
      </c>
      <c r="W33" s="9" t="n">
        <f aca="false">SUMIF(Legimi!D$2:D$300,A33,Legimi!G$2:G$300)</f>
        <v>0</v>
      </c>
      <c r="X33" s="10" t="n">
        <f aca="false">SUMIF(Legimi!D$2:D$300,A33,Legimi!H$2:H$300)</f>
        <v>0</v>
      </c>
      <c r="Z33" s="9" t="n">
        <f aca="false">SUMIF(konwertery!G$2:G$302,A33,Nexto!J$2:J$283)</f>
        <v>0</v>
      </c>
      <c r="AA33" s="9" t="n">
        <f aca="false">SUMIF(konwertery!G$2:G$302,A33,Nexto!N$2:P$302)</f>
        <v>0</v>
      </c>
      <c r="AC33" s="9" t="n">
        <f aca="false">SUMIF(Woblink!E$9:E$309,A33,Woblink!I$9:I$309)</f>
        <v>0</v>
      </c>
      <c r="AD33" s="10" t="n">
        <f aca="false">SUMIF(Woblink!E$14:E$314,A33,konwertery!R$2:R$300)</f>
        <v>0</v>
      </c>
      <c r="AF33" s="9" t="n">
        <f aca="false">SUM(SUMIF(konwertery!I$2:I$300,A33,Azymut!H$2:H$298),(SUMIF(konwertery!S$2:S$300,A33,AzymutB!H$2:H329)*2))</f>
        <v>0</v>
      </c>
      <c r="AG33" s="8" t="n">
        <f aca="false">SUM(SUMIF(konwertery!I$2:I$300,A33,konwertery!J$2:J$300),SUMIF(konwertery!S$2:S$300,A33,konwertery!T$2:T$300))</f>
        <v>0</v>
      </c>
      <c r="AI33" s="9" t="n">
        <f aca="false">SUMIF(konwertery!K$2:K$300,A33,Ebookpoint!F$14:F$312)</f>
        <v>53</v>
      </c>
      <c r="AJ33" s="9" t="n">
        <f aca="false">SUMIF(konwertery!K$2:K$300,A33,Ebookpoint!M$14:M$312)</f>
        <v>335.96</v>
      </c>
      <c r="AL33" s="9" t="n">
        <f aca="false">SUMIF(konwertery!L$2:L$300,A33,Nasbi!F$14:F$312)</f>
        <v>0</v>
      </c>
      <c r="AM33" s="9" t="n">
        <f aca="false">SUMIF(konwertery!L$2:L$300,A33,Nasbi!K$14:K$312)</f>
        <v>0</v>
      </c>
      <c r="AO33" s="9" t="n">
        <f aca="false">SUMIF(StorytelE!C$2:C$300,A33,konwertery!M$2:M$300)+SUMIF(StorytelA!C$2:C$300,A33,konwertery!N$2:N$300)</f>
        <v>0</v>
      </c>
      <c r="AP33" s="9" t="n">
        <f aca="false">SUMIF(StorytelE!C$2:C$300,A33,konwertery!O$2:O$300)+SUMIF(StorytelA!C$2:C$300,A33,konwertery!P$2:P$300)</f>
        <v>0</v>
      </c>
      <c r="AR33" s="9" t="n">
        <f aca="false">SUMIF(konwertery!U$2:U$300,A33,Audioteka!E$4:E$302)</f>
        <v>0</v>
      </c>
      <c r="AS33" s="9" t="n">
        <f aca="false">SUMIF(konwertery!U$2:U$300,A33,Audioteka!O$4:O$302)</f>
        <v>0</v>
      </c>
      <c r="AU33" s="9" t="n">
        <f aca="false">SUMIF(Bookbeat!A$9:A$309,A33,Bookbeat!H$9:H$309)</f>
        <v>0</v>
      </c>
      <c r="AV33" s="10" t="n">
        <f aca="false">SUMIF(Bookbeat!A$9:A$309,A33,Bookbeat!L$9:L$309)</f>
        <v>0</v>
      </c>
    </row>
    <row r="34" customFormat="false" ht="15.75" hidden="false" customHeight="false" outlineLevel="0" collapsed="false">
      <c r="A34" s="11" t="n">
        <v>9788365156402</v>
      </c>
      <c r="B34" s="8" t="s">
        <v>47</v>
      </c>
      <c r="E34" s="3" t="n">
        <f aca="false">H34+K34</f>
        <v>3</v>
      </c>
      <c r="F34" s="4" t="n">
        <f aca="false">I34+L34</f>
        <v>17.3362</v>
      </c>
      <c r="H34" s="9" t="n">
        <f aca="false">SUMIF(konwertery!A$2:A$300,A34,Histmag!C$2:C$300)</f>
        <v>1</v>
      </c>
      <c r="I34" s="10" t="n">
        <f aca="false">SUMIF(konwertery!A$2:A$300,A34,konwertery!B$2:B$300) * 0.97</f>
        <v>10.1462</v>
      </c>
      <c r="K34" s="7" t="n">
        <f aca="false">N34+Q34+T34+W34+Z34+AC34+AF34+AI34+AL34+AO34+AR34+AU34</f>
        <v>2</v>
      </c>
      <c r="L34" s="12" t="n">
        <f aca="false">O34+R34+U34+X34+AA34+AD34+AG34+AJ34+AM34+AP34+AS34+AV34</f>
        <v>7.19</v>
      </c>
      <c r="N34" s="9" t="n">
        <f aca="false">SUMIF(konwertery!C$2:C$300,A34,Virtualo!L$2:L$300)</f>
        <v>0</v>
      </c>
      <c r="O34" s="10" t="n">
        <f aca="false">(SUMIF(konwertery!C$2:C$300,A34,Virtualo!P$2:P$300))</f>
        <v>0</v>
      </c>
      <c r="Q34" s="9" t="n">
        <f aca="false">SUMIF(konwertery!D$2:D$300,A34,Empik!M$2:M$300)</f>
        <v>0</v>
      </c>
      <c r="R34" s="10" t="n">
        <f aca="false">SUMIF(konwertery!D$2:D$300,A34,Empik!N$2:N$300)</f>
        <v>0</v>
      </c>
      <c r="T34" s="13" t="n">
        <f aca="false">SUMIF(konwertery!E$2:E$300,A34,Publio!P$2:P$300)</f>
        <v>0</v>
      </c>
      <c r="U34" s="14" t="n">
        <f aca="false">SUMIF(konwertery!E$2:E$300,A34,konwertery!F$2:F$300)</f>
        <v>0</v>
      </c>
      <c r="W34" s="9" t="n">
        <f aca="false">SUMIF(Legimi!D$2:D$300,A34,Legimi!G$2:G$300)</f>
        <v>0</v>
      </c>
      <c r="X34" s="10" t="n">
        <f aca="false">SUMIF(Legimi!D$2:D$300,A34,Legimi!H$2:H$300)</f>
        <v>0</v>
      </c>
      <c r="Z34" s="9" t="n">
        <f aca="false">SUMIF(konwertery!G$2:G$302,A34,Nexto!J$2:J$283)</f>
        <v>0</v>
      </c>
      <c r="AA34" s="9" t="n">
        <f aca="false">SUMIF(konwertery!G$2:G$302,A34,Nexto!N$2:P$302)</f>
        <v>0</v>
      </c>
      <c r="AC34" s="9" t="n">
        <f aca="false">SUMIF(Woblink!E$9:E$309,A34,Woblink!I$9:I$309)</f>
        <v>0</v>
      </c>
      <c r="AD34" s="10" t="n">
        <f aca="false">SUMIF(Woblink!E$14:E$314,A34,konwertery!R$2:R$300)</f>
        <v>0</v>
      </c>
      <c r="AF34" s="9" t="n">
        <f aca="false">SUM(SUMIF(konwertery!I$2:I$300,A34,Azymut!H$2:H$298),(SUMIF(konwertery!S$2:S$300,A34,AzymutB!H$2:H330)*2))</f>
        <v>0</v>
      </c>
      <c r="AG34" s="8" t="n">
        <f aca="false">SUM(SUMIF(konwertery!I$2:I$300,A34,konwertery!J$2:J$300),SUMIF(konwertery!S$2:S$300,A34,konwertery!T$2:T$300))</f>
        <v>0</v>
      </c>
      <c r="AI34" s="9" t="n">
        <f aca="false">SUMIF(konwertery!K$2:K$300,A34,Ebookpoint!F$14:F$312)</f>
        <v>0</v>
      </c>
      <c r="AJ34" s="9" t="n">
        <f aca="false">SUMIF(konwertery!K$2:K$300,A34,Ebookpoint!M$14:M$312)</f>
        <v>0</v>
      </c>
      <c r="AL34" s="9" t="n">
        <f aca="false">SUMIF(konwertery!L$2:L$300,A34,Nasbi!F$14:F$312)</f>
        <v>0</v>
      </c>
      <c r="AM34" s="9" t="n">
        <f aca="false">SUMIF(konwertery!L$2:L$300,A34,Nasbi!K$14:K$312)</f>
        <v>0</v>
      </c>
      <c r="AO34" s="9" t="n">
        <f aca="false">SUMIF(StorytelE!C$2:C$300,A34,konwertery!M$2:M$300)+SUMIF(StorytelA!C$2:C$300,A34,konwertery!N$2:N$300)</f>
        <v>2</v>
      </c>
      <c r="AP34" s="9" t="n">
        <f aca="false">SUMIF(StorytelE!C$2:C$300,A34,konwertery!O$2:O$300)+SUMIF(StorytelA!C$2:C$300,A34,konwertery!P$2:P$300)</f>
        <v>7.19</v>
      </c>
      <c r="AR34" s="9" t="n">
        <f aca="false">SUMIF(konwertery!U$2:U$300,A34,Audioteka!E$4:E$302)</f>
        <v>0</v>
      </c>
      <c r="AS34" s="9" t="n">
        <f aca="false">SUMIF(konwertery!U$2:U$300,A34,Audioteka!O$4:O$302)</f>
        <v>0</v>
      </c>
      <c r="AU34" s="9" t="n">
        <f aca="false">SUMIF(Bookbeat!A$9:A$309,A34,Bookbeat!H$9:H$309)</f>
        <v>0</v>
      </c>
      <c r="AV34" s="10" t="n">
        <f aca="false">SUMIF(Bookbeat!A$9:A$309,A34,Bookbeat!L$9:L$309)</f>
        <v>0</v>
      </c>
    </row>
    <row r="35" customFormat="false" ht="15.75" hidden="false" customHeight="false" outlineLevel="0" collapsed="false">
      <c r="A35" s="11" t="n">
        <v>9788365156730</v>
      </c>
      <c r="B35" s="15" t="s">
        <v>48</v>
      </c>
      <c r="E35" s="3" t="n">
        <f aca="false">H35+K35</f>
        <v>20</v>
      </c>
      <c r="F35" s="4" t="n">
        <f aca="false">I35+L35</f>
        <v>100.89</v>
      </c>
      <c r="H35" s="9" t="n">
        <f aca="false">SUMIF(konwertery!A$2:A$300,A35,Histmag!C$2:C$300)</f>
        <v>0</v>
      </c>
      <c r="I35" s="10" t="n">
        <f aca="false">SUMIF(konwertery!A$2:A$300,A35,konwertery!B$2:B$300) * 0.97</f>
        <v>0</v>
      </c>
      <c r="K35" s="7" t="n">
        <f aca="false">N35+Q35+T35+W35+Z35+AC35+AF35+AI35+AL35+AO35+AR35+AU35</f>
        <v>20</v>
      </c>
      <c r="L35" s="12" t="n">
        <f aca="false">O35+R35+U35+X35+AA35+AD35+AG35+AJ35+AM35+AP35+AS35+AV35</f>
        <v>100.89</v>
      </c>
      <c r="N35" s="9" t="n">
        <f aca="false">SUMIF(konwertery!C$2:C$300,A35,Virtualo!L$2:L$300)</f>
        <v>0</v>
      </c>
      <c r="O35" s="10" t="n">
        <f aca="false">(SUMIF(konwertery!C$2:C$300,A35,Virtualo!P$2:P$300))</f>
        <v>0</v>
      </c>
      <c r="Q35" s="9" t="n">
        <f aca="false">SUMIF(konwertery!D$2:D$300,A35,Empik!M$2:M$300)</f>
        <v>2</v>
      </c>
      <c r="R35" s="10" t="n">
        <f aca="false">SUMIF(konwertery!D$2:D$300,A35,Empik!N$2:N$300)</f>
        <v>16</v>
      </c>
      <c r="T35" s="13" t="n">
        <f aca="false">SUMIF(konwertery!E$2:E$300,A35,Publio!P$2:P$300)</f>
        <v>0</v>
      </c>
      <c r="U35" s="14" t="n">
        <f aca="false">SUMIF(konwertery!E$2:E$300,A35,konwertery!F$2:F$300)</f>
        <v>0</v>
      </c>
      <c r="W35" s="9" t="n">
        <f aca="false">SUMIF(Legimi!D$2:D$300,A35,Legimi!G$2:G$300)</f>
        <v>0</v>
      </c>
      <c r="X35" s="10" t="n">
        <f aca="false">SUMIF(Legimi!D$2:D$300,A35,Legimi!H$2:H$300)</f>
        <v>0</v>
      </c>
      <c r="Z35" s="9" t="n">
        <f aca="false">SUMIF(konwertery!G$2:G$302,A35,Nexto!J$2:J$283)</f>
        <v>0</v>
      </c>
      <c r="AA35" s="9" t="n">
        <f aca="false">SUMIF(konwertery!G$2:G$302,A35,Nexto!N$2:P$302)</f>
        <v>0</v>
      </c>
      <c r="AC35" s="9" t="n">
        <f aca="false">SUMIF(Woblink!E$9:E$309,A35,Woblink!I$9:I$309)</f>
        <v>0</v>
      </c>
      <c r="AD35" s="10" t="n">
        <f aca="false">SUMIF(Woblink!E$14:E$314,A35,konwertery!R$2:R$300)</f>
        <v>0</v>
      </c>
      <c r="AF35" s="9" t="n">
        <f aca="false">SUM(SUMIF(konwertery!I$2:I$300,A35,Azymut!H$2:H$298),(SUMIF(konwertery!S$2:S$300,A35,AzymutB!H$2:H331)*2))</f>
        <v>0</v>
      </c>
      <c r="AG35" s="8" t="n">
        <f aca="false">SUM(SUMIF(konwertery!I$2:I$300,A35,konwertery!J$2:J$300),SUMIF(konwertery!S$2:S$300,A35,konwertery!T$2:T$300))</f>
        <v>0</v>
      </c>
      <c r="AI35" s="9" t="n">
        <f aca="false">SUMIF(konwertery!K$2:K$300,A35,Ebookpoint!F$14:F$312)</f>
        <v>0</v>
      </c>
      <c r="AJ35" s="9" t="n">
        <f aca="false">SUMIF(konwertery!K$2:K$300,A35,Ebookpoint!M$14:M$312)</f>
        <v>0</v>
      </c>
      <c r="AL35" s="9" t="n">
        <f aca="false">SUMIF(konwertery!L$2:L$300,A35,Nasbi!F$14:F$312)</f>
        <v>0</v>
      </c>
      <c r="AM35" s="9" t="n">
        <f aca="false">SUMIF(konwertery!L$2:L$300,A35,Nasbi!K$14:K$312)</f>
        <v>0</v>
      </c>
      <c r="AO35" s="9" t="n">
        <f aca="false">SUMIF(StorytelE!C$2:C$300,A35,konwertery!M$2:M$300)+SUMIF(StorytelA!C$2:C$300,A35,konwertery!N$2:N$300)</f>
        <v>15</v>
      </c>
      <c r="AP35" s="9" t="n">
        <f aca="false">SUMIF(StorytelE!C$2:C$300,A35,konwertery!O$2:O$300)+SUMIF(StorytelA!C$2:C$300,A35,konwertery!P$2:P$300)</f>
        <v>54.2</v>
      </c>
      <c r="AR35" s="9" t="n">
        <f aca="false">SUMIF(konwertery!U$2:U$300,A35,Audioteka!E$4:E$302)</f>
        <v>3</v>
      </c>
      <c r="AS35" s="9" t="n">
        <f aca="false">SUMIF(konwertery!U$2:U$300,A35,Audioteka!O$4:O$302)</f>
        <v>30.69</v>
      </c>
      <c r="AU35" s="9" t="n">
        <f aca="false">SUMIF(Bookbeat!A$9:A$309,A35,Bookbeat!H$9:H$309)</f>
        <v>0</v>
      </c>
      <c r="AV35" s="10" t="n">
        <f aca="false">SUMIF(Bookbeat!A$9:A$309,A35,Bookbeat!L$9:L$309)</f>
        <v>0</v>
      </c>
    </row>
    <row r="36" customFormat="false" ht="15.75" hidden="false" customHeight="false" outlineLevel="0" collapsed="false">
      <c r="A36" s="11" t="n">
        <v>9788365156419</v>
      </c>
      <c r="B36" s="8" t="s">
        <v>49</v>
      </c>
      <c r="E36" s="3" t="n">
        <f aca="false">H36+K36</f>
        <v>14</v>
      </c>
      <c r="F36" s="4" t="n">
        <f aca="false">I36+L36</f>
        <v>96.7713</v>
      </c>
      <c r="H36" s="9" t="n">
        <f aca="false">SUMIF(konwertery!A$2:A$300,A36,Histmag!C$2:C$300)</f>
        <v>2</v>
      </c>
      <c r="I36" s="10" t="n">
        <f aca="false">SUMIF(konwertery!A$2:A$300,A36,konwertery!B$2:B$300) * 0.97</f>
        <v>14.8313</v>
      </c>
      <c r="K36" s="7" t="n">
        <f aca="false">N36+Q36+T36+W36+Z36+AC36+AF36+AI36+AL36+AO36+AR36+AU36</f>
        <v>12</v>
      </c>
      <c r="L36" s="12" t="n">
        <f aca="false">O36+R36+U36+X36+AA36+AD36+AG36+AJ36+AM36+AP36+AS36+AV36</f>
        <v>81.94</v>
      </c>
      <c r="N36" s="9" t="n">
        <f aca="false">SUMIF(konwertery!C$2:C$300,A36,Virtualo!L$2:L$300)</f>
        <v>0</v>
      </c>
      <c r="O36" s="10" t="n">
        <f aca="false">(SUMIF(konwertery!C$2:C$300,A36,Virtualo!P$2:P$300))</f>
        <v>0</v>
      </c>
      <c r="Q36" s="9" t="n">
        <f aca="false">SUMIF(konwertery!D$2:D$300,A36,Empik!M$2:M$300)</f>
        <v>0</v>
      </c>
      <c r="R36" s="10" t="n">
        <f aca="false">SUMIF(konwertery!D$2:D$300,A36,Empik!N$2:N$300)</f>
        <v>0</v>
      </c>
      <c r="T36" s="13" t="n">
        <f aca="false">SUMIF(konwertery!E$2:E$300,A36,Publio!P$2:P$300)</f>
        <v>2</v>
      </c>
      <c r="U36" s="14" t="n">
        <f aca="false">SUMIF(konwertery!E$2:E$300,A36,konwertery!F$2:F$300)</f>
        <v>14.48</v>
      </c>
      <c r="W36" s="9" t="n">
        <f aca="false">SUMIF(Legimi!D$2:D$300,A36,Legimi!G$2:G$300)</f>
        <v>0</v>
      </c>
      <c r="X36" s="10" t="n">
        <f aca="false">SUMIF(Legimi!D$2:D$300,A36,Legimi!H$2:H$300)</f>
        <v>0</v>
      </c>
      <c r="Z36" s="9" t="n">
        <f aca="false">SUMIF(konwertery!G$2:G$302,A36,Nexto!J$2:J$283)</f>
        <v>0</v>
      </c>
      <c r="AA36" s="9" t="n">
        <f aca="false">SUMIF(konwertery!G$2:G$302,A36,Nexto!N$2:P$302)</f>
        <v>0</v>
      </c>
      <c r="AC36" s="9" t="n">
        <f aca="false">SUMIF(Woblink!E$9:E$309,A36,Woblink!I$9:I$309)</f>
        <v>0</v>
      </c>
      <c r="AD36" s="10" t="n">
        <f aca="false">SUMIF(Woblink!E$14:E$314,A36,konwertery!R$2:R$300)</f>
        <v>0</v>
      </c>
      <c r="AF36" s="9" t="n">
        <f aca="false">SUM(SUMIF(konwertery!I$2:I$300,A36,Azymut!H$2:H$298),(SUMIF(konwertery!S$2:S$300,A36,AzymutB!H$2:H332)*2))</f>
        <v>0</v>
      </c>
      <c r="AG36" s="8" t="n">
        <f aca="false">SUM(SUMIF(konwertery!I$2:I$300,A36,konwertery!J$2:J$300),SUMIF(konwertery!S$2:S$300,A36,konwertery!T$2:T$300))</f>
        <v>0</v>
      </c>
      <c r="AI36" s="9" t="n">
        <f aca="false">SUMIF(konwertery!K$2:K$300,A36,Ebookpoint!F$14:F$312)</f>
        <v>7</v>
      </c>
      <c r="AJ36" s="9" t="n">
        <f aca="false">SUMIF(konwertery!K$2:K$300,A36,Ebookpoint!M$14:M$312)</f>
        <v>63.56</v>
      </c>
      <c r="AL36" s="9" t="n">
        <f aca="false">SUMIF(konwertery!L$2:L$300,A36,Nasbi!F$14:F$312)</f>
        <v>0</v>
      </c>
      <c r="AM36" s="9" t="n">
        <f aca="false">SUMIF(konwertery!L$2:L$300,A36,Nasbi!K$14:K$312)</f>
        <v>0</v>
      </c>
      <c r="AO36" s="9" t="n">
        <f aca="false">SUMIF(StorytelE!C$2:C$300,A36,konwertery!M$2:M$300)+SUMIF(StorytelA!C$2:C$300,A36,konwertery!N$2:N$300)</f>
        <v>2</v>
      </c>
      <c r="AP36" s="9" t="n">
        <f aca="false">SUMIF(StorytelE!C$2:C$300,A36,konwertery!O$2:O$300)+SUMIF(StorytelA!C$2:C$300,A36,konwertery!P$2:P$300)</f>
        <v>2.5</v>
      </c>
      <c r="AR36" s="9" t="n">
        <f aca="false">SUMIF(konwertery!U$2:U$300,A36,Audioteka!E$4:E$302)</f>
        <v>0</v>
      </c>
      <c r="AS36" s="9" t="n">
        <f aca="false">SUMIF(konwertery!U$2:U$300,A36,Audioteka!O$4:O$302)</f>
        <v>0</v>
      </c>
      <c r="AU36" s="9" t="n">
        <f aca="false">SUMIF(Bookbeat!A$9:A$309,A36,Bookbeat!H$9:H$309)</f>
        <v>1</v>
      </c>
      <c r="AV36" s="10" t="n">
        <f aca="false">SUMIF(Bookbeat!A$9:A$309,A36,Bookbeat!L$9:L$309)</f>
        <v>1.4</v>
      </c>
    </row>
    <row r="37" customFormat="false" ht="15.75" hidden="false" customHeight="false" outlineLevel="0" collapsed="false">
      <c r="A37" s="11" t="n">
        <v>9788365156839</v>
      </c>
      <c r="B37" s="15" t="s">
        <v>50</v>
      </c>
      <c r="E37" s="3" t="n">
        <f aca="false">H37+K37</f>
        <v>74</v>
      </c>
      <c r="F37" s="4" t="n">
        <f aca="false">I37+L37</f>
        <v>164.8589</v>
      </c>
      <c r="H37" s="9" t="n">
        <f aca="false">SUMIF(konwertery!A$2:A$300,A37,Histmag!C$2:C$300)</f>
        <v>1</v>
      </c>
      <c r="I37" s="10" t="n">
        <f aca="false">SUMIF(konwertery!A$2:A$300,A37,konwertery!B$2:B$300) * 0.97</f>
        <v>7.1489</v>
      </c>
      <c r="K37" s="7" t="n">
        <f aca="false">N37+Q37+T37+W37+Z37+AC37+AF37+AI37+AL37+AO37+AR37+AU37</f>
        <v>73</v>
      </c>
      <c r="L37" s="12" t="n">
        <f aca="false">O37+R37+U37+X37+AA37+AD37+AG37+AJ37+AM37+AP37+AS37+AV37</f>
        <v>157.71</v>
      </c>
      <c r="N37" s="9" t="n">
        <f aca="false">SUMIF(konwertery!C$2:C$300,A37,Virtualo!L$2:L$300)</f>
        <v>0</v>
      </c>
      <c r="O37" s="10" t="n">
        <f aca="false">(SUMIF(konwertery!C$2:C$300,A37,Virtualo!P$2:P$300))</f>
        <v>0</v>
      </c>
      <c r="Q37" s="9" t="n">
        <f aca="false">SUMIF(konwertery!D$2:D$300,A37,Empik!M$2:M$300)</f>
        <v>7</v>
      </c>
      <c r="R37" s="10" t="n">
        <f aca="false">SUMIF(konwertery!D$2:D$300,A37,Empik!N$2:N$300)</f>
        <v>59</v>
      </c>
      <c r="T37" s="13" t="n">
        <f aca="false">SUMIF(konwertery!E$2:E$300,A37,Publio!P$2:P$300)</f>
        <v>0</v>
      </c>
      <c r="U37" s="14" t="n">
        <f aca="false">SUMIF(konwertery!E$2:E$300,A37,konwertery!F$2:F$300)</f>
        <v>0</v>
      </c>
      <c r="W37" s="9" t="n">
        <f aca="false">SUMIF(Legimi!D$2:D$300,A37,Legimi!G$2:G$300)</f>
        <v>1</v>
      </c>
      <c r="X37" s="10" t="n">
        <f aca="false">SUMIF(Legimi!D$2:D$300,A37,Legimi!H$2:H$300)</f>
        <v>9.93</v>
      </c>
      <c r="Z37" s="9" t="n">
        <f aca="false">SUMIF(konwertery!G$2:G$302,A37,Nexto!J$2:J$283)</f>
        <v>0</v>
      </c>
      <c r="AA37" s="9" t="n">
        <f aca="false">SUMIF(konwertery!G$2:G$302,A37,Nexto!N$2:P$302)</f>
        <v>0</v>
      </c>
      <c r="AC37" s="9" t="n">
        <f aca="false">SUMIF(Woblink!E$9:E$309,A37,Woblink!I$9:I$309)</f>
        <v>0</v>
      </c>
      <c r="AD37" s="10" t="n">
        <f aca="false">SUMIF(Woblink!E$14:E$314,A37,konwertery!R$2:R$300)</f>
        <v>0</v>
      </c>
      <c r="AF37" s="9" t="n">
        <f aca="false">SUM(SUMIF(konwertery!I$2:I$300,A37,Azymut!H$2:H$298),(SUMIF(konwertery!S$2:S$300,A37,AzymutB!H$2:H333)*2))</f>
        <v>0</v>
      </c>
      <c r="AG37" s="8" t="n">
        <f aca="false">SUM(SUMIF(konwertery!I$2:I$300,A37,konwertery!J$2:J$300),SUMIF(konwertery!S$2:S$300,A37,konwertery!T$2:T$300))</f>
        <v>0</v>
      </c>
      <c r="AI37" s="9" t="n">
        <f aca="false">SUMIF(konwertery!K$2:K$300,A37,Ebookpoint!F$14:F$312)</f>
        <v>0</v>
      </c>
      <c r="AJ37" s="9" t="n">
        <f aca="false">SUMIF(konwertery!K$2:K$300,A37,Ebookpoint!M$14:M$312)</f>
        <v>0</v>
      </c>
      <c r="AL37" s="9" t="n">
        <f aca="false">SUMIF(konwertery!L$2:L$300,A37,Nasbi!F$14:F$312)</f>
        <v>0</v>
      </c>
      <c r="AM37" s="9" t="n">
        <f aca="false">SUMIF(konwertery!L$2:L$300,A37,Nasbi!K$14:K$312)</f>
        <v>0</v>
      </c>
      <c r="AO37" s="9" t="n">
        <f aca="false">SUMIF(StorytelE!C$2:C$300,A37,konwertery!M$2:M$300)+SUMIF(StorytelA!C$2:C$300,A37,konwertery!N$2:N$300)</f>
        <v>63</v>
      </c>
      <c r="AP37" s="9" t="n">
        <f aca="false">SUMIF(StorytelE!C$2:C$300,A37,konwertery!O$2:O$300)+SUMIF(StorytelA!C$2:C$300,A37,konwertery!P$2:P$300)</f>
        <v>85.52</v>
      </c>
      <c r="AR37" s="9" t="n">
        <f aca="false">SUMIF(konwertery!U$2:U$300,A37,Audioteka!E$4:E$302)</f>
        <v>0</v>
      </c>
      <c r="AS37" s="9" t="n">
        <f aca="false">SUMIF(konwertery!U$2:U$300,A37,Audioteka!O$4:O$302)</f>
        <v>0</v>
      </c>
      <c r="AU37" s="9" t="n">
        <f aca="false">SUMIF(Bookbeat!A$9:A$309,A37,Bookbeat!H$9:H$309)</f>
        <v>2</v>
      </c>
      <c r="AV37" s="10" t="n">
        <f aca="false">SUMIF(Bookbeat!A$9:A$309,A37,Bookbeat!L$9:L$309)</f>
        <v>3.26</v>
      </c>
    </row>
    <row r="38" customFormat="false" ht="15.75" hidden="false" customHeight="false" outlineLevel="0" collapsed="false">
      <c r="A38" s="11" t="n">
        <v>9788365156259</v>
      </c>
      <c r="B38" s="8" t="s">
        <v>51</v>
      </c>
      <c r="E38" s="3" t="n">
        <f aca="false">H38+K38</f>
        <v>0</v>
      </c>
      <c r="F38" s="4" t="n">
        <f aca="false">I38+L38</f>
        <v>0</v>
      </c>
      <c r="H38" s="9" t="n">
        <f aca="false">SUMIF(konwertery!A$2:A$300,A38,Histmag!C$2:C$300)</f>
        <v>0</v>
      </c>
      <c r="I38" s="10" t="n">
        <f aca="false">SUMIF(konwertery!A$2:A$300,A38,konwertery!B$2:B$300) * 0.97</f>
        <v>0</v>
      </c>
      <c r="K38" s="7" t="n">
        <f aca="false">N38+Q38+T38+W38+Z38+AC38+AF38+AI38+AL38+AO38+AR38+AU38</f>
        <v>0</v>
      </c>
      <c r="L38" s="12" t="n">
        <f aca="false">O38+R38+U38+X38+AA38+AD38+AG38+AJ38+AM38+AP38+AS38+AV38</f>
        <v>0</v>
      </c>
      <c r="N38" s="9" t="n">
        <f aca="false">SUMIF(konwertery!C$2:C$300,A38,Virtualo!L$2:L$300)</f>
        <v>0</v>
      </c>
      <c r="O38" s="10" t="n">
        <f aca="false">(SUMIF(konwertery!C$2:C$300,A38,Virtualo!P$2:P$300))</f>
        <v>0</v>
      </c>
      <c r="Q38" s="9" t="n">
        <f aca="false">SUMIF(konwertery!D$2:D$300,A38,Empik!M$2:M$300)</f>
        <v>0</v>
      </c>
      <c r="R38" s="10" t="n">
        <f aca="false">SUMIF(konwertery!D$2:D$300,A38,Empik!N$2:N$300)</f>
        <v>0</v>
      </c>
      <c r="T38" s="13" t="n">
        <f aca="false">SUMIF(konwertery!E$2:E$300,A38,Publio!P$2:P$300)</f>
        <v>0</v>
      </c>
      <c r="U38" s="14" t="n">
        <f aca="false">SUMIF(konwertery!E$2:E$300,A38,konwertery!F$2:F$300)</f>
        <v>0</v>
      </c>
      <c r="W38" s="9" t="n">
        <f aca="false">SUMIF(Legimi!D$2:D$300,A38,Legimi!G$2:G$300)</f>
        <v>0</v>
      </c>
      <c r="X38" s="10" t="n">
        <f aca="false">SUMIF(Legimi!D$2:D$300,A38,Legimi!H$2:H$300)</f>
        <v>0</v>
      </c>
      <c r="Z38" s="9" t="n">
        <f aca="false">SUMIF(konwertery!G$2:G$302,A38,Nexto!J$2:J$283)</f>
        <v>0</v>
      </c>
      <c r="AA38" s="9" t="n">
        <f aca="false">SUMIF(konwertery!G$2:G$302,A38,Nexto!N$2:P$302)</f>
        <v>0</v>
      </c>
      <c r="AC38" s="9" t="n">
        <f aca="false">SUMIF(Woblink!E$9:E$309,A38,Woblink!I$9:I$309)</f>
        <v>0</v>
      </c>
      <c r="AD38" s="10" t="n">
        <f aca="false">SUMIF(Woblink!E$14:E$314,A38,konwertery!R$2:R$300)</f>
        <v>0</v>
      </c>
      <c r="AF38" s="9" t="n">
        <f aca="false">SUM(SUMIF(konwertery!I$2:I$300,A38,Azymut!H$2:H$298),(SUMIF(konwertery!S$2:S$300,A38,AzymutB!H$2:H333)*2))</f>
        <v>0</v>
      </c>
      <c r="AG38" s="8" t="n">
        <f aca="false">SUM(SUMIF(konwertery!I$2:I$300,A38,konwertery!J$2:J$300),SUMIF(konwertery!S$2:S$300,A38,konwertery!T$2:T$300))</f>
        <v>0</v>
      </c>
      <c r="AI38" s="9" t="n">
        <f aca="false">SUMIF(konwertery!K$2:K$300,A38,Ebookpoint!F$14:F$312)</f>
        <v>0</v>
      </c>
      <c r="AJ38" s="9" t="n">
        <f aca="false">SUMIF(konwertery!K$2:K$300,A38,Ebookpoint!M$14:M$312)</f>
        <v>0</v>
      </c>
      <c r="AL38" s="9" t="n">
        <f aca="false">SUMIF(konwertery!L$2:L$300,A38,Nasbi!F$14:F$312)</f>
        <v>0</v>
      </c>
      <c r="AM38" s="9" t="n">
        <f aca="false">SUMIF(konwertery!L$2:L$300,A38,Nasbi!K$14:K$312)</f>
        <v>0</v>
      </c>
      <c r="AO38" s="9" t="n">
        <f aca="false">SUMIF(StorytelE!C$2:C$300,A38,konwertery!M$2:M$300)+SUMIF(StorytelA!C$2:C$300,A38,konwertery!N$2:N$300)</f>
        <v>0</v>
      </c>
      <c r="AP38" s="9" t="n">
        <f aca="false">SUMIF(StorytelE!C$2:C$300,A38,konwertery!O$2:O$300)+SUMIF(StorytelA!C$2:C$300,A38,konwertery!P$2:P$300)</f>
        <v>0</v>
      </c>
      <c r="AR38" s="9" t="n">
        <f aca="false">SUMIF(konwertery!U$2:U$300,A38,Audioteka!E$4:E$302)</f>
        <v>0</v>
      </c>
      <c r="AS38" s="9" t="n">
        <f aca="false">SUMIF(konwertery!U$2:U$300,A38,Audioteka!O$4:O$302)</f>
        <v>0</v>
      </c>
      <c r="AU38" s="9" t="n">
        <f aca="false">SUMIF(Bookbeat!A$9:A$309,A38,Bookbeat!H$9:H$309)</f>
        <v>0</v>
      </c>
      <c r="AV38" s="10" t="n">
        <f aca="false">SUMIF(Bookbeat!A$9:A$309,A38,Bookbeat!L$9:L$309)</f>
        <v>0</v>
      </c>
    </row>
    <row r="39" customFormat="false" ht="15.75" hidden="false" customHeight="false" outlineLevel="0" collapsed="false">
      <c r="A39" s="11" t="n">
        <v>9788365156228</v>
      </c>
      <c r="B39" s="8" t="s">
        <v>52</v>
      </c>
      <c r="E39" s="3" t="n">
        <f aca="false">H39+K39</f>
        <v>1</v>
      </c>
      <c r="F39" s="4" t="n">
        <f aca="false">I39+L39</f>
        <v>1.71</v>
      </c>
      <c r="H39" s="9" t="n">
        <f aca="false">SUMIF(konwertery!A$2:A$300,A39,Histmag!C$2:C$300)</f>
        <v>0</v>
      </c>
      <c r="I39" s="10" t="n">
        <f aca="false">SUMIF(konwertery!A$2:A$300,A39,konwertery!B$2:B$300) * 0.97</f>
        <v>0</v>
      </c>
      <c r="K39" s="7" t="n">
        <f aca="false">N39+Q39+T39+W39+Z39+AC39+AF39+AI39+AL39+AO39+AR39+AU39</f>
        <v>1</v>
      </c>
      <c r="L39" s="12" t="n">
        <f aca="false">O39+R39+U39+X39+AA39+AD39+AG39+AJ39+AM39+AP39+AS39+AV39</f>
        <v>1.71</v>
      </c>
      <c r="N39" s="9" t="n">
        <f aca="false">SUMIF(konwertery!C$2:C$300,A39,Virtualo!L$2:L$300)</f>
        <v>0</v>
      </c>
      <c r="O39" s="10" t="n">
        <f aca="false">(SUMIF(konwertery!C$2:C$300,A39,Virtualo!P$2:P$300))</f>
        <v>0</v>
      </c>
      <c r="Q39" s="9" t="n">
        <f aca="false">SUMIF(konwertery!D$2:D$300,A39,Empik!M$2:M$300)</f>
        <v>0</v>
      </c>
      <c r="R39" s="10" t="n">
        <f aca="false">SUMIF(konwertery!D$2:D$300,A39,Empik!N$2:N$300)</f>
        <v>0</v>
      </c>
      <c r="T39" s="13" t="n">
        <f aca="false">SUMIF(konwertery!E$2:E$300,A39,Publio!P$2:P$300)</f>
        <v>0</v>
      </c>
      <c r="U39" s="14" t="n">
        <f aca="false">SUMIF(konwertery!E$2:E$300,A39,konwertery!F$2:F$300)</f>
        <v>0</v>
      </c>
      <c r="W39" s="9" t="n">
        <f aca="false">SUMIF(Legimi!D$2:D$300,A39,Legimi!G$2:G$300)</f>
        <v>0</v>
      </c>
      <c r="X39" s="10" t="n">
        <f aca="false">SUMIF(Legimi!D$2:D$300,A39,Legimi!H$2:H$300)</f>
        <v>0</v>
      </c>
      <c r="Z39" s="9" t="n">
        <f aca="false">SUMIF(konwertery!G$2:G$302,A39,Nexto!J$2:J$283)</f>
        <v>0</v>
      </c>
      <c r="AA39" s="9" t="n">
        <f aca="false">SUMIF(konwertery!G$2:G$302,A39,Nexto!N$2:P$302)</f>
        <v>0</v>
      </c>
      <c r="AC39" s="9" t="n">
        <f aca="false">SUMIF(Woblink!E$9:E$309,A39,Woblink!I$9:I$309)</f>
        <v>0</v>
      </c>
      <c r="AD39" s="10" t="n">
        <f aca="false">SUMIF(Woblink!E$14:E$314,A39,konwertery!R$2:R$300)</f>
        <v>0</v>
      </c>
      <c r="AF39" s="9" t="n">
        <f aca="false">SUM(SUMIF(konwertery!I$2:I$300,A39,Azymut!H$2:H$298),(SUMIF(konwertery!S$2:S$300,A39,AzymutB!H$2:H334)*2))</f>
        <v>0</v>
      </c>
      <c r="AG39" s="8" t="n">
        <f aca="false">SUM(SUMIF(konwertery!I$2:I$300,A39,konwertery!J$2:J$300),SUMIF(konwertery!S$2:S$300,A39,konwertery!T$2:T$300))</f>
        <v>0</v>
      </c>
      <c r="AI39" s="9" t="n">
        <f aca="false">SUMIF(konwertery!K$2:K$300,A39,Ebookpoint!F$14:F$312)</f>
        <v>0</v>
      </c>
      <c r="AJ39" s="9" t="n">
        <f aca="false">SUMIF(konwertery!K$2:K$300,A39,Ebookpoint!M$14:M$312)</f>
        <v>0</v>
      </c>
      <c r="AL39" s="9" t="n">
        <f aca="false">SUMIF(konwertery!L$2:L$300,A39,Nasbi!F$14:F$312)</f>
        <v>0</v>
      </c>
      <c r="AM39" s="9" t="n">
        <f aca="false">SUMIF(konwertery!L$2:L$300,A39,Nasbi!K$14:K$312)</f>
        <v>0</v>
      </c>
      <c r="AO39" s="9" t="n">
        <f aca="false">SUMIF(StorytelE!C$2:C$300,A39,konwertery!M$2:M$300)+SUMIF(StorytelA!C$2:C$300,A39,konwertery!N$2:N$300)</f>
        <v>1</v>
      </c>
      <c r="AP39" s="9" t="n">
        <f aca="false">SUMIF(StorytelE!C$2:C$300,A39,konwertery!O$2:O$300)+SUMIF(StorytelA!C$2:C$300,A39,konwertery!P$2:P$300)</f>
        <v>1.71</v>
      </c>
      <c r="AR39" s="9" t="n">
        <f aca="false">SUMIF(konwertery!U$2:U$300,A39,Audioteka!E$4:E$302)</f>
        <v>0</v>
      </c>
      <c r="AS39" s="9" t="n">
        <f aca="false">SUMIF(konwertery!U$2:U$300,A39,Audioteka!O$4:O$302)</f>
        <v>0</v>
      </c>
      <c r="AU39" s="9" t="n">
        <f aca="false">SUMIF(Bookbeat!A$9:A$309,A39,Bookbeat!H$9:H$309)</f>
        <v>0</v>
      </c>
      <c r="AV39" s="10" t="n">
        <f aca="false">SUMIF(Bookbeat!A$9:A$309,A39,Bookbeat!L$9:L$309)</f>
        <v>0</v>
      </c>
    </row>
    <row r="40" customFormat="false" ht="15.75" hidden="false" customHeight="false" outlineLevel="0" collapsed="false">
      <c r="A40" s="11" t="n">
        <v>9788365156129</v>
      </c>
      <c r="B40" s="8" t="s">
        <v>53</v>
      </c>
      <c r="E40" s="3" t="n">
        <f aca="false">H40+K40</f>
        <v>3</v>
      </c>
      <c r="F40" s="4" t="n">
        <f aca="false">I40+L40</f>
        <v>24.01</v>
      </c>
      <c r="H40" s="9" t="n">
        <f aca="false">SUMIF(konwertery!A$2:A$300,A40,Histmag!C$2:C$300)</f>
        <v>0</v>
      </c>
      <c r="I40" s="10" t="n">
        <f aca="false">SUMIF(konwertery!A$2:A$300,A40,konwertery!B$2:B$300) * 0.97</f>
        <v>0</v>
      </c>
      <c r="K40" s="7" t="n">
        <f aca="false">N40+Q40+T40+W40+Z40+AC40+AF40+AI40+AL40+AO40+AR40+AU40</f>
        <v>3</v>
      </c>
      <c r="L40" s="12" t="n">
        <f aca="false">O40+R40+U40+X40+AA40+AD40+AG40+AJ40+AM40+AP40+AS40+AV40</f>
        <v>24.01</v>
      </c>
      <c r="N40" s="9" t="n">
        <f aca="false">SUMIF(konwertery!C$2:C$300,A40,Virtualo!L$2:L$300)</f>
        <v>0</v>
      </c>
      <c r="O40" s="10" t="n">
        <f aca="false">(SUMIF(konwertery!C$2:C$300,A40,Virtualo!P$2:P$300))</f>
        <v>0</v>
      </c>
      <c r="Q40" s="9" t="n">
        <f aca="false">SUMIF(konwertery!D$2:D$300,A40,Empik!M$2:M$300)</f>
        <v>1</v>
      </c>
      <c r="R40" s="10" t="n">
        <f aca="false">SUMIF(konwertery!D$2:D$300,A40,Empik!N$2:N$300)</f>
        <v>5</v>
      </c>
      <c r="T40" s="13" t="n">
        <f aca="false">SUMIF(konwertery!E$2:E$300,A40,Publio!P$2:P$300)</f>
        <v>0</v>
      </c>
      <c r="U40" s="14" t="n">
        <f aca="false">SUMIF(konwertery!E$2:E$300,A40,konwertery!F$2:F$300)</f>
        <v>0</v>
      </c>
      <c r="W40" s="9" t="n">
        <f aca="false">SUMIF(Legimi!D$2:D$300,A40,Legimi!G$2:G$300)</f>
        <v>1</v>
      </c>
      <c r="X40" s="10" t="n">
        <f aca="false">SUMIF(Legimi!D$2:D$300,A40,Legimi!H$2:H$300)</f>
        <v>9.93</v>
      </c>
      <c r="Z40" s="9" t="n">
        <f aca="false">SUMIF(konwertery!G$2:G$302,A40,Nexto!J$2:J$283)</f>
        <v>0</v>
      </c>
      <c r="AA40" s="9" t="n">
        <f aca="false">SUMIF(konwertery!G$2:G$302,A40,Nexto!N$2:P$302)</f>
        <v>0</v>
      </c>
      <c r="AC40" s="9" t="n">
        <f aca="false">SUMIF(Woblink!E$9:E$309,A40,Woblink!I$9:I$309)</f>
        <v>0</v>
      </c>
      <c r="AD40" s="10" t="n">
        <f aca="false">SUMIF(Woblink!E$14:E$314,A40,konwertery!R$2:R$300)</f>
        <v>0</v>
      </c>
      <c r="AF40" s="9" t="n">
        <f aca="false">SUM(SUMIF(konwertery!I$2:I$300,A40,Azymut!H$2:H$298),(SUMIF(konwertery!S$2:S$300,A40,AzymutB!H$2:H335)*2))</f>
        <v>0</v>
      </c>
      <c r="AG40" s="8" t="n">
        <f aca="false">SUM(SUMIF(konwertery!I$2:I$300,A40,konwertery!J$2:J$300),SUMIF(konwertery!S$2:S$300,A40,konwertery!T$2:T$300))</f>
        <v>0</v>
      </c>
      <c r="AI40" s="9" t="n">
        <f aca="false">SUMIF(konwertery!K$2:K$300,A40,Ebookpoint!F$14:F$312)</f>
        <v>1</v>
      </c>
      <c r="AJ40" s="9" t="n">
        <f aca="false">SUMIF(konwertery!K$2:K$300,A40,Ebookpoint!M$14:M$312)</f>
        <v>9.08</v>
      </c>
      <c r="AL40" s="9" t="n">
        <f aca="false">SUMIF(konwertery!L$2:L$300,A40,Nasbi!F$14:F$312)</f>
        <v>0</v>
      </c>
      <c r="AM40" s="9" t="n">
        <f aca="false">SUMIF(konwertery!L$2:L$300,A40,Nasbi!K$14:K$312)</f>
        <v>0</v>
      </c>
      <c r="AO40" s="9" t="n">
        <f aca="false">SUMIF(StorytelE!C$2:C$300,A40,konwertery!M$2:M$300)+SUMIF(StorytelA!C$2:C$300,A40,konwertery!N$2:N$300)</f>
        <v>0</v>
      </c>
      <c r="AP40" s="9" t="n">
        <f aca="false">SUMIF(StorytelE!C$2:C$300,A40,konwertery!O$2:O$300)+SUMIF(StorytelA!C$2:C$300,A40,konwertery!P$2:P$300)</f>
        <v>0</v>
      </c>
      <c r="AR40" s="9" t="n">
        <f aca="false">SUMIF(konwertery!U$2:U$300,A40,Audioteka!E$4:E$302)</f>
        <v>0</v>
      </c>
      <c r="AS40" s="9" t="n">
        <f aca="false">SUMIF(konwertery!U$2:U$300,A40,Audioteka!O$4:O$302)</f>
        <v>0</v>
      </c>
      <c r="AU40" s="9" t="n">
        <f aca="false">SUMIF(Bookbeat!A$9:A$309,A40,Bookbeat!H$9:H$309)</f>
        <v>0</v>
      </c>
      <c r="AV40" s="10" t="n">
        <f aca="false">SUMIF(Bookbeat!A$9:A$309,A40,Bookbeat!L$9:L$309)</f>
        <v>0</v>
      </c>
    </row>
    <row r="41" customFormat="false" ht="15.75" hidden="false" customHeight="false" outlineLevel="0" collapsed="false">
      <c r="A41" s="11" t="n">
        <v>9788365156327</v>
      </c>
      <c r="B41" s="15" t="s">
        <v>54</v>
      </c>
      <c r="E41" s="3" t="n">
        <f aca="false">H41+K41</f>
        <v>18</v>
      </c>
      <c r="F41" s="4" t="n">
        <f aca="false">I41+L41</f>
        <v>29.89</v>
      </c>
      <c r="H41" s="9" t="n">
        <f aca="false">SUMIF(konwertery!A$2:A$300,A41,Histmag!C$2:C$300)</f>
        <v>0</v>
      </c>
      <c r="I41" s="10" t="n">
        <f aca="false">SUMIF(konwertery!A$2:A$300,A41,konwertery!B$2:B$300) * 0.97</f>
        <v>0</v>
      </c>
      <c r="K41" s="7" t="n">
        <f aca="false">N41+Q41+T41+W41+Z41+AC41+AF41+AI41+AL41+AO41+AR41+AU41</f>
        <v>18</v>
      </c>
      <c r="L41" s="12" t="n">
        <f aca="false">O41+R41+U41+X41+AA41+AD41+AG41+AJ41+AM41+AP41+AS41+AV41</f>
        <v>29.89</v>
      </c>
      <c r="N41" s="9" t="n">
        <f aca="false">SUMIF(konwertery!C$2:C$300,A41,Virtualo!L$2:L$300)</f>
        <v>0</v>
      </c>
      <c r="O41" s="10" t="n">
        <f aca="false">(SUMIF(konwertery!C$2:C$300,A41,Virtualo!P$2:P$300))</f>
        <v>0</v>
      </c>
      <c r="Q41" s="9" t="n">
        <f aca="false">SUMIF(konwertery!D$2:D$300,A41,Empik!M$2:M$300)</f>
        <v>2</v>
      </c>
      <c r="R41" s="10" t="n">
        <f aca="false">SUMIF(konwertery!D$2:D$300,A41,Empik!N$2:N$300)</f>
        <v>14</v>
      </c>
      <c r="T41" s="13" t="n">
        <f aca="false">SUMIF(konwertery!E$2:E$300,A41,Publio!P$2:P$300)</f>
        <v>0</v>
      </c>
      <c r="U41" s="14" t="n">
        <f aca="false">SUMIF(konwertery!E$2:E$300,A41,konwertery!F$2:F$300)</f>
        <v>0</v>
      </c>
      <c r="W41" s="9" t="n">
        <f aca="false">SUMIF(Legimi!D$2:D$300,A41,Legimi!G$2:G$300)</f>
        <v>0</v>
      </c>
      <c r="X41" s="10" t="n">
        <f aca="false">SUMIF(Legimi!D$2:D$300,A41,Legimi!H$2:H$300)</f>
        <v>0</v>
      </c>
      <c r="Z41" s="9" t="n">
        <f aca="false">SUMIF(konwertery!G$2:G$302,A41,Nexto!J$2:J$283)</f>
        <v>0</v>
      </c>
      <c r="AA41" s="9" t="n">
        <f aca="false">SUMIF(konwertery!G$2:G$302,A41,Nexto!N$2:P$302)</f>
        <v>0</v>
      </c>
      <c r="AC41" s="9" t="n">
        <f aca="false">SUMIF(Woblink!E$9:E$309,A41,Woblink!I$9:I$309)</f>
        <v>0</v>
      </c>
      <c r="AD41" s="10" t="n">
        <f aca="false">SUMIF(Woblink!E$14:E$314,A41,konwertery!R$2:R$300)</f>
        <v>0</v>
      </c>
      <c r="AF41" s="9" t="n">
        <f aca="false">SUM(SUMIF(konwertery!I$2:I$300,A41,Azymut!H$2:H$298),(SUMIF(konwertery!S$2:S$300,A41,AzymutB!H$2:H336)*2))</f>
        <v>0</v>
      </c>
      <c r="AG41" s="8" t="n">
        <f aca="false">SUM(SUMIF(konwertery!I$2:I$300,A41,konwertery!J$2:J$300),SUMIF(konwertery!S$2:S$300,A41,konwertery!T$2:T$300))</f>
        <v>0</v>
      </c>
      <c r="AI41" s="9" t="n">
        <f aca="false">SUMIF(konwertery!K$2:K$300,A41,Ebookpoint!F$14:F$312)</f>
        <v>0</v>
      </c>
      <c r="AJ41" s="9" t="n">
        <f aca="false">SUMIF(konwertery!K$2:K$300,A41,Ebookpoint!M$14:M$312)</f>
        <v>0</v>
      </c>
      <c r="AL41" s="9" t="n">
        <f aca="false">SUMIF(konwertery!L$2:L$300,A41,Nasbi!F$14:F$312)</f>
        <v>0</v>
      </c>
      <c r="AM41" s="9" t="n">
        <f aca="false">SUMIF(konwertery!L$2:L$300,A41,Nasbi!K$14:K$312)</f>
        <v>0</v>
      </c>
      <c r="AO41" s="9" t="n">
        <f aca="false">SUMIF(StorytelE!C$2:C$300,A41,konwertery!M$2:M$300)+SUMIF(StorytelA!C$2:C$300,A41,konwertery!N$2:N$300)</f>
        <v>16</v>
      </c>
      <c r="AP41" s="9" t="n">
        <f aca="false">SUMIF(StorytelE!C$2:C$300,A41,konwertery!O$2:O$300)+SUMIF(StorytelA!C$2:C$300,A41,konwertery!P$2:P$300)</f>
        <v>15.89</v>
      </c>
      <c r="AR41" s="9" t="n">
        <f aca="false">SUMIF(konwertery!U$2:U$300,A41,Audioteka!E$4:E$302)</f>
        <v>0</v>
      </c>
      <c r="AS41" s="9" t="n">
        <f aca="false">SUMIF(konwertery!U$2:U$300,A41,Audioteka!O$4:O$302)</f>
        <v>0</v>
      </c>
      <c r="AU41" s="9" t="n">
        <f aca="false">SUMIF(Bookbeat!A$9:A$309,A41,Bookbeat!H$9:H$309)</f>
        <v>0</v>
      </c>
      <c r="AV41" s="10" t="n">
        <f aca="false">SUMIF(Bookbeat!A$9:A$309,A41,Bookbeat!L$9:L$309)</f>
        <v>0</v>
      </c>
    </row>
    <row r="42" customFormat="false" ht="15.75" hidden="false" customHeight="false" outlineLevel="0" collapsed="false">
      <c r="A42" s="11" t="n">
        <v>9788365156426</v>
      </c>
      <c r="B42" s="8" t="s">
        <v>55</v>
      </c>
      <c r="E42" s="3" t="n">
        <f aca="false">H42+K42</f>
        <v>3</v>
      </c>
      <c r="F42" s="4" t="n">
        <f aca="false">I42+L42</f>
        <v>39.297</v>
      </c>
      <c r="H42" s="9" t="n">
        <f aca="false">SUMIF(konwertery!A$2:A$300,A42,Histmag!C$2:C$300)</f>
        <v>1</v>
      </c>
      <c r="I42" s="10" t="n">
        <f aca="false">SUMIF(konwertery!A$2:A$300,A42,konwertery!B$2:B$300) * 0.97</f>
        <v>15.617</v>
      </c>
      <c r="K42" s="7" t="n">
        <f aca="false">N42+Q42+T42+W42+Z42+AC42+AF42+AI42+AL42+AO42+AR42+AU42</f>
        <v>2</v>
      </c>
      <c r="L42" s="12" t="n">
        <f aca="false">O42+R42+U42+X42+AA42+AD42+AG42+AJ42+AM42+AP42+AS42+AV42</f>
        <v>23.68</v>
      </c>
      <c r="N42" s="9" t="n">
        <f aca="false">SUMIF(konwertery!C$2:C$300,A42,Virtualo!L$2:L$300)</f>
        <v>1</v>
      </c>
      <c r="O42" s="10" t="n">
        <f aca="false">(SUMIF(konwertery!C$2:C$300,A42,Virtualo!P$2:P$300))</f>
        <v>12.31</v>
      </c>
      <c r="Q42" s="9" t="n">
        <f aca="false">SUMIF(konwertery!D$2:D$300,A42,Empik!M$2:M$300)</f>
        <v>0</v>
      </c>
      <c r="R42" s="10" t="n">
        <f aca="false">SUMIF(konwertery!D$2:D$300,A42,Empik!N$2:N$300)</f>
        <v>0</v>
      </c>
      <c r="T42" s="13" t="n">
        <f aca="false">SUMIF(konwertery!E$2:E$300,A42,Publio!P$2:P$300)</f>
        <v>0</v>
      </c>
      <c r="U42" s="14" t="n">
        <f aca="false">SUMIF(konwertery!E$2:E$300,A42,konwertery!F$2:F$300)</f>
        <v>0</v>
      </c>
      <c r="W42" s="9" t="n">
        <f aca="false">SUMIF(Legimi!D$2:D$300,A42,Legimi!G$2:G$300)</f>
        <v>0</v>
      </c>
      <c r="X42" s="10" t="n">
        <f aca="false">SUMIF(Legimi!D$2:D$300,A42,Legimi!H$2:H$300)</f>
        <v>0</v>
      </c>
      <c r="Z42" s="9" t="n">
        <f aca="false">SUMIF(konwertery!G$2:G$302,A42,Nexto!J$2:J$283)</f>
        <v>0</v>
      </c>
      <c r="AA42" s="9" t="n">
        <f aca="false">SUMIF(konwertery!G$2:G$302,A42,Nexto!N$2:P$302)</f>
        <v>0</v>
      </c>
      <c r="AC42" s="9" t="n">
        <f aca="false">SUMIF(Woblink!E$9:E$309,A42,Woblink!I$9:I$309)</f>
        <v>1</v>
      </c>
      <c r="AD42" s="10" t="n">
        <f aca="false">SUMIF(Woblink!E$14:E$314,A42,konwertery!R$2:R$300)</f>
        <v>11.37</v>
      </c>
      <c r="AF42" s="9" t="n">
        <f aca="false">SUM(SUMIF(konwertery!I$2:I$300,A42,Azymut!H$2:H$298),(SUMIF(konwertery!S$2:S$300,A42,AzymutB!H$2:H337)*2))</f>
        <v>0</v>
      </c>
      <c r="AG42" s="8" t="n">
        <f aca="false">SUM(SUMIF(konwertery!I$2:I$300,A42,konwertery!J$2:J$300),SUMIF(konwertery!S$2:S$300,A42,konwertery!T$2:T$300))</f>
        <v>0</v>
      </c>
      <c r="AI42" s="9" t="n">
        <f aca="false">SUMIF(konwertery!K$2:K$300,A42,Ebookpoint!F$14:F$312)</f>
        <v>0</v>
      </c>
      <c r="AJ42" s="9" t="n">
        <f aca="false">SUMIF(konwertery!K$2:K$300,A42,Ebookpoint!M$14:M$312)</f>
        <v>0</v>
      </c>
      <c r="AL42" s="9" t="n">
        <f aca="false">SUMIF(konwertery!L$2:L$300,A42,Nasbi!F$14:F$312)</f>
        <v>0</v>
      </c>
      <c r="AM42" s="9" t="n">
        <f aca="false">SUMIF(konwertery!L$2:L$300,A42,Nasbi!K$14:K$312)</f>
        <v>0</v>
      </c>
      <c r="AO42" s="9" t="n">
        <f aca="false">SUMIF(StorytelE!C$2:C$300,A42,konwertery!M$2:M$300)+SUMIF(StorytelA!C$2:C$300,A42,konwertery!N$2:N$300)</f>
        <v>0</v>
      </c>
      <c r="AP42" s="9" t="n">
        <f aca="false">SUMIF(StorytelE!C$2:C$300,A42,konwertery!O$2:O$300)+SUMIF(StorytelA!C$2:C$300,A42,konwertery!P$2:P$300)</f>
        <v>0</v>
      </c>
      <c r="AR42" s="9" t="n">
        <f aca="false">SUMIF(konwertery!U$2:U$300,A42,Audioteka!E$4:E$302)</f>
        <v>0</v>
      </c>
      <c r="AS42" s="9" t="n">
        <f aca="false">SUMIF(konwertery!U$2:U$300,A42,Audioteka!O$4:O$302)</f>
        <v>0</v>
      </c>
      <c r="AU42" s="9" t="n">
        <f aca="false">SUMIF(Bookbeat!A$9:A$309,A42,Bookbeat!H$9:H$309)</f>
        <v>0</v>
      </c>
      <c r="AV42" s="10" t="n">
        <f aca="false">SUMIF(Bookbeat!A$9:A$309,A42,Bookbeat!L$9:L$309)</f>
        <v>0</v>
      </c>
    </row>
    <row r="43" customFormat="false" ht="15.75" hidden="false" customHeight="false" outlineLevel="0" collapsed="false">
      <c r="A43" s="11" t="n">
        <v>9788365156037</v>
      </c>
      <c r="B43" s="8" t="s">
        <v>56</v>
      </c>
      <c r="E43" s="3" t="n">
        <f aca="false">H43+K43</f>
        <v>1</v>
      </c>
      <c r="F43" s="4" t="n">
        <f aca="false">I43+L43</f>
        <v>1.25</v>
      </c>
      <c r="H43" s="9" t="n">
        <f aca="false">SUMIF(konwertery!A$2:A$300,A43,Histmag!C$2:C$300)</f>
        <v>0</v>
      </c>
      <c r="I43" s="10" t="n">
        <f aca="false">SUMIF(konwertery!A$2:A$300,A43,konwertery!B$2:B$300) * 0.97</f>
        <v>0</v>
      </c>
      <c r="K43" s="7" t="n">
        <f aca="false">N43+Q43+T43+W43+Z43+AC43+AF43+AI43+AL43+AO43+AR43+AU43</f>
        <v>1</v>
      </c>
      <c r="L43" s="12" t="n">
        <f aca="false">O43+R43+U43+X43+AA43+AD43+AG43+AJ43+AM43+AP43+AS43+AV43</f>
        <v>1.25</v>
      </c>
      <c r="N43" s="9" t="n">
        <f aca="false">SUMIF(konwertery!C$2:C$300,A43,Virtualo!L$2:L$300)</f>
        <v>0</v>
      </c>
      <c r="O43" s="10" t="n">
        <f aca="false">(SUMIF(konwertery!C$2:C$300,A43,Virtualo!P$2:P$300))</f>
        <v>0</v>
      </c>
      <c r="Q43" s="9" t="n">
        <f aca="false">SUMIF(konwertery!D$2:D$300,A43,Empik!M$2:M$300)</f>
        <v>0</v>
      </c>
      <c r="R43" s="10" t="n">
        <f aca="false">SUMIF(konwertery!D$2:D$300,A43,Empik!N$2:N$300)</f>
        <v>0</v>
      </c>
      <c r="T43" s="13" t="n">
        <f aca="false">SUMIF(konwertery!E$2:E$300,A43,Publio!P$2:P$300)</f>
        <v>0</v>
      </c>
      <c r="U43" s="14" t="n">
        <f aca="false">SUMIF(konwertery!E$2:E$300,A43,konwertery!F$2:F$300)</f>
        <v>0</v>
      </c>
      <c r="W43" s="9" t="n">
        <f aca="false">SUMIF(Legimi!D$2:D$300,A43,Legimi!G$2:G$300)</f>
        <v>0</v>
      </c>
      <c r="X43" s="10" t="n">
        <f aca="false">SUMIF(Legimi!D$2:D$300,A43,Legimi!H$2:H$300)</f>
        <v>0</v>
      </c>
      <c r="Z43" s="9" t="n">
        <f aca="false">SUMIF(konwertery!G$2:G$302,A43,Nexto!J$2:J$283)</f>
        <v>0</v>
      </c>
      <c r="AA43" s="9" t="n">
        <f aca="false">SUMIF(konwertery!G$2:G$302,A43,Nexto!N$2:P$302)</f>
        <v>0</v>
      </c>
      <c r="AC43" s="9" t="n">
        <f aca="false">SUMIF(Woblink!E$9:E$309,A43,Woblink!I$9:I$309)</f>
        <v>0</v>
      </c>
      <c r="AD43" s="10" t="n">
        <f aca="false">SUMIF(Woblink!E$14:E$314,A43,konwertery!R$2:R$300)</f>
        <v>0</v>
      </c>
      <c r="AF43" s="9" t="n">
        <f aca="false">SUM(SUMIF(konwertery!I$2:I$300,A43,Azymut!H$2:H$298),(SUMIF(konwertery!S$2:S$300,A43,AzymutB!H$2:H338)*2))</f>
        <v>0</v>
      </c>
      <c r="AG43" s="8" t="n">
        <f aca="false">SUM(SUMIF(konwertery!I$2:I$300,A43,konwertery!J$2:J$300),SUMIF(konwertery!S$2:S$300,A43,konwertery!T$2:T$300))</f>
        <v>0</v>
      </c>
      <c r="AI43" s="9" t="n">
        <f aca="false">SUMIF(konwertery!K$2:K$300,A43,Ebookpoint!F$14:F$312)</f>
        <v>0</v>
      </c>
      <c r="AJ43" s="9" t="n">
        <f aca="false">SUMIF(konwertery!K$2:K$300,A43,Ebookpoint!M$14:M$312)</f>
        <v>0</v>
      </c>
      <c r="AL43" s="9" t="n">
        <f aca="false">SUMIF(konwertery!L$2:L$300,A43,Nasbi!F$14:F$312)</f>
        <v>0</v>
      </c>
      <c r="AM43" s="9" t="n">
        <f aca="false">SUMIF(konwertery!L$2:L$300,A43,Nasbi!K$14:K$312)</f>
        <v>0</v>
      </c>
      <c r="AO43" s="9" t="n">
        <f aca="false">SUMIF(StorytelE!C$2:C$300,A43,konwertery!M$2:M$300)+SUMIF(StorytelA!C$2:C$300,A43,konwertery!N$2:N$300)</f>
        <v>1</v>
      </c>
      <c r="AP43" s="9" t="n">
        <f aca="false">SUMIF(StorytelE!C$2:C$300,A43,konwertery!O$2:O$300)+SUMIF(StorytelA!C$2:C$300,A43,konwertery!P$2:P$300)</f>
        <v>1.25</v>
      </c>
      <c r="AR43" s="9" t="n">
        <f aca="false">SUMIF(konwertery!U$2:U$300,A43,Audioteka!E$4:E$302)</f>
        <v>0</v>
      </c>
      <c r="AS43" s="9" t="n">
        <f aca="false">SUMIF(konwertery!U$2:U$300,A43,Audioteka!O$4:O$302)</f>
        <v>0</v>
      </c>
      <c r="AU43" s="9" t="n">
        <f aca="false">SUMIF(Bookbeat!A$9:A$309,A43,Bookbeat!H$9:H$309)</f>
        <v>0</v>
      </c>
      <c r="AV43" s="10" t="n">
        <f aca="false">SUMIF(Bookbeat!A$9:A$309,A43,Bookbeat!L$9:L$309)</f>
        <v>0</v>
      </c>
    </row>
    <row r="44" customFormat="false" ht="15.75" hidden="false" customHeight="false" outlineLevel="0" collapsed="false">
      <c r="A44" s="11" t="n">
        <v>9788365156563</v>
      </c>
      <c r="B44" s="8" t="s">
        <v>57</v>
      </c>
      <c r="E44" s="3" t="n">
        <f aca="false">H44+K44</f>
        <v>3</v>
      </c>
      <c r="F44" s="4" t="n">
        <f aca="false">I44+L44</f>
        <v>23.8862</v>
      </c>
      <c r="H44" s="9" t="n">
        <f aca="false">SUMIF(konwertery!A$2:A$300,A44,Histmag!C$2:C$300)</f>
        <v>1</v>
      </c>
      <c r="I44" s="10" t="n">
        <f aca="false">SUMIF(konwertery!A$2:A$300,A44,konwertery!B$2:B$300) * 0.97</f>
        <v>10.1462</v>
      </c>
      <c r="K44" s="7" t="n">
        <f aca="false">N44+Q44+T44+W44+Z44+AC44+AF44+AI44+AL44+AO44+AR44+AU44</f>
        <v>2</v>
      </c>
      <c r="L44" s="12" t="n">
        <f aca="false">O44+R44+U44+X44+AA44+AD44+AG44+AJ44+AM44+AP44+AS44+AV44</f>
        <v>13.74</v>
      </c>
      <c r="N44" s="9" t="n">
        <f aca="false">SUMIF(konwertery!C$2:C$300,A44,Virtualo!L$2:L$300)</f>
        <v>0</v>
      </c>
      <c r="O44" s="10" t="n">
        <f aca="false">(SUMIF(konwertery!C$2:C$300,A44,Virtualo!P$2:P$300))</f>
        <v>0</v>
      </c>
      <c r="Q44" s="9" t="n">
        <f aca="false">SUMIF(konwertery!D$2:D$300,A44,Empik!M$2:M$300)</f>
        <v>0</v>
      </c>
      <c r="R44" s="10" t="n">
        <f aca="false">SUMIF(konwertery!D$2:D$300,A44,Empik!N$2:N$300)</f>
        <v>0</v>
      </c>
      <c r="T44" s="13" t="n">
        <f aca="false">SUMIF(konwertery!E$2:E$300,A44,Publio!P$2:P$300)</f>
        <v>0</v>
      </c>
      <c r="U44" s="14" t="n">
        <f aca="false">SUMIF(konwertery!E$2:E$300,A44,konwertery!F$2:F$300)</f>
        <v>0</v>
      </c>
      <c r="W44" s="9" t="n">
        <f aca="false">SUMIF(Legimi!D$2:D$300,A44,Legimi!G$2:G$300)</f>
        <v>0</v>
      </c>
      <c r="X44" s="10" t="n">
        <f aca="false">SUMIF(Legimi!D$2:D$300,A44,Legimi!H$2:H$300)</f>
        <v>0</v>
      </c>
      <c r="Z44" s="9" t="n">
        <f aca="false">SUMIF(konwertery!G$2:G$302,A44,Nexto!J$2:J$283)</f>
        <v>0</v>
      </c>
      <c r="AA44" s="9" t="n">
        <f aca="false">SUMIF(konwertery!G$2:G$302,A44,Nexto!N$2:P$302)</f>
        <v>0</v>
      </c>
      <c r="AC44" s="9" t="n">
        <f aca="false">SUMIF(Woblink!E$9:E$309,A44,Woblink!I$9:I$309)</f>
        <v>0</v>
      </c>
      <c r="AD44" s="10" t="n">
        <f aca="false">SUMIF(Woblink!E$14:E$314,A44,konwertery!R$2:R$300)</f>
        <v>0</v>
      </c>
      <c r="AF44" s="9" t="n">
        <f aca="false">SUM(SUMIF(konwertery!I$2:I$300,A44,Azymut!H$2:H$298),(SUMIF(konwertery!S$2:S$300,A44,AzymutB!H$2:H339)*2))</f>
        <v>1</v>
      </c>
      <c r="AG44" s="8" t="n">
        <f aca="false">SUM(SUMIF(konwertery!I$2:I$300,A44,konwertery!J$2:J$300),SUMIF(konwertery!S$2:S$300,A44,konwertery!T$2:T$300))</f>
        <v>11.37</v>
      </c>
      <c r="AI44" s="9" t="n">
        <f aca="false">SUMIF(konwertery!K$2:K$300,A44,Ebookpoint!F$14:F$312)</f>
        <v>0</v>
      </c>
      <c r="AJ44" s="9" t="n">
        <f aca="false">SUMIF(konwertery!K$2:K$300,A44,Ebookpoint!M$14:M$312)</f>
        <v>0</v>
      </c>
      <c r="AL44" s="9" t="n">
        <f aca="false">SUMIF(konwertery!L$2:L$300,A44,Nasbi!F$14:F$312)</f>
        <v>0</v>
      </c>
      <c r="AM44" s="9" t="n">
        <f aca="false">SUMIF(konwertery!L$2:L$300,A44,Nasbi!K$14:K$312)</f>
        <v>0</v>
      </c>
      <c r="AO44" s="9" t="n">
        <f aca="false">SUMIF(StorytelE!C$2:C$300,A44,konwertery!M$2:M$300)+SUMIF(StorytelA!C$2:C$300,A44,konwertery!N$2:N$300)</f>
        <v>1</v>
      </c>
      <c r="AP44" s="9" t="n">
        <f aca="false">SUMIF(StorytelE!C$2:C$300,A44,konwertery!O$2:O$300)+SUMIF(StorytelA!C$2:C$300,A44,konwertery!P$2:P$300)</f>
        <v>2.37</v>
      </c>
      <c r="AR44" s="9" t="n">
        <f aca="false">SUMIF(konwertery!U$2:U$300,A44,Audioteka!E$4:E$302)</f>
        <v>0</v>
      </c>
      <c r="AS44" s="9" t="n">
        <f aca="false">SUMIF(konwertery!U$2:U$300,A44,Audioteka!O$4:O$302)</f>
        <v>0</v>
      </c>
      <c r="AU44" s="9" t="n">
        <f aca="false">SUMIF(Bookbeat!A$9:A$309,A44,Bookbeat!H$9:H$309)</f>
        <v>0</v>
      </c>
      <c r="AV44" s="10" t="n">
        <f aca="false">SUMIF(Bookbeat!A$9:A$309,A44,Bookbeat!L$9:L$309)</f>
        <v>0</v>
      </c>
    </row>
    <row r="45" customFormat="false" ht="15.75" hidden="false" customHeight="false" outlineLevel="0" collapsed="false">
      <c r="A45" s="11" t="n">
        <v>9788365156778</v>
      </c>
      <c r="B45" s="15" t="s">
        <v>58</v>
      </c>
      <c r="E45" s="3" t="n">
        <f aca="false">H45+K45</f>
        <v>38</v>
      </c>
      <c r="F45" s="4" t="n">
        <f aca="false">I45+L45</f>
        <v>188.45</v>
      </c>
      <c r="H45" s="9" t="n">
        <f aca="false">SUMIF(konwertery!A$2:A$300,A45,Histmag!C$2:C$300)</f>
        <v>0</v>
      </c>
      <c r="I45" s="10" t="n">
        <f aca="false">SUMIF(konwertery!A$2:A$300,A45,konwertery!B$2:B$300) * 0.97</f>
        <v>0</v>
      </c>
      <c r="K45" s="7" t="n">
        <f aca="false">N45+Q45+T45+W45+Z45+AC45+AF45+AI45+AL45+AO45+AR45+AU45</f>
        <v>38</v>
      </c>
      <c r="L45" s="12" t="n">
        <f aca="false">O45+R45+U45+X45+AA45+AD45+AG45+AJ45+AM45+AP45+AS45+AV45</f>
        <v>188.45</v>
      </c>
      <c r="N45" s="9" t="n">
        <f aca="false">SUMIF(konwertery!C$2:C$300,A45,Virtualo!L$2:L$300)</f>
        <v>0</v>
      </c>
      <c r="O45" s="10" t="n">
        <f aca="false">(SUMIF(konwertery!C$2:C$300,A45,Virtualo!P$2:P$300))</f>
        <v>0</v>
      </c>
      <c r="Q45" s="9" t="n">
        <f aca="false">SUMIF(konwertery!D$2:D$300,A45,Empik!M$2:M$300)</f>
        <v>14</v>
      </c>
      <c r="R45" s="10" t="n">
        <f aca="false">SUMIF(konwertery!D$2:D$300,A45,Empik!N$2:N$300)</f>
        <v>116</v>
      </c>
      <c r="T45" s="13" t="n">
        <f aca="false">SUMIF(konwertery!E$2:E$300,A45,Publio!P$2:P$300)</f>
        <v>0</v>
      </c>
      <c r="U45" s="14" t="n">
        <f aca="false">SUMIF(konwertery!E$2:E$300,A45,konwertery!F$2:F$300)</f>
        <v>0</v>
      </c>
      <c r="W45" s="9" t="n">
        <f aca="false">SUMIF(Legimi!D$2:D$300,A45,Legimi!G$2:G$300)</f>
        <v>0</v>
      </c>
      <c r="X45" s="10" t="n">
        <f aca="false">SUMIF(Legimi!D$2:D$300,A45,Legimi!H$2:H$300)</f>
        <v>0</v>
      </c>
      <c r="Z45" s="9" t="n">
        <f aca="false">SUMIF(konwertery!G$2:G$302,A45,Nexto!J$2:J$283)</f>
        <v>0</v>
      </c>
      <c r="AA45" s="9" t="n">
        <f aca="false">SUMIF(konwertery!G$2:G$302,A45,Nexto!N$2:P$302)</f>
        <v>0</v>
      </c>
      <c r="AC45" s="9" t="n">
        <f aca="false">SUMIF(Woblink!E$9:E$309,A45,Woblink!I$9:I$309)</f>
        <v>0</v>
      </c>
      <c r="AD45" s="10" t="n">
        <f aca="false">SUMIF(Woblink!E$14:E$314,A45,konwertery!R$2:R$300)</f>
        <v>0</v>
      </c>
      <c r="AF45" s="9" t="n">
        <f aca="false">SUM(SUMIF(konwertery!I$2:I$300,A45,Azymut!H$2:H$298),(SUMIF(konwertery!S$2:S$300,A45,AzymutB!H$2:H340)*2))</f>
        <v>0</v>
      </c>
      <c r="AG45" s="8" t="n">
        <f aca="false">SUM(SUMIF(konwertery!I$2:I$300,A45,konwertery!J$2:J$300),SUMIF(konwertery!S$2:S$300,A45,konwertery!T$2:T$300))</f>
        <v>0</v>
      </c>
      <c r="AI45" s="9" t="n">
        <f aca="false">SUMIF(konwertery!K$2:K$300,A45,Ebookpoint!F$14:F$312)</f>
        <v>0</v>
      </c>
      <c r="AJ45" s="9" t="n">
        <f aca="false">SUMIF(konwertery!K$2:K$300,A45,Ebookpoint!M$14:M$312)</f>
        <v>0</v>
      </c>
      <c r="AL45" s="9" t="n">
        <f aca="false">SUMIF(konwertery!L$2:L$300,A45,Nasbi!F$14:F$312)</f>
        <v>0</v>
      </c>
      <c r="AM45" s="9" t="n">
        <f aca="false">SUMIF(konwertery!L$2:L$300,A45,Nasbi!K$14:K$312)</f>
        <v>0</v>
      </c>
      <c r="AO45" s="9" t="n">
        <f aca="false">SUMIF(StorytelE!C$2:C$300,A45,konwertery!M$2:M$300)+SUMIF(StorytelA!C$2:C$300,A45,konwertery!N$2:N$300)</f>
        <v>22</v>
      </c>
      <c r="AP45" s="9" t="n">
        <f aca="false">SUMIF(StorytelE!C$2:C$300,A45,konwertery!O$2:O$300)+SUMIF(StorytelA!C$2:C$300,A45,konwertery!P$2:P$300)</f>
        <v>49.71</v>
      </c>
      <c r="AR45" s="9" t="n">
        <f aca="false">SUMIF(konwertery!U$2:U$300,A45,Audioteka!E$4:E$302)</f>
        <v>2</v>
      </c>
      <c r="AS45" s="9" t="n">
        <f aca="false">SUMIF(konwertery!U$2:U$300,A45,Audioteka!O$4:O$302)</f>
        <v>22.74</v>
      </c>
      <c r="AU45" s="9" t="n">
        <f aca="false">SUMIF(Bookbeat!A$9:A$309,A45,Bookbeat!H$9:H$309)</f>
        <v>0</v>
      </c>
      <c r="AV45" s="10" t="n">
        <f aca="false">SUMIF(Bookbeat!A$9:A$309,A45,Bookbeat!L$9:L$309)</f>
        <v>0</v>
      </c>
    </row>
    <row r="46" customFormat="false" ht="15.75" hidden="false" customHeight="false" outlineLevel="0" collapsed="false">
      <c r="A46" s="11" t="n">
        <v>9788365156471</v>
      </c>
      <c r="B46" s="8" t="s">
        <v>59</v>
      </c>
      <c r="E46" s="3" t="n">
        <f aca="false">H46+K46</f>
        <v>3</v>
      </c>
      <c r="F46" s="4" t="n">
        <f aca="false">I46+L46</f>
        <v>26.5143</v>
      </c>
      <c r="H46" s="9" t="n">
        <f aca="false">SUMIF(konwertery!A$2:A$300,A46,Histmag!C$2:C$300)</f>
        <v>1</v>
      </c>
      <c r="I46" s="10" t="n">
        <f aca="false">SUMIF(konwertery!A$2:A$300,A46,konwertery!B$2:B$300) * 0.97</f>
        <v>13.7643</v>
      </c>
      <c r="K46" s="7" t="n">
        <f aca="false">N46+Q46+T46+W46+Z46+AC46+AF46+AI46+AL46+AO46+AR46+AU46</f>
        <v>2</v>
      </c>
      <c r="L46" s="12" t="n">
        <f aca="false">O46+R46+U46+X46+AA46+AD46+AG46+AJ46+AM46+AP46+AS46+AV46</f>
        <v>12.75</v>
      </c>
      <c r="N46" s="9" t="n">
        <f aca="false">SUMIF(konwertery!C$2:C$300,A46,Virtualo!L$2:L$300)</f>
        <v>0</v>
      </c>
      <c r="O46" s="10" t="n">
        <f aca="false">(SUMIF(konwertery!C$2:C$300,A46,Virtualo!P$2:P$300))</f>
        <v>0</v>
      </c>
      <c r="Q46" s="9" t="n">
        <f aca="false">SUMIF(konwertery!D$2:D$300,A46,Empik!M$2:M$300)</f>
        <v>0</v>
      </c>
      <c r="R46" s="10" t="n">
        <f aca="false">SUMIF(konwertery!D$2:D$300,A46,Empik!N$2:N$300)</f>
        <v>0</v>
      </c>
      <c r="T46" s="13" t="n">
        <f aca="false">SUMIF(konwertery!E$2:E$300,A46,Publio!P$2:P$300)</f>
        <v>0</v>
      </c>
      <c r="U46" s="14" t="n">
        <f aca="false">SUMIF(konwertery!E$2:E$300,A46,konwertery!F$2:F$300)</f>
        <v>0</v>
      </c>
      <c r="W46" s="9" t="n">
        <f aca="false">SUMIF(Legimi!D$2:D$300,A46,Legimi!G$2:G$300)</f>
        <v>0</v>
      </c>
      <c r="X46" s="10" t="n">
        <f aca="false">SUMIF(Legimi!D$2:D$300,A46,Legimi!H$2:H$300)</f>
        <v>0</v>
      </c>
      <c r="Z46" s="9" t="n">
        <f aca="false">SUMIF(konwertery!G$2:G$302,A46,Nexto!J$2:J$283)</f>
        <v>0</v>
      </c>
      <c r="AA46" s="9" t="n">
        <f aca="false">SUMIF(konwertery!G$2:G$302,A46,Nexto!N$2:P$302)</f>
        <v>0</v>
      </c>
      <c r="AC46" s="9" t="n">
        <f aca="false">SUMIF(Woblink!E$9:E$309,A46,Woblink!I$9:I$309)</f>
        <v>1</v>
      </c>
      <c r="AD46" s="10" t="n">
        <f aca="false">SUMIF(Woblink!E$14:E$314,A46,konwertery!R$2:R$300)</f>
        <v>10.23</v>
      </c>
      <c r="AF46" s="9" t="n">
        <f aca="false">SUM(SUMIF(konwertery!I$2:I$300,A46,Azymut!H$2:H$298),(SUMIF(konwertery!S$2:S$300,A46,AzymutB!H$2:H341)*2))</f>
        <v>0</v>
      </c>
      <c r="AG46" s="8" t="n">
        <f aca="false">SUM(SUMIF(konwertery!I$2:I$300,A46,konwertery!J$2:J$300),SUMIF(konwertery!S$2:S$300,A46,konwertery!T$2:T$300))</f>
        <v>0</v>
      </c>
      <c r="AI46" s="9" t="n">
        <f aca="false">SUMIF(konwertery!K$2:K$300,A46,Ebookpoint!F$14:F$312)</f>
        <v>0</v>
      </c>
      <c r="AJ46" s="9" t="n">
        <f aca="false">SUMIF(konwertery!K$2:K$300,A46,Ebookpoint!M$14:M$312)</f>
        <v>0</v>
      </c>
      <c r="AL46" s="9" t="n">
        <f aca="false">SUMIF(konwertery!L$2:L$300,A46,Nasbi!F$14:F$312)</f>
        <v>0</v>
      </c>
      <c r="AM46" s="9" t="n">
        <f aca="false">SUMIF(konwertery!L$2:L$300,A46,Nasbi!K$14:K$312)</f>
        <v>0</v>
      </c>
      <c r="AO46" s="9" t="n">
        <f aca="false">SUMIF(StorytelE!C$2:C$300,A46,konwertery!M$2:M$300)+SUMIF(StorytelA!C$2:C$300,A46,konwertery!N$2:N$300)</f>
        <v>1</v>
      </c>
      <c r="AP46" s="9" t="n">
        <f aca="false">SUMIF(StorytelE!C$2:C$300,A46,konwertery!O$2:O$300)+SUMIF(StorytelA!C$2:C$300,A46,konwertery!P$2:P$300)</f>
        <v>2.52</v>
      </c>
      <c r="AR46" s="9" t="n">
        <f aca="false">SUMIF(konwertery!U$2:U$300,A46,Audioteka!E$4:E$302)</f>
        <v>0</v>
      </c>
      <c r="AS46" s="9" t="n">
        <f aca="false">SUMIF(konwertery!U$2:U$300,A46,Audioteka!O$4:O$302)</f>
        <v>0</v>
      </c>
      <c r="AU46" s="9" t="n">
        <f aca="false">SUMIF(Bookbeat!A$9:A$309,A46,Bookbeat!H$9:H$309)</f>
        <v>0</v>
      </c>
      <c r="AV46" s="10" t="n">
        <f aca="false">SUMIF(Bookbeat!A$9:A$309,A46,Bookbeat!L$9:L$309)</f>
        <v>0</v>
      </c>
    </row>
    <row r="47" customFormat="false" ht="15.75" hidden="false" customHeight="false" outlineLevel="0" collapsed="false">
      <c r="A47" s="11" t="n">
        <v>9788365156570</v>
      </c>
      <c r="B47" s="15" t="s">
        <v>60</v>
      </c>
      <c r="E47" s="3" t="n">
        <f aca="false">H47+K47</f>
        <v>27</v>
      </c>
      <c r="F47" s="4" t="n">
        <f aca="false">I47+L47</f>
        <v>105.7774</v>
      </c>
      <c r="H47" s="9" t="n">
        <f aca="false">SUMIF(konwertery!A$2:A$300,A47,Histmag!C$2:C$300)</f>
        <v>2</v>
      </c>
      <c r="I47" s="10" t="n">
        <f aca="false">SUMIF(konwertery!A$2:A$300,A47,konwertery!B$2:B$300) * 0.97</f>
        <v>22.7174</v>
      </c>
      <c r="K47" s="7" t="n">
        <f aca="false">N47+Q47+T47+W47+Z47+AC47+AF47+AI47+AL47+AO47+AR47+AU47</f>
        <v>25</v>
      </c>
      <c r="L47" s="12" t="n">
        <f aca="false">O47+R47+U47+X47+AA47+AD47+AG47+AJ47+AM47+AP47+AS47+AV47</f>
        <v>83.06</v>
      </c>
      <c r="N47" s="9" t="n">
        <f aca="false">SUMIF(konwertery!C$2:C$300,A47,Virtualo!L$2:L$300)</f>
        <v>0</v>
      </c>
      <c r="O47" s="10" t="n">
        <f aca="false">(SUMIF(konwertery!C$2:C$300,A47,Virtualo!P$2:P$300))</f>
        <v>0</v>
      </c>
      <c r="Q47" s="9" t="n">
        <f aca="false">SUMIF(konwertery!D$2:D$300,A47,Empik!M$2:M$300)</f>
        <v>4</v>
      </c>
      <c r="R47" s="10" t="n">
        <f aca="false">SUMIF(konwertery!D$2:D$300,A47,Empik!N$2:N$300)</f>
        <v>26</v>
      </c>
      <c r="T47" s="13" t="n">
        <f aca="false">SUMIF(konwertery!E$2:E$300,A47,Publio!P$2:P$300)</f>
        <v>0</v>
      </c>
      <c r="U47" s="14" t="n">
        <f aca="false">SUMIF(konwertery!E$2:E$300,A47,konwertery!F$2:F$300)</f>
        <v>0</v>
      </c>
      <c r="W47" s="9" t="n">
        <f aca="false">SUMIF(Legimi!D$2:D$300,A47,Legimi!G$2:G$300)</f>
        <v>0</v>
      </c>
      <c r="X47" s="10" t="n">
        <f aca="false">SUMIF(Legimi!D$2:D$300,A47,Legimi!H$2:H$300)</f>
        <v>0</v>
      </c>
      <c r="Z47" s="9" t="n">
        <f aca="false">SUMIF(konwertery!G$2:G$302,A47,Nexto!J$2:J$283)</f>
        <v>0</v>
      </c>
      <c r="AA47" s="9" t="n">
        <f aca="false">SUMIF(konwertery!G$2:G$302,A47,Nexto!N$2:P$302)</f>
        <v>0</v>
      </c>
      <c r="AC47" s="9" t="n">
        <f aca="false">SUMIF(Woblink!E$9:E$309,A47,Woblink!I$9:I$309)</f>
        <v>0</v>
      </c>
      <c r="AD47" s="10" t="n">
        <f aca="false">SUMIF(Woblink!E$14:E$314,A47,konwertery!R$2:R$300)</f>
        <v>0</v>
      </c>
      <c r="AF47" s="9" t="n">
        <f aca="false">SUM(SUMIF(konwertery!I$2:I$300,A47,Azymut!H$2:H$298),(SUMIF(konwertery!S$2:S$300,A47,AzymutB!H$2:H342)*2))</f>
        <v>0</v>
      </c>
      <c r="AG47" s="8" t="n">
        <f aca="false">SUM(SUMIF(konwertery!I$2:I$300,A47,konwertery!J$2:J$300),SUMIF(konwertery!S$2:S$300,A47,konwertery!T$2:T$300))</f>
        <v>0</v>
      </c>
      <c r="AI47" s="9" t="n">
        <f aca="false">SUMIF(konwertery!K$2:K$300,A47,Ebookpoint!F$14:F$312)</f>
        <v>0</v>
      </c>
      <c r="AJ47" s="9" t="n">
        <f aca="false">SUMIF(konwertery!K$2:K$300,A47,Ebookpoint!M$14:M$312)</f>
        <v>0</v>
      </c>
      <c r="AL47" s="9" t="n">
        <f aca="false">SUMIF(konwertery!L$2:L$300,A47,Nasbi!F$14:F$312)</f>
        <v>0</v>
      </c>
      <c r="AM47" s="9" t="n">
        <f aca="false">SUMIF(konwertery!L$2:L$300,A47,Nasbi!K$14:K$312)</f>
        <v>0</v>
      </c>
      <c r="AO47" s="9" t="n">
        <f aca="false">SUMIF(StorytelE!C$2:C$300,A47,konwertery!M$2:M$300)+SUMIF(StorytelA!C$2:C$300,A47,konwertery!N$2:N$300)</f>
        <v>20</v>
      </c>
      <c r="AP47" s="9" t="n">
        <f aca="false">SUMIF(StorytelE!C$2:C$300,A47,konwertery!O$2:O$300)+SUMIF(StorytelA!C$2:C$300,A47,konwertery!P$2:P$300)</f>
        <v>46.83</v>
      </c>
      <c r="AR47" s="9" t="n">
        <f aca="false">SUMIF(konwertery!U$2:U$300,A47,Audioteka!E$4:E$302)</f>
        <v>1</v>
      </c>
      <c r="AS47" s="9" t="n">
        <f aca="false">SUMIF(konwertery!U$2:U$300,A47,Audioteka!O$4:O$302)</f>
        <v>10.23</v>
      </c>
      <c r="AU47" s="9" t="n">
        <f aca="false">SUMIF(Bookbeat!A$9:A$309,A47,Bookbeat!H$9:H$309)</f>
        <v>0</v>
      </c>
      <c r="AV47" s="10" t="n">
        <f aca="false">SUMIF(Bookbeat!A$9:A$309,A47,Bookbeat!L$9:L$309)</f>
        <v>0</v>
      </c>
    </row>
    <row r="48" customFormat="false" ht="15.75" hidden="false" customHeight="false" outlineLevel="0" collapsed="false">
      <c r="A48" s="11" t="n">
        <v>9788365156822</v>
      </c>
      <c r="B48" s="8" t="s">
        <v>61</v>
      </c>
      <c r="E48" s="3" t="n">
        <f aca="false">H48+K48</f>
        <v>62</v>
      </c>
      <c r="F48" s="4" t="n">
        <f aca="false">I48+L48</f>
        <v>441.5709</v>
      </c>
      <c r="H48" s="9" t="n">
        <f aca="false">SUMIF(konwertery!A$2:A$300,A48,Histmag!C$2:C$300)</f>
        <v>6</v>
      </c>
      <c r="I48" s="10" t="n">
        <f aca="false">SUMIF(konwertery!A$2:A$300,A48,konwertery!B$2:B$300) * 0.97</f>
        <v>88.2409</v>
      </c>
      <c r="K48" s="7" t="n">
        <f aca="false">N48+Q48+T48+W48+Z48+AC48+AF48+AI48+AL48+AO48+AR48+AU48</f>
        <v>56</v>
      </c>
      <c r="L48" s="12" t="n">
        <f aca="false">O48+R48+U48+X48+AA48+AD48+AG48+AJ48+AM48+AP48+AS48+AV48</f>
        <v>353.33</v>
      </c>
      <c r="N48" s="9" t="n">
        <f aca="false">SUMIF(konwertery!C$2:C$300,A48,Virtualo!L$2:L$300)</f>
        <v>0</v>
      </c>
      <c r="O48" s="10" t="n">
        <f aca="false">(SUMIF(konwertery!C$2:C$300,A48,Virtualo!P$2:P$300))</f>
        <v>0</v>
      </c>
      <c r="Q48" s="9" t="n">
        <f aca="false">SUMIF(konwertery!D$2:D$300,A48,Empik!M$2:M$300)</f>
        <v>0</v>
      </c>
      <c r="R48" s="10" t="n">
        <f aca="false">SUMIF(konwertery!D$2:D$300,A48,Empik!N$2:N$300)</f>
        <v>0</v>
      </c>
      <c r="T48" s="13" t="n">
        <f aca="false">SUMIF(konwertery!E$2:E$300,A48,Publio!P$2:P$300)</f>
        <v>3</v>
      </c>
      <c r="U48" s="14" t="n">
        <f aca="false">SUMIF(konwertery!E$2:E$300,A48,konwertery!F$2:F$300)</f>
        <v>28.98</v>
      </c>
      <c r="W48" s="9" t="n">
        <f aca="false">SUMIF(Legimi!D$2:D$300,A48,Legimi!G$2:G$300)</f>
        <v>0</v>
      </c>
      <c r="X48" s="10" t="n">
        <f aca="false">SUMIF(Legimi!D$2:D$300,A48,Legimi!H$2:H$300)</f>
        <v>0</v>
      </c>
      <c r="Z48" s="9" t="n">
        <f aca="false">SUMIF(konwertery!G$2:G$302,A48,Nexto!J$2:J$283)</f>
        <v>0</v>
      </c>
      <c r="AA48" s="9" t="n">
        <f aca="false">SUMIF(konwertery!G$2:G$302,A48,Nexto!N$2:P$302)</f>
        <v>0</v>
      </c>
      <c r="AC48" s="9" t="n">
        <f aca="false">SUMIF(Woblink!E$9:E$309,A48,Woblink!I$9:I$309)</f>
        <v>1</v>
      </c>
      <c r="AD48" s="10" t="n">
        <f aca="false">SUMIF(Woblink!E$14:E$314,A48,konwertery!R$2:R$300)</f>
        <v>11.37</v>
      </c>
      <c r="AF48" s="9" t="n">
        <f aca="false">SUM(SUMIF(konwertery!I$2:I$300,A48,Azymut!H$2:H$298),(SUMIF(konwertery!S$2:S$300,A48,AzymutB!H$2:H343)*2))</f>
        <v>0</v>
      </c>
      <c r="AG48" s="8" t="n">
        <f aca="false">SUM(SUMIF(konwertery!I$2:I$300,A48,konwertery!J$2:J$300),SUMIF(konwertery!S$2:S$300,A48,konwertery!T$2:T$300))</f>
        <v>0</v>
      </c>
      <c r="AI48" s="9" t="n">
        <f aca="false">SUMIF(konwertery!K$2:K$300,A48,Ebookpoint!F$14:F$312)</f>
        <v>45</v>
      </c>
      <c r="AJ48" s="9" t="n">
        <f aca="false">SUMIF(konwertery!K$2:K$300,A48,Ebookpoint!M$14:M$312)</f>
        <v>296.16</v>
      </c>
      <c r="AL48" s="9" t="n">
        <f aca="false">SUMIF(konwertery!L$2:L$300,A48,Nasbi!F$14:F$312)</f>
        <v>0</v>
      </c>
      <c r="AM48" s="9" t="n">
        <f aca="false">SUMIF(konwertery!L$2:L$300,A48,Nasbi!K$14:K$312)</f>
        <v>0</v>
      </c>
      <c r="AO48" s="9" t="n">
        <f aca="false">SUMIF(StorytelE!C$2:C$300,A48,konwertery!M$2:M$300)+SUMIF(StorytelA!C$2:C$300,A48,konwertery!N$2:N$300)</f>
        <v>7</v>
      </c>
      <c r="AP48" s="9" t="n">
        <f aca="false">SUMIF(StorytelE!C$2:C$300,A48,konwertery!O$2:O$300)+SUMIF(StorytelA!C$2:C$300,A48,konwertery!P$2:P$300)</f>
        <v>16.82</v>
      </c>
      <c r="AR48" s="9" t="n">
        <f aca="false">SUMIF(konwertery!U$2:U$300,A48,Audioteka!E$4:E$302)</f>
        <v>0</v>
      </c>
      <c r="AS48" s="9" t="n">
        <f aca="false">SUMIF(konwertery!U$2:U$300,A48,Audioteka!O$4:O$302)</f>
        <v>0</v>
      </c>
      <c r="AU48" s="9" t="n">
        <f aca="false">SUMIF(Bookbeat!A$9:A$309,A48,Bookbeat!H$9:H$309)</f>
        <v>0</v>
      </c>
      <c r="AV48" s="10" t="n">
        <f aca="false">SUMIF(Bookbeat!A$9:A$309,A48,Bookbeat!L$9:L$309)</f>
        <v>0</v>
      </c>
    </row>
    <row r="49" customFormat="false" ht="15.75" hidden="false" customHeight="false" outlineLevel="0" collapsed="false">
      <c r="A49" s="11" t="n">
        <v>9788365156853</v>
      </c>
      <c r="B49" s="15" t="s">
        <v>62</v>
      </c>
      <c r="E49" s="3" t="n">
        <f aca="false">H49+K49</f>
        <v>98</v>
      </c>
      <c r="F49" s="4" t="n">
        <f aca="false">I49+L49</f>
        <v>539.6742</v>
      </c>
      <c r="H49" s="9" t="n">
        <f aca="false">SUMIF(konwertery!A$2:A$300,A49,Histmag!C$2:C$300)</f>
        <v>5</v>
      </c>
      <c r="I49" s="10" t="n">
        <f aca="false">SUMIF(konwertery!A$2:A$300,A49,konwertery!B$2:B$300) * 0.97</f>
        <v>72.6142</v>
      </c>
      <c r="K49" s="7" t="n">
        <f aca="false">N49+Q49+T49+W49+Z49+AC49+AF49+AI49+AL49+AO49+AR49+AU49</f>
        <v>93</v>
      </c>
      <c r="L49" s="12" t="n">
        <f aca="false">O49+R49+U49+X49+AA49+AD49+AG49+AJ49+AM49+AP49+AS49+AV49</f>
        <v>467.06</v>
      </c>
      <c r="N49" s="9" t="n">
        <f aca="false">SUMIF(konwertery!C$2:C$300,A49,Virtualo!L$2:L$300)</f>
        <v>0</v>
      </c>
      <c r="O49" s="10" t="n">
        <f aca="false">(SUMIF(konwertery!C$2:C$300,A49,Virtualo!P$2:P$300))</f>
        <v>0</v>
      </c>
      <c r="Q49" s="9" t="n">
        <f aca="false">SUMIF(konwertery!D$2:D$300,A49,Empik!M$2:M$300)</f>
        <v>8</v>
      </c>
      <c r="R49" s="10" t="n">
        <f aca="false">SUMIF(konwertery!D$2:D$300,A49,Empik!N$2:N$300)</f>
        <v>72</v>
      </c>
      <c r="T49" s="13" t="n">
        <f aca="false">SUMIF(konwertery!E$2:E$300,A49,Publio!P$2:P$300)</f>
        <v>1</v>
      </c>
      <c r="U49" s="14" t="n">
        <f aca="false">SUMIF(konwertery!E$2:E$300,A49,konwertery!F$2:F$300)</f>
        <v>11.37</v>
      </c>
      <c r="W49" s="9" t="n">
        <f aca="false">SUMIF(Legimi!D$2:D$300,A49,Legimi!G$2:G$300)</f>
        <v>1</v>
      </c>
      <c r="X49" s="10" t="n">
        <f aca="false">SUMIF(Legimi!D$2:D$300,A49,Legimi!H$2:H$300)</f>
        <v>13.27</v>
      </c>
      <c r="Z49" s="9" t="n">
        <f aca="false">SUMIF(konwertery!G$2:G$302,A49,Nexto!J$2:J$283)</f>
        <v>1</v>
      </c>
      <c r="AA49" s="9" t="n">
        <f aca="false">SUMIF(konwertery!G$2:G$302,A49,Nexto!N$2:P$302)</f>
        <v>6.63</v>
      </c>
      <c r="AC49" s="9" t="n">
        <f aca="false">SUMIF(Woblink!E$9:E$309,A49,Woblink!I$9:I$309)</f>
        <v>0</v>
      </c>
      <c r="AD49" s="10" t="n">
        <f aca="false">SUMIF(Woblink!E$14:E$314,A49,konwertery!R$2:R$300)</f>
        <v>0</v>
      </c>
      <c r="AF49" s="9" t="n">
        <f aca="false">SUM(SUMIF(konwertery!I$2:I$300,A49,Azymut!H$2:H$298),(SUMIF(konwertery!S$2:S$300,A49,AzymutB!H$2:H344)*2))</f>
        <v>0</v>
      </c>
      <c r="AG49" s="8" t="n">
        <f aca="false">SUM(SUMIF(konwertery!I$2:I$300,A49,konwertery!J$2:J$300),SUMIF(konwertery!S$2:S$300,A49,konwertery!T$2:T$300))</f>
        <v>0</v>
      </c>
      <c r="AI49" s="9" t="n">
        <f aca="false">SUMIF(konwertery!K$2:K$300,A49,Ebookpoint!F$14:F$312)</f>
        <v>3</v>
      </c>
      <c r="AJ49" s="9" t="n">
        <f aca="false">SUMIF(konwertery!K$2:K$300,A49,Ebookpoint!M$14:M$312)</f>
        <v>36.39</v>
      </c>
      <c r="AL49" s="9" t="n">
        <f aca="false">SUMIF(konwertery!L$2:L$300,A49,Nasbi!F$14:F$312)</f>
        <v>0</v>
      </c>
      <c r="AM49" s="9" t="n">
        <f aca="false">SUMIF(konwertery!L$2:L$300,A49,Nasbi!K$14:K$312)</f>
        <v>0</v>
      </c>
      <c r="AO49" s="9" t="n">
        <f aca="false">SUMIF(StorytelE!C$2:C$300,A49,konwertery!M$2:M$300)+SUMIF(StorytelA!C$2:C$300,A49,konwertery!N$2:N$300)</f>
        <v>60</v>
      </c>
      <c r="AP49" s="9" t="n">
        <f aca="false">SUMIF(StorytelE!C$2:C$300,A49,konwertery!O$2:O$300)+SUMIF(StorytelA!C$2:C$300,A49,konwertery!P$2:P$300)</f>
        <v>121.49</v>
      </c>
      <c r="AR49" s="9" t="n">
        <f aca="false">SUMIF(konwertery!U$2:U$300,A49,Audioteka!E$4:E$302)</f>
        <v>16</v>
      </c>
      <c r="AS49" s="9" t="n">
        <f aca="false">SUMIF(konwertery!U$2:U$300,A49,Audioteka!O$4:O$302)</f>
        <v>187.54</v>
      </c>
      <c r="AU49" s="9" t="n">
        <f aca="false">SUMIF(Bookbeat!A$9:A$309,A49,Bookbeat!H$9:H$309)</f>
        <v>3</v>
      </c>
      <c r="AV49" s="10" t="n">
        <f aca="false">SUMIF(Bookbeat!A$9:A$309,A49,Bookbeat!L$9:L$309)</f>
        <v>18.37</v>
      </c>
    </row>
    <row r="50" customFormat="false" ht="15.75" hidden="false" customHeight="false" outlineLevel="0" collapsed="false">
      <c r="A50" s="11" t="n">
        <v>9788365156662</v>
      </c>
      <c r="B50" s="8" t="s">
        <v>63</v>
      </c>
      <c r="E50" s="3" t="n">
        <f aca="false">H50+K50</f>
        <v>0</v>
      </c>
      <c r="F50" s="4" t="n">
        <f aca="false">I50+L50</f>
        <v>0</v>
      </c>
      <c r="H50" s="9" t="n">
        <f aca="false">SUMIF(konwertery!A$2:A$300,A50,Histmag!C$2:C$300)</f>
        <v>0</v>
      </c>
      <c r="I50" s="10" t="n">
        <f aca="false">SUMIF(konwertery!A$2:A$300,A50,konwertery!B$2:B$300) * 0.97</f>
        <v>0</v>
      </c>
      <c r="K50" s="7" t="n">
        <f aca="false">N50+Q50+T50+W50+Z50+AC50+AF50+AI50+AL50+AO50+AR50+AU50</f>
        <v>0</v>
      </c>
      <c r="L50" s="12" t="n">
        <f aca="false">O50+R50+U50+X50+AA50+AD50+AG50+AJ50+AM50+AP50+AS50+AV50</f>
        <v>0</v>
      </c>
      <c r="N50" s="9" t="n">
        <f aca="false">SUMIF(konwertery!C$2:C$300,A50,Virtualo!L$2:L$300)</f>
        <v>0</v>
      </c>
      <c r="O50" s="10" t="n">
        <f aca="false">(SUMIF(konwertery!C$2:C$300,A50,Virtualo!P$2:P$300))</f>
        <v>0</v>
      </c>
      <c r="Q50" s="9" t="n">
        <f aca="false">SUMIF(konwertery!D$2:D$300,A50,Empik!M$2:M$300)</f>
        <v>0</v>
      </c>
      <c r="R50" s="10" t="n">
        <f aca="false">SUMIF(konwertery!D$2:D$300,A50,Empik!N$2:N$300)</f>
        <v>0</v>
      </c>
      <c r="T50" s="13" t="n">
        <f aca="false">SUMIF(konwertery!E$2:E$300,A50,Publio!P$2:P$300)</f>
        <v>0</v>
      </c>
      <c r="U50" s="14" t="n">
        <f aca="false">SUMIF(konwertery!E$2:E$300,A50,konwertery!F$2:F$300)</f>
        <v>0</v>
      </c>
      <c r="W50" s="9" t="n">
        <f aca="false">SUMIF(Legimi!D$2:D$300,A50,Legimi!G$2:G$300)</f>
        <v>0</v>
      </c>
      <c r="X50" s="10" t="n">
        <f aca="false">SUMIF(Legimi!D$2:D$300,A50,Legimi!H$2:H$300)</f>
        <v>0</v>
      </c>
      <c r="Z50" s="9" t="n">
        <f aca="false">SUMIF(konwertery!G$2:G$302,A50,Nexto!J$2:J$283)</f>
        <v>0</v>
      </c>
      <c r="AA50" s="9" t="n">
        <f aca="false">SUMIF(konwertery!G$2:G$302,A50,Nexto!N$2:P$302)</f>
        <v>0</v>
      </c>
      <c r="AC50" s="9" t="n">
        <f aca="false">SUMIF(Woblink!E$9:E$309,A50,Woblink!I$9:I$309)</f>
        <v>0</v>
      </c>
      <c r="AD50" s="10" t="n">
        <f aca="false">SUMIF(Woblink!E$14:E$314,A50,konwertery!R$2:R$300)</f>
        <v>0</v>
      </c>
      <c r="AF50" s="9" t="n">
        <f aca="false">SUM(SUMIF(konwertery!I$2:I$300,A50,Azymut!H$2:H$298),(SUMIF(konwertery!S$2:S$300,A50,AzymutB!H$2:H343)*2))</f>
        <v>0</v>
      </c>
      <c r="AG50" s="8" t="n">
        <f aca="false">SUM(SUMIF(konwertery!I$2:I$300,A50,konwertery!J$2:J$300),SUMIF(konwertery!S$2:S$300,A50,konwertery!T$2:T$300))</f>
        <v>0</v>
      </c>
      <c r="AI50" s="9" t="n">
        <f aca="false">SUMIF(konwertery!K$2:K$300,A50,Ebookpoint!F$14:F$312)</f>
        <v>0</v>
      </c>
      <c r="AJ50" s="9" t="n">
        <f aca="false">SUMIF(konwertery!K$2:K$300,A50,Ebookpoint!M$14:M$312)</f>
        <v>0</v>
      </c>
      <c r="AL50" s="9" t="n">
        <f aca="false">SUMIF(konwertery!L$2:L$300,A50,Nasbi!F$14:F$312)</f>
        <v>0</v>
      </c>
      <c r="AM50" s="9" t="n">
        <f aca="false">SUMIF(konwertery!L$2:L$300,A50,Nasbi!K$14:K$312)</f>
        <v>0</v>
      </c>
      <c r="AO50" s="9" t="n">
        <f aca="false">SUMIF(StorytelE!C$2:C$300,A50,konwertery!M$2:M$300)+SUMIF(StorytelA!C$2:C$300,A50,konwertery!N$2:N$300)</f>
        <v>0</v>
      </c>
      <c r="AP50" s="9" t="n">
        <f aca="false">SUMIF(StorytelE!C$2:C$300,A50,konwertery!O$2:O$300)+SUMIF(StorytelA!C$2:C$300,A50,konwertery!P$2:P$300)</f>
        <v>0</v>
      </c>
      <c r="AR50" s="9" t="n">
        <f aca="false">SUMIF(konwertery!U$2:U$300,A50,Audioteka!E$4:E$302)</f>
        <v>0</v>
      </c>
      <c r="AS50" s="9" t="n">
        <f aca="false">SUMIF(konwertery!U$2:U$300,A50,Audioteka!O$4:O$302)</f>
        <v>0</v>
      </c>
      <c r="AU50" s="9" t="n">
        <f aca="false">SUMIF(Bookbeat!A$9:A$309,A50,Bookbeat!H$9:H$309)</f>
        <v>0</v>
      </c>
      <c r="AV50" s="10" t="n">
        <f aca="false">SUMIF(Bookbeat!A$9:A$309,A50,Bookbeat!L$9:L$309)</f>
        <v>0</v>
      </c>
    </row>
    <row r="51" customFormat="false" ht="15.75" hidden="false" customHeight="false" outlineLevel="0" collapsed="false">
      <c r="A51" s="11" t="n">
        <v>9788365156518</v>
      </c>
      <c r="B51" s="8" t="s">
        <v>64</v>
      </c>
      <c r="E51" s="3" t="n">
        <f aca="false">H51+K51</f>
        <v>1</v>
      </c>
      <c r="F51" s="4" t="n">
        <f aca="false">I51+L51</f>
        <v>10.9901</v>
      </c>
      <c r="H51" s="9" t="n">
        <f aca="false">SUMIF(konwertery!A$2:A$300,A51,Histmag!C$2:C$300)</f>
        <v>1</v>
      </c>
      <c r="I51" s="10" t="n">
        <f aca="false">SUMIF(konwertery!A$2:A$300,A51,konwertery!B$2:B$300) * 0.97</f>
        <v>10.9901</v>
      </c>
      <c r="K51" s="7" t="n">
        <f aca="false">N51+Q51+T51+W51+Z51+AC51+AF51+AI51+AL51+AO51+AR51+AU51</f>
        <v>0</v>
      </c>
      <c r="L51" s="12" t="n">
        <f aca="false">O51+R51+U51+X51+AA51+AD51+AG51+AJ51+AM51+AP51+AS51+AV51</f>
        <v>0</v>
      </c>
      <c r="N51" s="9" t="n">
        <f aca="false">SUMIF(konwertery!C$2:C$300,A51,Virtualo!L$2:L$300)</f>
        <v>0</v>
      </c>
      <c r="O51" s="10" t="n">
        <f aca="false">(SUMIF(konwertery!C$2:C$300,A51,Virtualo!P$2:P$300))</f>
        <v>0</v>
      </c>
      <c r="Q51" s="9" t="n">
        <f aca="false">SUMIF(konwertery!D$2:D$300,A51,Empik!M$2:M$300)</f>
        <v>0</v>
      </c>
      <c r="R51" s="10" t="n">
        <f aca="false">SUMIF(konwertery!D$2:D$300,A51,Empik!N$2:N$300)</f>
        <v>0</v>
      </c>
      <c r="T51" s="13" t="n">
        <f aca="false">SUMIF(konwertery!E$2:E$300,A51,Publio!P$2:P$300)</f>
        <v>0</v>
      </c>
      <c r="U51" s="14" t="n">
        <f aca="false">SUMIF(konwertery!E$2:E$300,A51,konwertery!F$2:F$300)</f>
        <v>0</v>
      </c>
      <c r="W51" s="9" t="n">
        <f aca="false">SUMIF(Legimi!D$2:D$300,A51,Legimi!G$2:G$300)</f>
        <v>0</v>
      </c>
      <c r="X51" s="10" t="n">
        <f aca="false">SUMIF(Legimi!D$2:D$300,A51,Legimi!H$2:H$300)</f>
        <v>0</v>
      </c>
      <c r="Z51" s="9" t="n">
        <f aca="false">SUMIF(konwertery!G$2:G$302,A51,Nexto!J$2:J$283)</f>
        <v>0</v>
      </c>
      <c r="AA51" s="9" t="n">
        <f aca="false">SUMIF(konwertery!G$2:G$302,A51,Nexto!N$2:P$302)</f>
        <v>0</v>
      </c>
      <c r="AC51" s="9" t="n">
        <f aca="false">SUMIF(Woblink!E$9:E$309,A51,Woblink!I$9:I$309)</f>
        <v>0</v>
      </c>
      <c r="AD51" s="10" t="n">
        <f aca="false">SUMIF(Woblink!E$14:E$314,A51,konwertery!R$2:R$300)</f>
        <v>0</v>
      </c>
      <c r="AF51" s="9" t="n">
        <f aca="false">SUM(SUMIF(konwertery!I$2:I$300,A51,Azymut!H$2:H$298),(SUMIF(konwertery!S$2:S$300,A51,AzymutB!H$2:H344)*2))</f>
        <v>0</v>
      </c>
      <c r="AG51" s="8" t="n">
        <f aca="false">SUM(SUMIF(konwertery!I$2:I$300,A51,konwertery!J$2:J$300),SUMIF(konwertery!S$2:S$300,A51,konwertery!T$2:T$300))</f>
        <v>0</v>
      </c>
      <c r="AI51" s="9" t="n">
        <f aca="false">SUMIF(konwertery!K$2:K$300,A51,Ebookpoint!F$14:F$312)</f>
        <v>0</v>
      </c>
      <c r="AJ51" s="9" t="n">
        <f aca="false">SUMIF(konwertery!K$2:K$300,A51,Ebookpoint!M$14:M$312)</f>
        <v>0</v>
      </c>
      <c r="AL51" s="9" t="n">
        <f aca="false">SUMIF(konwertery!L$2:L$300,A51,Nasbi!F$14:F$312)</f>
        <v>0</v>
      </c>
      <c r="AM51" s="9" t="n">
        <f aca="false">SUMIF(konwertery!L$2:L$300,A51,Nasbi!K$14:K$312)</f>
        <v>0</v>
      </c>
      <c r="AO51" s="9" t="n">
        <f aca="false">SUMIF(StorytelE!C$2:C$300,A51,konwertery!M$2:M$300)+SUMIF(StorytelA!C$2:C$300,A51,konwertery!N$2:N$300)</f>
        <v>0</v>
      </c>
      <c r="AP51" s="9" t="n">
        <f aca="false">SUMIF(StorytelE!C$2:C$300,A51,konwertery!O$2:O$300)+SUMIF(StorytelA!C$2:C$300,A51,konwertery!P$2:P$300)</f>
        <v>0</v>
      </c>
      <c r="AR51" s="9" t="n">
        <f aca="false">SUMIF(konwertery!U$2:U$300,A51,Audioteka!E$4:E$302)</f>
        <v>0</v>
      </c>
      <c r="AS51" s="9" t="n">
        <f aca="false">SUMIF(konwertery!U$2:U$300,A51,Audioteka!O$4:O$302)</f>
        <v>0</v>
      </c>
      <c r="AU51" s="9" t="n">
        <f aca="false">SUMIF(Bookbeat!A$9:A$309,A51,Bookbeat!H$9:H$309)</f>
        <v>0</v>
      </c>
      <c r="AV51" s="10" t="n">
        <f aca="false">SUMIF(Bookbeat!A$9:A$309,A51,Bookbeat!L$9:L$309)</f>
        <v>0</v>
      </c>
    </row>
    <row r="52" customFormat="false" ht="15.75" hidden="false" customHeight="false" outlineLevel="0" collapsed="false">
      <c r="A52" s="11" t="n">
        <v>9788365156051</v>
      </c>
      <c r="B52" s="8" t="s">
        <v>65</v>
      </c>
      <c r="E52" s="3" t="n">
        <f aca="false">H52+K52</f>
        <v>1</v>
      </c>
      <c r="F52" s="4" t="n">
        <f aca="false">I52+L52</f>
        <v>10.9901</v>
      </c>
      <c r="H52" s="9" t="n">
        <f aca="false">SUMIF(konwertery!A$2:A$300,A52,Histmag!C$2:C$300)</f>
        <v>1</v>
      </c>
      <c r="I52" s="10" t="n">
        <f aca="false">SUMIF(konwertery!A$2:A$300,A52,konwertery!B$2:B$300) * 0.97</f>
        <v>10.9901</v>
      </c>
      <c r="K52" s="7" t="n">
        <f aca="false">N52+Q52+T52+W52+Z52+AC52+AF52+AI52+AL52+AO52+AR52+AU52</f>
        <v>0</v>
      </c>
      <c r="L52" s="12" t="n">
        <f aca="false">O52+R52+U52+X52+AA52+AD52+AG52+AJ52+AM52+AP52+AS52+AV52</f>
        <v>0</v>
      </c>
      <c r="N52" s="9" t="n">
        <f aca="false">SUMIF(konwertery!C$2:C$300,A52,Virtualo!L$2:L$300)</f>
        <v>0</v>
      </c>
      <c r="O52" s="10" t="n">
        <f aca="false">(SUMIF(konwertery!C$2:C$300,A52,Virtualo!P$2:P$300))</f>
        <v>0</v>
      </c>
      <c r="Q52" s="9" t="n">
        <f aca="false">SUMIF(konwertery!D$2:D$300,A52,Empik!M$2:M$300)</f>
        <v>0</v>
      </c>
      <c r="R52" s="10" t="n">
        <f aca="false">SUMIF(konwertery!D$2:D$300,A52,Empik!N$2:N$300)</f>
        <v>0</v>
      </c>
      <c r="T52" s="13" t="n">
        <f aca="false">SUMIF(konwertery!E$2:E$300,A52,Publio!P$2:P$300)</f>
        <v>0</v>
      </c>
      <c r="U52" s="14" t="n">
        <f aca="false">SUMIF(konwertery!E$2:E$300,A52,konwertery!F$2:F$300)</f>
        <v>0</v>
      </c>
      <c r="W52" s="9" t="n">
        <f aca="false">SUMIF(Legimi!D$2:D$300,A52,Legimi!G$2:G$300)</f>
        <v>0</v>
      </c>
      <c r="X52" s="10" t="n">
        <f aca="false">SUMIF(Legimi!D$2:D$300,A52,Legimi!H$2:H$300)</f>
        <v>0</v>
      </c>
      <c r="Z52" s="9" t="n">
        <f aca="false">SUMIF(konwertery!G$2:G$302,A52,Nexto!J$2:J$283)</f>
        <v>0</v>
      </c>
      <c r="AA52" s="9" t="n">
        <f aca="false">SUMIF(konwertery!G$2:G$302,A52,Nexto!N$2:P$302)</f>
        <v>0</v>
      </c>
      <c r="AC52" s="9" t="n">
        <f aca="false">SUMIF(Woblink!E$9:E$309,A52,Woblink!I$9:I$309)</f>
        <v>0</v>
      </c>
      <c r="AD52" s="10" t="n">
        <f aca="false">SUMIF(Woblink!E$14:E$314,A52,konwertery!R$2:R$300)</f>
        <v>0</v>
      </c>
      <c r="AF52" s="9" t="n">
        <f aca="false">SUM(SUMIF(konwertery!I$2:I$300,A52,Azymut!H$2:H$298),(SUMIF(konwertery!S$2:S$300,A52,AzymutB!H$2:H345)*2))</f>
        <v>0</v>
      </c>
      <c r="AG52" s="8" t="n">
        <f aca="false">SUM(SUMIF(konwertery!I$2:I$300,A52,konwertery!J$2:J$300),SUMIF(konwertery!S$2:S$300,A52,konwertery!T$2:T$300))</f>
        <v>0</v>
      </c>
      <c r="AI52" s="9" t="n">
        <f aca="false">SUMIF(konwertery!K$2:K$300,A52,Ebookpoint!F$14:F$312)</f>
        <v>0</v>
      </c>
      <c r="AJ52" s="9" t="n">
        <f aca="false">SUMIF(konwertery!K$2:K$300,A52,Ebookpoint!M$14:M$312)</f>
        <v>0</v>
      </c>
      <c r="AL52" s="9" t="n">
        <f aca="false">SUMIF(konwertery!L$2:L$300,A52,Nasbi!F$14:F$312)</f>
        <v>0</v>
      </c>
      <c r="AM52" s="9" t="n">
        <f aca="false">SUMIF(konwertery!L$2:L$300,A52,Nasbi!K$14:K$312)</f>
        <v>0</v>
      </c>
      <c r="AO52" s="9" t="n">
        <f aca="false">SUMIF(StorytelE!C$2:C$300,A52,konwertery!M$2:M$300)+SUMIF(StorytelA!C$2:C$300,A52,konwertery!N$2:N$300)</f>
        <v>0</v>
      </c>
      <c r="AP52" s="9" t="n">
        <f aca="false">SUMIF(StorytelE!C$2:C$300,A52,konwertery!O$2:O$300)+SUMIF(StorytelA!C$2:C$300,A52,konwertery!P$2:P$300)</f>
        <v>0</v>
      </c>
      <c r="AR52" s="9" t="n">
        <f aca="false">SUMIF(konwertery!U$2:U$300,A52,Audioteka!E$4:E$302)</f>
        <v>0</v>
      </c>
      <c r="AS52" s="9" t="n">
        <f aca="false">SUMIF(konwertery!U$2:U$300,A52,Audioteka!O$4:O$302)</f>
        <v>0</v>
      </c>
      <c r="AU52" s="9" t="n">
        <f aca="false">SUMIF(Bookbeat!A$9:A$309,A52,Bookbeat!H$9:H$309)</f>
        <v>0</v>
      </c>
      <c r="AV52" s="10" t="n">
        <f aca="false">SUMIF(Bookbeat!A$9:A$309,A52,Bookbeat!L$9:L$309)</f>
        <v>0</v>
      </c>
    </row>
    <row r="53" customFormat="false" ht="15.75" hidden="false" customHeight="false" outlineLevel="0" collapsed="false">
      <c r="A53" s="11" t="n">
        <v>9788365156198</v>
      </c>
      <c r="B53" s="8" t="s">
        <v>66</v>
      </c>
      <c r="E53" s="3" t="n">
        <f aca="false">H53+K53</f>
        <v>0</v>
      </c>
      <c r="F53" s="4" t="n">
        <f aca="false">I53+L53</f>
        <v>0</v>
      </c>
      <c r="H53" s="9" t="n">
        <f aca="false">SUMIF(konwertery!A$2:A$300,A53,Histmag!C$2:C$300)</f>
        <v>0</v>
      </c>
      <c r="I53" s="10" t="n">
        <f aca="false">SUMIF(konwertery!A$2:A$300,A53,konwertery!B$2:B$300) * 0.97</f>
        <v>0</v>
      </c>
      <c r="K53" s="7" t="n">
        <f aca="false">N53+Q53+T53+W53+Z53+AC53+AF53+AI53+AL53+AO53+AR53+AU53</f>
        <v>0</v>
      </c>
      <c r="L53" s="12" t="n">
        <f aca="false">O53+R53+U53+X53+AA53+AD53+AG53+AJ53+AM53+AP53+AS53+AV53</f>
        <v>0</v>
      </c>
      <c r="N53" s="9" t="n">
        <f aca="false">SUMIF(konwertery!C$2:C$300,A53,Virtualo!L$2:L$300)</f>
        <v>0</v>
      </c>
      <c r="O53" s="10" t="n">
        <f aca="false">(SUMIF(konwertery!C$2:C$300,A53,Virtualo!P$2:P$300))</f>
        <v>0</v>
      </c>
      <c r="Q53" s="9" t="n">
        <f aca="false">SUMIF(konwertery!D$2:D$300,A53,Empik!M$2:M$300)</f>
        <v>0</v>
      </c>
      <c r="R53" s="10" t="n">
        <f aca="false">SUMIF(konwertery!D$2:D$300,A53,Empik!N$2:N$300)</f>
        <v>0</v>
      </c>
      <c r="T53" s="13" t="n">
        <f aca="false">SUMIF(konwertery!E$2:E$300,A53,Publio!P$2:P$300)</f>
        <v>0</v>
      </c>
      <c r="U53" s="14" t="n">
        <f aca="false">SUMIF(konwertery!E$2:E$300,A53,konwertery!F$2:F$300)</f>
        <v>0</v>
      </c>
      <c r="W53" s="9" t="n">
        <f aca="false">SUMIF(Legimi!D$2:D$300,A53,Legimi!G$2:G$300)</f>
        <v>0</v>
      </c>
      <c r="X53" s="10" t="n">
        <f aca="false">SUMIF(Legimi!D$2:D$300,A53,Legimi!H$2:H$300)</f>
        <v>0</v>
      </c>
      <c r="Z53" s="9" t="n">
        <f aca="false">SUMIF(konwertery!G$2:G$302,A53,Nexto!J$2:J$283)</f>
        <v>0</v>
      </c>
      <c r="AA53" s="9" t="n">
        <f aca="false">SUMIF(konwertery!G$2:G$302,A53,Nexto!N$2:P$302)</f>
        <v>0</v>
      </c>
      <c r="AC53" s="9" t="n">
        <f aca="false">SUMIF(Woblink!E$9:E$309,A53,Woblink!I$9:I$309)</f>
        <v>0</v>
      </c>
      <c r="AD53" s="10" t="n">
        <f aca="false">SUMIF(Woblink!E$14:E$314,A53,konwertery!R$2:R$300)</f>
        <v>0</v>
      </c>
      <c r="AF53" s="9" t="n">
        <f aca="false">SUM(SUMIF(konwertery!I$2:I$300,A53,Azymut!H$2:H$298),(SUMIF(konwertery!S$2:S$300,A53,AzymutB!H$2:H346)*2))</f>
        <v>0</v>
      </c>
      <c r="AG53" s="8" t="n">
        <f aca="false">SUM(SUMIF(konwertery!I$2:I$300,A53,konwertery!J$2:J$300),SUMIF(konwertery!S$2:S$300,A53,konwertery!T$2:T$300))</f>
        <v>0</v>
      </c>
      <c r="AI53" s="9" t="n">
        <f aca="false">SUMIF(konwertery!K$2:K$300,A53,Ebookpoint!F$14:F$312)</f>
        <v>0</v>
      </c>
      <c r="AJ53" s="9" t="n">
        <f aca="false">SUMIF(konwertery!K$2:K$300,A53,Ebookpoint!M$14:M$312)</f>
        <v>0</v>
      </c>
      <c r="AL53" s="9" t="n">
        <f aca="false">SUMIF(konwertery!L$2:L$300,A53,Nasbi!F$14:F$312)</f>
        <v>0</v>
      </c>
      <c r="AM53" s="9" t="n">
        <f aca="false">SUMIF(konwertery!L$2:L$300,A53,Nasbi!K$14:K$312)</f>
        <v>0</v>
      </c>
      <c r="AO53" s="9" t="n">
        <f aca="false">SUMIF(StorytelE!C$2:C$300,A53,konwertery!M$2:M$300)+SUMIF(StorytelA!C$2:C$300,A53,konwertery!N$2:N$300)</f>
        <v>0</v>
      </c>
      <c r="AP53" s="9" t="n">
        <f aca="false">SUMIF(StorytelE!C$2:C$300,A53,konwertery!O$2:O$300)+SUMIF(StorytelA!C$2:C$300,A53,konwertery!P$2:P$300)</f>
        <v>0</v>
      </c>
      <c r="AR53" s="9" t="n">
        <f aca="false">SUMIF(konwertery!U$2:U$300,A53,Audioteka!E$4:E$302)</f>
        <v>0</v>
      </c>
      <c r="AS53" s="9" t="n">
        <f aca="false">SUMIF(konwertery!U$2:U$300,A53,Audioteka!O$4:O$302)</f>
        <v>0</v>
      </c>
      <c r="AU53" s="9" t="n">
        <f aca="false">SUMIF(Bookbeat!A$9:A$309,A53,Bookbeat!H$9:H$309)</f>
        <v>0</v>
      </c>
      <c r="AV53" s="10" t="n">
        <f aca="false">SUMIF(Bookbeat!A$9:A$309,A53,Bookbeat!L$9:L$309)</f>
        <v>0</v>
      </c>
    </row>
    <row r="54" customFormat="false" ht="15.75" hidden="false" customHeight="false" outlineLevel="0" collapsed="false">
      <c r="A54" s="11" t="n">
        <v>9788365156747</v>
      </c>
      <c r="B54" s="15" t="s">
        <v>67</v>
      </c>
      <c r="E54" s="3" t="n">
        <f aca="false">H54+K54</f>
        <v>45</v>
      </c>
      <c r="F54" s="4" t="n">
        <f aca="false">I54+L54</f>
        <v>136.06</v>
      </c>
      <c r="H54" s="9" t="n">
        <f aca="false">SUMIF(konwertery!A$2:A$300,A54,Histmag!C$2:C$300)</f>
        <v>0</v>
      </c>
      <c r="I54" s="10" t="n">
        <f aca="false">SUMIF(konwertery!A$2:A$300,A54,konwertery!B$2:B$300) * 0.97</f>
        <v>0</v>
      </c>
      <c r="K54" s="7" t="n">
        <f aca="false">N54+Q54+T54+W54+Z54+AC54+AF54+AI54+AL54+AO54+AR54+AU54</f>
        <v>45</v>
      </c>
      <c r="L54" s="12" t="n">
        <f aca="false">O54+R54+U54+X54+AA54+AD54+AG54+AJ54+AM54+AP54+AS54+AV54</f>
        <v>136.06</v>
      </c>
      <c r="N54" s="9" t="n">
        <f aca="false">SUMIF(konwertery!C$2:C$300,A54,Virtualo!L$2:L$300)</f>
        <v>1</v>
      </c>
      <c r="O54" s="10" t="n">
        <f aca="false">(SUMIF(konwertery!C$2:C$300,A54,Virtualo!P$2:P$300))</f>
        <v>9.22</v>
      </c>
      <c r="Q54" s="9" t="n">
        <f aca="false">SUMIF(konwertery!D$2:D$300,A54,Empik!M$2:M$300)</f>
        <v>6</v>
      </c>
      <c r="R54" s="10" t="n">
        <f aca="false">SUMIF(konwertery!D$2:D$300,A54,Empik!N$2:N$300)</f>
        <v>50</v>
      </c>
      <c r="T54" s="13" t="n">
        <f aca="false">SUMIF(konwertery!E$2:E$300,A54,Publio!P$2:P$300)</f>
        <v>0</v>
      </c>
      <c r="U54" s="14" t="n">
        <f aca="false">SUMIF(konwertery!E$2:E$300,A54,konwertery!F$2:F$300)</f>
        <v>0</v>
      </c>
      <c r="W54" s="9" t="n">
        <f aca="false">SUMIF(Legimi!D$2:D$300,A54,Legimi!G$2:G$300)</f>
        <v>0</v>
      </c>
      <c r="X54" s="10" t="n">
        <f aca="false">SUMIF(Legimi!D$2:D$300,A54,Legimi!H$2:H$300)</f>
        <v>0</v>
      </c>
      <c r="Z54" s="9" t="n">
        <f aca="false">SUMIF(konwertery!G$2:G$302,A54,Nexto!J$2:J$283)</f>
        <v>0</v>
      </c>
      <c r="AA54" s="9" t="n">
        <f aca="false">SUMIF(konwertery!G$2:G$302,A54,Nexto!N$2:P$302)</f>
        <v>0</v>
      </c>
      <c r="AC54" s="9" t="n">
        <f aca="false">SUMIF(Woblink!E$9:E$309,A54,Woblink!I$9:I$309)</f>
        <v>0</v>
      </c>
      <c r="AD54" s="10" t="n">
        <f aca="false">SUMIF(Woblink!E$14:E$314,A54,konwertery!R$2:R$300)</f>
        <v>0</v>
      </c>
      <c r="AF54" s="9" t="n">
        <f aca="false">SUM(SUMIF(konwertery!I$2:I$300,A54,Azymut!H$2:H$298),(SUMIF(konwertery!S$2:S$300,A54,AzymutB!H$2:H347)*2))</f>
        <v>0</v>
      </c>
      <c r="AG54" s="8" t="n">
        <f aca="false">SUM(SUMIF(konwertery!I$2:I$300,A54,konwertery!J$2:J$300),SUMIF(konwertery!S$2:S$300,A54,konwertery!T$2:T$300))</f>
        <v>0</v>
      </c>
      <c r="AI54" s="9" t="n">
        <f aca="false">SUMIF(konwertery!K$2:K$300,A54,Ebookpoint!F$14:F$312)</f>
        <v>0</v>
      </c>
      <c r="AJ54" s="9" t="n">
        <f aca="false">SUMIF(konwertery!K$2:K$300,A54,Ebookpoint!M$14:M$312)</f>
        <v>0</v>
      </c>
      <c r="AL54" s="9" t="n">
        <f aca="false">SUMIF(konwertery!L$2:L$300,A54,Nasbi!F$14:F$312)</f>
        <v>0</v>
      </c>
      <c r="AM54" s="9" t="n">
        <f aca="false">SUMIF(konwertery!L$2:L$300,A54,Nasbi!K$14:K$312)</f>
        <v>0</v>
      </c>
      <c r="AO54" s="9" t="n">
        <f aca="false">SUMIF(StorytelE!C$2:C$300,A54,konwertery!M$2:M$300)+SUMIF(StorytelA!C$2:C$300,A54,konwertery!N$2:N$300)</f>
        <v>35</v>
      </c>
      <c r="AP54" s="9" t="n">
        <f aca="false">SUMIF(StorytelE!C$2:C$300,A54,konwertery!O$2:O$300)+SUMIF(StorytelA!C$2:C$300,A54,konwertery!P$2:P$300)</f>
        <v>62.85</v>
      </c>
      <c r="AR54" s="9" t="n">
        <f aca="false">SUMIF(konwertery!U$2:U$300,A54,Audioteka!E$4:E$302)</f>
        <v>1</v>
      </c>
      <c r="AS54" s="9" t="n">
        <f aca="false">SUMIF(konwertery!U$2:U$300,A54,Audioteka!O$4:O$302)</f>
        <v>8.51</v>
      </c>
      <c r="AU54" s="9" t="n">
        <f aca="false">SUMIF(Bookbeat!A$9:A$309,A54,Bookbeat!H$9:H$309)</f>
        <v>2</v>
      </c>
      <c r="AV54" s="10" t="n">
        <f aca="false">SUMIF(Bookbeat!A$9:A$309,A54,Bookbeat!L$9:L$309)</f>
        <v>5.48</v>
      </c>
    </row>
    <row r="55" customFormat="false" ht="15.75" hidden="false" customHeight="false" outlineLevel="0" collapsed="false">
      <c r="A55" s="11" t="n">
        <v>9788365156679</v>
      </c>
      <c r="B55" s="8" t="s">
        <v>68</v>
      </c>
      <c r="E55" s="3" t="n">
        <f aca="false">H55+K55</f>
        <v>1</v>
      </c>
      <c r="F55" s="4" t="n">
        <f aca="false">I55+L55</f>
        <v>7.1392</v>
      </c>
      <c r="H55" s="9" t="n">
        <f aca="false">SUMIF(konwertery!A$2:A$300,A55,Histmag!C$2:C$300)</f>
        <v>1</v>
      </c>
      <c r="I55" s="10" t="n">
        <f aca="false">SUMIF(konwertery!A$2:A$300,A55,konwertery!B$2:B$300) * 0.97</f>
        <v>7.1392</v>
      </c>
      <c r="K55" s="7" t="n">
        <f aca="false">N55+Q55+T55+W55+Z55+AC55+AF55+AI55+AL55+AO55+AR55+AU55</f>
        <v>0</v>
      </c>
      <c r="L55" s="12" t="n">
        <f aca="false">O55+R55+U55+X55+AA55+AD55+AG55+AJ55+AM55+AP55+AS55+AV55</f>
        <v>0</v>
      </c>
      <c r="N55" s="9" t="n">
        <f aca="false">SUMIF(konwertery!C$2:C$300,A55,Virtualo!L$2:L$300)</f>
        <v>0</v>
      </c>
      <c r="O55" s="10" t="n">
        <f aca="false">(SUMIF(konwertery!C$2:C$300,A55,Virtualo!P$2:P$300))</f>
        <v>0</v>
      </c>
      <c r="Q55" s="9" t="n">
        <f aca="false">SUMIF(konwertery!D$2:D$300,A55,Empik!M$2:M$300)</f>
        <v>0</v>
      </c>
      <c r="R55" s="10" t="n">
        <f aca="false">SUMIF(konwertery!D$2:D$300,A55,Empik!N$2:N$300)</f>
        <v>0</v>
      </c>
      <c r="T55" s="13" t="n">
        <f aca="false">SUMIF(konwertery!E$2:E$300,A55,Publio!P$2:P$300)</f>
        <v>0</v>
      </c>
      <c r="U55" s="14" t="n">
        <f aca="false">SUMIF(konwertery!E$2:E$300,A55,konwertery!F$2:F$300)</f>
        <v>0</v>
      </c>
      <c r="W55" s="9" t="n">
        <f aca="false">SUMIF(Legimi!D$2:D$300,A55,Legimi!G$2:G$300)</f>
        <v>0</v>
      </c>
      <c r="X55" s="10" t="n">
        <f aca="false">SUMIF(Legimi!D$2:D$300,A55,Legimi!H$2:H$300)</f>
        <v>0</v>
      </c>
      <c r="Z55" s="9" t="n">
        <f aca="false">SUMIF(konwertery!G$2:G$302,A55,Nexto!J$2:J$283)</f>
        <v>0</v>
      </c>
      <c r="AA55" s="9" t="n">
        <f aca="false">SUMIF(konwertery!G$2:G$302,A55,Nexto!N$2:P$302)</f>
        <v>0</v>
      </c>
      <c r="AC55" s="9" t="n">
        <f aca="false">SUMIF(Woblink!E$9:E$309,A55,Woblink!I$9:I$309)</f>
        <v>0</v>
      </c>
      <c r="AD55" s="10" t="n">
        <f aca="false">SUMIF(Woblink!E$14:E$314,A55,konwertery!R$2:R$300)</f>
        <v>0</v>
      </c>
      <c r="AF55" s="9" t="n">
        <f aca="false">SUM(SUMIF(konwertery!I$2:I$300,A55,Azymut!H$2:H$298),(SUMIF(konwertery!S$2:S$300,A55,AzymutB!H$2:H348)*2))</f>
        <v>0</v>
      </c>
      <c r="AG55" s="8" t="n">
        <f aca="false">SUM(SUMIF(konwertery!I$2:I$300,A55,konwertery!J$2:J$300),SUMIF(konwertery!S$2:S$300,A55,konwertery!T$2:T$300))</f>
        <v>0</v>
      </c>
      <c r="AI55" s="9" t="n">
        <f aca="false">SUMIF(konwertery!K$2:K$300,A55,Ebookpoint!F$14:F$312)</f>
        <v>0</v>
      </c>
      <c r="AJ55" s="9" t="n">
        <f aca="false">SUMIF(konwertery!K$2:K$300,A55,Ebookpoint!M$14:M$312)</f>
        <v>0</v>
      </c>
      <c r="AL55" s="9" t="n">
        <f aca="false">SUMIF(konwertery!L$2:L$300,A55,Nasbi!F$14:F$312)</f>
        <v>0</v>
      </c>
      <c r="AM55" s="9" t="n">
        <f aca="false">SUMIF(konwertery!L$2:L$300,A55,Nasbi!K$14:K$312)</f>
        <v>0</v>
      </c>
      <c r="AO55" s="9" t="n">
        <f aca="false">SUMIF(StorytelE!C$2:C$300,A55,konwertery!M$2:M$300)+SUMIF(StorytelA!C$2:C$300,A55,konwertery!N$2:N$300)</f>
        <v>0</v>
      </c>
      <c r="AP55" s="9" t="n">
        <f aca="false">SUMIF(StorytelE!C$2:C$300,A55,konwertery!O$2:O$300)+SUMIF(StorytelA!C$2:C$300,A55,konwertery!P$2:P$300)</f>
        <v>0</v>
      </c>
      <c r="AR55" s="9" t="n">
        <f aca="false">SUMIF(konwertery!U$2:U$300,A55,Audioteka!E$4:E$302)</f>
        <v>0</v>
      </c>
      <c r="AS55" s="9" t="n">
        <f aca="false">SUMIF(konwertery!U$2:U$300,A55,Audioteka!O$4:O$302)</f>
        <v>0</v>
      </c>
      <c r="AU55" s="9" t="n">
        <f aca="false">SUMIF(Bookbeat!A$9:A$309,A55,Bookbeat!H$9:H$309)</f>
        <v>0</v>
      </c>
      <c r="AV55" s="10" t="n">
        <f aca="false">SUMIF(Bookbeat!A$9:A$309,A55,Bookbeat!L$9:L$309)</f>
        <v>0</v>
      </c>
    </row>
    <row r="56" customFormat="false" ht="15.75" hidden="false" customHeight="false" outlineLevel="0" collapsed="false">
      <c r="A56" s="11" t="n">
        <v>9788365156112</v>
      </c>
      <c r="B56" s="8" t="s">
        <v>69</v>
      </c>
      <c r="E56" s="3" t="n">
        <f aca="false">H56+K56</f>
        <v>4</v>
      </c>
      <c r="F56" s="4" t="n">
        <f aca="false">I56+L56</f>
        <v>17.27</v>
      </c>
      <c r="H56" s="9" t="n">
        <f aca="false">SUMIF(konwertery!A$2:A$300,A56,Histmag!C$2:C$300)</f>
        <v>0</v>
      </c>
      <c r="I56" s="10" t="n">
        <f aca="false">SUMIF(konwertery!A$2:A$300,A56,konwertery!B$2:B$300) * 0.97</f>
        <v>0</v>
      </c>
      <c r="K56" s="7" t="n">
        <f aca="false">N56+Q56+T56+W56+Z56+AC56+AF56+AI56+AL56+AO56+AR56+AU56</f>
        <v>4</v>
      </c>
      <c r="L56" s="12" t="n">
        <f aca="false">O56+R56+U56+X56+AA56+AD56+AG56+AJ56+AM56+AP56+AS56+AV56</f>
        <v>17.27</v>
      </c>
      <c r="N56" s="9" t="n">
        <f aca="false">SUMIF(konwertery!C$2:C$300,A56,Virtualo!L$2:L$300)</f>
        <v>0</v>
      </c>
      <c r="O56" s="10" t="n">
        <f aca="false">(SUMIF(konwertery!C$2:C$300,A56,Virtualo!P$2:P$300))</f>
        <v>0</v>
      </c>
      <c r="Q56" s="9" t="n">
        <f aca="false">SUMIF(konwertery!D$2:D$300,A56,Empik!M$2:M$300)</f>
        <v>0</v>
      </c>
      <c r="R56" s="10" t="n">
        <f aca="false">SUMIF(konwertery!D$2:D$300,A56,Empik!N$2:N$300)</f>
        <v>0</v>
      </c>
      <c r="T56" s="13" t="n">
        <f aca="false">SUMIF(konwertery!E$2:E$300,A56,Publio!P$2:P$300)</f>
        <v>1</v>
      </c>
      <c r="U56" s="14" t="n">
        <f aca="false">SUMIF(konwertery!E$2:E$300,A56,konwertery!F$2:F$300)</f>
        <v>6.28</v>
      </c>
      <c r="W56" s="9" t="n">
        <f aca="false">SUMIF(Legimi!D$2:D$300,A56,Legimi!G$2:G$300)</f>
        <v>0</v>
      </c>
      <c r="X56" s="10" t="n">
        <f aca="false">SUMIF(Legimi!D$2:D$300,A56,Legimi!H$2:H$300)</f>
        <v>0</v>
      </c>
      <c r="Z56" s="9" t="n">
        <f aca="false">SUMIF(konwertery!G$2:G$302,A56,Nexto!J$2:J$283)</f>
        <v>0</v>
      </c>
      <c r="AA56" s="9" t="n">
        <f aca="false">SUMIF(konwertery!G$2:G$302,A56,Nexto!N$2:P$302)</f>
        <v>0</v>
      </c>
      <c r="AC56" s="9" t="n">
        <f aca="false">SUMIF(Woblink!E$9:E$309,A56,Woblink!I$9:I$309)</f>
        <v>0</v>
      </c>
      <c r="AD56" s="10" t="n">
        <f aca="false">SUMIF(Woblink!E$14:E$314,A56,konwertery!R$2:R$300)</f>
        <v>0</v>
      </c>
      <c r="AF56" s="9" t="n">
        <f aca="false">SUM(SUMIF(konwertery!I$2:I$300,A56,Azymut!H$2:H$298),(SUMIF(konwertery!S$2:S$300,A56,AzymutB!H$2:H349)*2))</f>
        <v>0</v>
      </c>
      <c r="AG56" s="8" t="n">
        <f aca="false">SUM(SUMIF(konwertery!I$2:I$300,A56,konwertery!J$2:J$300),SUMIF(konwertery!S$2:S$300,A56,konwertery!T$2:T$300))</f>
        <v>0</v>
      </c>
      <c r="AI56" s="9" t="n">
        <f aca="false">SUMIF(konwertery!K$2:K$300,A56,Ebookpoint!F$14:F$312)</f>
        <v>1</v>
      </c>
      <c r="AJ56" s="9" t="n">
        <f aca="false">SUMIF(konwertery!K$2:K$300,A56,Ebookpoint!M$14:M$312)</f>
        <v>7.87</v>
      </c>
      <c r="AL56" s="9" t="n">
        <f aca="false">SUMIF(konwertery!L$2:L$300,A56,Nasbi!F$14:F$312)</f>
        <v>0</v>
      </c>
      <c r="AM56" s="9" t="n">
        <f aca="false">SUMIF(konwertery!L$2:L$300,A56,Nasbi!K$14:K$312)</f>
        <v>0</v>
      </c>
      <c r="AO56" s="9" t="n">
        <f aca="false">SUMIF(StorytelE!C$2:C$300,A56,konwertery!M$2:M$300)+SUMIF(StorytelA!C$2:C$300,A56,konwertery!N$2:N$300)</f>
        <v>2</v>
      </c>
      <c r="AP56" s="9" t="n">
        <f aca="false">SUMIF(StorytelE!C$2:C$300,A56,konwertery!O$2:O$300)+SUMIF(StorytelA!C$2:C$300,A56,konwertery!P$2:P$300)</f>
        <v>3.12</v>
      </c>
      <c r="AR56" s="9" t="n">
        <f aca="false">SUMIF(konwertery!U$2:U$300,A56,Audioteka!E$4:E$302)</f>
        <v>0</v>
      </c>
      <c r="AS56" s="9" t="n">
        <f aca="false">SUMIF(konwertery!U$2:U$300,A56,Audioteka!O$4:O$302)</f>
        <v>0</v>
      </c>
      <c r="AU56" s="9" t="n">
        <f aca="false">SUMIF(Bookbeat!A$9:A$309,A56,Bookbeat!H$9:H$309)</f>
        <v>0</v>
      </c>
      <c r="AV56" s="10" t="n">
        <f aca="false">SUMIF(Bookbeat!A$9:A$309,A56,Bookbeat!L$9:L$309)</f>
        <v>0</v>
      </c>
    </row>
    <row r="57" customFormat="false" ht="15.75" hidden="false" customHeight="false" outlineLevel="0" collapsed="false">
      <c r="A57" s="11" t="n">
        <v>9788365156846</v>
      </c>
      <c r="B57" s="15" t="s">
        <v>70</v>
      </c>
      <c r="E57" s="3" t="n">
        <f aca="false">H57+K57</f>
        <v>136</v>
      </c>
      <c r="F57" s="4" t="n">
        <f aca="false">I57+L57</f>
        <v>316.1732</v>
      </c>
      <c r="H57" s="9" t="n">
        <f aca="false">SUMIF(konwertery!A$2:A$300,A57,Histmag!C$2:C$300)</f>
        <v>2</v>
      </c>
      <c r="I57" s="10" t="n">
        <f aca="false">SUMIF(konwertery!A$2:A$300,A57,konwertery!B$2:B$300) * 0.97</f>
        <v>15.0932</v>
      </c>
      <c r="K57" s="7" t="n">
        <f aca="false">N57+Q57+T57+W57+Z57+AC57+AF57+AI57+AL57+AO57+AR57+AU57</f>
        <v>134</v>
      </c>
      <c r="L57" s="12" t="n">
        <f aca="false">O57+R57+U57+X57+AA57+AD57+AG57+AJ57+AM57+AP57+AS57+AV57</f>
        <v>301.08</v>
      </c>
      <c r="N57" s="9" t="n">
        <f aca="false">SUMIF(konwertery!C$2:C$300,A57,Virtualo!L$2:L$300)</f>
        <v>0</v>
      </c>
      <c r="O57" s="10" t="n">
        <f aca="false">(SUMIF(konwertery!C$2:C$300,A57,Virtualo!P$2:P$300))</f>
        <v>0</v>
      </c>
      <c r="Q57" s="9" t="n">
        <f aca="false">SUMIF(konwertery!D$2:D$300,A57,Empik!M$2:M$300)</f>
        <v>15</v>
      </c>
      <c r="R57" s="10" t="n">
        <f aca="false">SUMIF(konwertery!D$2:D$300,A57,Empik!N$2:N$300)</f>
        <v>93</v>
      </c>
      <c r="T57" s="13" t="n">
        <f aca="false">SUMIF(konwertery!E$2:E$300,A57,Publio!P$2:P$300)</f>
        <v>0</v>
      </c>
      <c r="U57" s="14" t="n">
        <f aca="false">SUMIF(konwertery!E$2:E$300,A57,konwertery!F$2:F$300)</f>
        <v>0</v>
      </c>
      <c r="W57" s="9" t="n">
        <f aca="false">SUMIF(Legimi!D$2:D$300,A57,Legimi!G$2:G$300)</f>
        <v>0</v>
      </c>
      <c r="X57" s="10" t="n">
        <f aca="false">SUMIF(Legimi!D$2:D$300,A57,Legimi!H$2:H$300)</f>
        <v>0</v>
      </c>
      <c r="Z57" s="9" t="n">
        <f aca="false">SUMIF(konwertery!G$2:G$302,A57,Nexto!J$2:J$283)</f>
        <v>0</v>
      </c>
      <c r="AA57" s="9" t="n">
        <f aca="false">SUMIF(konwertery!G$2:G$302,A57,Nexto!N$2:P$302)</f>
        <v>0</v>
      </c>
      <c r="AC57" s="9" t="n">
        <f aca="false">SUMIF(Woblink!E$9:E$309,A57,Woblink!I$9:I$309)</f>
        <v>0</v>
      </c>
      <c r="AD57" s="10" t="n">
        <f aca="false">SUMIF(Woblink!E$14:E$314,A57,konwertery!R$2:R$300)</f>
        <v>0</v>
      </c>
      <c r="AF57" s="9" t="n">
        <f aca="false">SUM(SUMIF(konwertery!I$2:I$300,A57,Azymut!H$2:H$298),(SUMIF(konwertery!S$2:S$300,A57,AzymutB!H$2:H350)*2))</f>
        <v>0</v>
      </c>
      <c r="AG57" s="8" t="n">
        <f aca="false">SUM(SUMIF(konwertery!I$2:I$300,A57,konwertery!J$2:J$300),SUMIF(konwertery!S$2:S$300,A57,konwertery!T$2:T$300))</f>
        <v>0</v>
      </c>
      <c r="AI57" s="9" t="n">
        <f aca="false">SUMIF(konwertery!K$2:K$300,A57,Ebookpoint!F$14:F$312)</f>
        <v>1</v>
      </c>
      <c r="AJ57" s="9" t="n">
        <f aca="false">SUMIF(konwertery!K$2:K$300,A57,Ebookpoint!M$14:M$312)</f>
        <v>7.87</v>
      </c>
      <c r="AL57" s="9" t="n">
        <f aca="false">SUMIF(konwertery!L$2:L$300,A57,Nasbi!F$14:F$312)</f>
        <v>0</v>
      </c>
      <c r="AM57" s="9" t="n">
        <f aca="false">SUMIF(konwertery!L$2:L$300,A57,Nasbi!K$14:K$312)</f>
        <v>0</v>
      </c>
      <c r="AO57" s="9" t="n">
        <f aca="false">SUMIF(StorytelE!C$2:C$300,A57,konwertery!M$2:M$300)+SUMIF(StorytelA!C$2:C$300,A57,konwertery!N$2:N$300)</f>
        <v>111</v>
      </c>
      <c r="AP57" s="9" t="n">
        <f aca="false">SUMIF(StorytelE!C$2:C$300,A57,konwertery!O$2:O$300)+SUMIF(StorytelA!C$2:C$300,A57,konwertery!P$2:P$300)</f>
        <v>151.74</v>
      </c>
      <c r="AR57" s="9" t="n">
        <f aca="false">SUMIF(konwertery!U$2:U$300,A57,Audioteka!E$4:E$302)</f>
        <v>5</v>
      </c>
      <c r="AS57" s="9" t="n">
        <f aca="false">SUMIF(konwertery!U$2:U$300,A57,Audioteka!O$4:O$302)</f>
        <v>44.31</v>
      </c>
      <c r="AU57" s="9" t="n">
        <f aca="false">SUMIF(Bookbeat!A$9:A$309,A57,Bookbeat!H$9:H$309)</f>
        <v>2</v>
      </c>
      <c r="AV57" s="10" t="n">
        <f aca="false">SUMIF(Bookbeat!A$9:A$309,A57,Bookbeat!L$9:L$309)</f>
        <v>4.16</v>
      </c>
    </row>
    <row r="58" customFormat="false" ht="15.75" hidden="false" customHeight="false" outlineLevel="0" collapsed="false">
      <c r="A58" s="11" t="n">
        <v>9788365156075</v>
      </c>
      <c r="B58" s="8" t="s">
        <v>71</v>
      </c>
      <c r="E58" s="3" t="n">
        <f aca="false">H58+K58</f>
        <v>2</v>
      </c>
      <c r="F58" s="4" t="n">
        <f aca="false">I58+L58</f>
        <v>12.0474</v>
      </c>
      <c r="H58" s="9" t="n">
        <f aca="false">SUMIF(konwertery!A$2:A$300,A58,Histmag!C$2:C$300)</f>
        <v>2</v>
      </c>
      <c r="I58" s="10" t="n">
        <f aca="false">SUMIF(konwertery!A$2:A$300,A58,konwertery!B$2:B$300) * 0.97</f>
        <v>12.0474</v>
      </c>
      <c r="K58" s="7" t="n">
        <f aca="false">N58+Q58+T58+W58+Z58+AC58+AF58+AI58+AL58+AO58+AR58+AU58</f>
        <v>0</v>
      </c>
      <c r="L58" s="12" t="n">
        <f aca="false">O58+R58+U58+X58+AA58+AD58+AG58+AJ58+AM58+AP58+AS58+AV58</f>
        <v>0</v>
      </c>
      <c r="N58" s="9" t="n">
        <f aca="false">SUMIF(konwertery!C$2:C$300,A58,Virtualo!L$2:L$300)</f>
        <v>0</v>
      </c>
      <c r="O58" s="10" t="n">
        <f aca="false">(SUMIF(konwertery!C$2:C$300,A58,Virtualo!P$2:P$300))</f>
        <v>0</v>
      </c>
      <c r="Q58" s="9" t="n">
        <f aca="false">SUMIF(konwertery!D$2:D$300,A58,Empik!M$2:M$300)</f>
        <v>0</v>
      </c>
      <c r="R58" s="10" t="n">
        <f aca="false">SUMIF(konwertery!D$2:D$300,A58,Empik!N$2:N$300)</f>
        <v>0</v>
      </c>
      <c r="T58" s="13" t="n">
        <f aca="false">SUMIF(konwertery!E$2:E$300,A58,Publio!P$2:P$300)</f>
        <v>0</v>
      </c>
      <c r="U58" s="14" t="n">
        <f aca="false">SUMIF(konwertery!E$2:E$300,A58,konwertery!F$2:F$300)</f>
        <v>0</v>
      </c>
      <c r="W58" s="9" t="n">
        <f aca="false">SUMIF(Legimi!D$2:D$300,A58,Legimi!G$2:G$300)</f>
        <v>0</v>
      </c>
      <c r="X58" s="10" t="n">
        <f aca="false">SUMIF(Legimi!D$2:D$300,A58,Legimi!H$2:H$300)</f>
        <v>0</v>
      </c>
      <c r="Z58" s="9" t="n">
        <f aca="false">SUMIF(konwertery!G$2:G$302,A58,Nexto!J$2:J$283)</f>
        <v>0</v>
      </c>
      <c r="AA58" s="9" t="n">
        <f aca="false">SUMIF(konwertery!G$2:G$302,A58,Nexto!N$2:P$302)</f>
        <v>0</v>
      </c>
      <c r="AC58" s="9" t="n">
        <f aca="false">SUMIF(Woblink!E$9:E$309,A58,Woblink!I$9:I$309)</f>
        <v>0</v>
      </c>
      <c r="AD58" s="10" t="n">
        <f aca="false">SUMIF(Woblink!E$14:E$314,A58,konwertery!R$2:R$300)</f>
        <v>0</v>
      </c>
      <c r="AF58" s="9" t="n">
        <f aca="false">SUM(SUMIF(konwertery!I$2:I$300,A58,Azymut!H$2:H$298),(SUMIF(konwertery!S$2:S$300,A58,AzymutB!H$2:H350)*2))</f>
        <v>0</v>
      </c>
      <c r="AG58" s="8" t="n">
        <f aca="false">SUM(SUMIF(konwertery!I$2:I$300,A58,konwertery!J$2:J$300),SUMIF(konwertery!S$2:S$300,A58,konwertery!T$2:T$300))</f>
        <v>0</v>
      </c>
      <c r="AI58" s="9" t="n">
        <f aca="false">SUMIF(konwertery!K$2:K$300,A58,Ebookpoint!F$14:F$312)</f>
        <v>0</v>
      </c>
      <c r="AJ58" s="9" t="n">
        <f aca="false">SUMIF(konwertery!K$2:K$300,A58,Ebookpoint!M$14:M$312)</f>
        <v>0</v>
      </c>
      <c r="AL58" s="9" t="n">
        <f aca="false">SUMIF(konwertery!L$2:L$300,A58,Nasbi!F$14:F$312)</f>
        <v>0</v>
      </c>
      <c r="AM58" s="9" t="n">
        <f aca="false">SUMIF(konwertery!L$2:L$300,A58,Nasbi!K$14:K$312)</f>
        <v>0</v>
      </c>
      <c r="AO58" s="9" t="n">
        <f aca="false">SUMIF(StorytelE!C$2:C$300,A58,konwertery!M$2:M$300)+SUMIF(StorytelA!C$2:C$300,A58,konwertery!N$2:N$300)</f>
        <v>0</v>
      </c>
      <c r="AP58" s="9" t="n">
        <f aca="false">SUMIF(StorytelE!C$2:C$300,A58,konwertery!O$2:O$300)+SUMIF(StorytelA!C$2:C$300,A58,konwertery!P$2:P$300)</f>
        <v>0</v>
      </c>
      <c r="AR58" s="9" t="n">
        <f aca="false">SUMIF(konwertery!U$2:U$300,A58,Audioteka!E$4:E$302)</f>
        <v>0</v>
      </c>
      <c r="AS58" s="9" t="n">
        <f aca="false">SUMIF(konwertery!U$2:U$300,A58,Audioteka!O$4:O$302)</f>
        <v>0</v>
      </c>
      <c r="AU58" s="9" t="n">
        <f aca="false">SUMIF(Bookbeat!A$9:A$309,A58,Bookbeat!H$9:H$309)</f>
        <v>0</v>
      </c>
      <c r="AV58" s="10" t="n">
        <f aca="false">SUMIF(Bookbeat!A$9:A$309,A58,Bookbeat!L$9:L$309)</f>
        <v>0</v>
      </c>
    </row>
    <row r="59" customFormat="false" ht="15.75" hidden="false" customHeight="false" outlineLevel="0" collapsed="false">
      <c r="A59" s="11" t="n">
        <v>9788365156709</v>
      </c>
      <c r="B59" s="15" t="s">
        <v>72</v>
      </c>
      <c r="E59" s="3" t="n">
        <f aca="false">H59+K59</f>
        <v>40</v>
      </c>
      <c r="F59" s="4" t="n">
        <f aca="false">I59+L59</f>
        <v>82.5774</v>
      </c>
      <c r="H59" s="9" t="n">
        <f aca="false">SUMIF(konwertery!A$2:A$300,A59,Histmag!C$2:C$300)</f>
        <v>2</v>
      </c>
      <c r="I59" s="10" t="n">
        <f aca="false">SUMIF(konwertery!A$2:A$300,A59,konwertery!B$2:B$300) * 0.97</f>
        <v>12.0474</v>
      </c>
      <c r="K59" s="7" t="n">
        <f aca="false">N59+Q59+T59+W59+Z59+AC59+AF59+AI59+AL59+AO59+AR59+AU59</f>
        <v>38</v>
      </c>
      <c r="L59" s="12" t="n">
        <f aca="false">O59+R59+U59+X59+AA59+AD59+AG59+AJ59+AM59+AP59+AS59+AV59</f>
        <v>70.53</v>
      </c>
      <c r="N59" s="9" t="n">
        <f aca="false">SUMIF(konwertery!C$2:C$300,A59,Virtualo!L$2:L$300)</f>
        <v>1</v>
      </c>
      <c r="O59" s="10" t="n">
        <f aca="false">(SUMIF(konwertery!C$2:C$300,A59,Virtualo!P$2:P$300))</f>
        <v>6.74</v>
      </c>
      <c r="Q59" s="9" t="n">
        <f aca="false">SUMIF(konwertery!D$2:D$300,A59,Empik!M$2:M$300)</f>
        <v>3</v>
      </c>
      <c r="R59" s="10" t="n">
        <f aca="false">SUMIF(konwertery!D$2:D$300,A59,Empik!N$2:N$300)</f>
        <v>25</v>
      </c>
      <c r="T59" s="13" t="n">
        <f aca="false">SUMIF(konwertery!E$2:E$300,A59,Publio!P$2:P$300)</f>
        <v>0</v>
      </c>
      <c r="U59" s="14" t="n">
        <f aca="false">SUMIF(konwertery!E$2:E$300,A59,konwertery!F$2:F$300)</f>
        <v>0</v>
      </c>
      <c r="W59" s="9" t="n">
        <f aca="false">SUMIF(Legimi!D$2:D$300,A59,Legimi!G$2:G$300)</f>
        <v>1</v>
      </c>
      <c r="X59" s="10" t="n">
        <f aca="false">SUMIF(Legimi!D$2:D$300,A59,Legimi!H$2:H$300)</f>
        <v>7.27</v>
      </c>
      <c r="Z59" s="9" t="n">
        <f aca="false">SUMIF(konwertery!G$2:G$302,A59,Nexto!J$2:J$283)</f>
        <v>0</v>
      </c>
      <c r="AA59" s="9" t="n">
        <f aca="false">SUMIF(konwertery!G$2:G$302,A59,Nexto!N$2:P$302)</f>
        <v>0</v>
      </c>
      <c r="AC59" s="9" t="n">
        <f aca="false">SUMIF(Woblink!E$9:E$309,A59,Woblink!I$9:I$309)</f>
        <v>0</v>
      </c>
      <c r="AD59" s="10" t="n">
        <f aca="false">SUMIF(Woblink!E$14:E$314,A59,konwertery!R$2:R$300)</f>
        <v>0</v>
      </c>
      <c r="AF59" s="9" t="n">
        <f aca="false">SUM(SUMIF(konwertery!I$2:I$300,A59,Azymut!H$2:H$298),(SUMIF(konwertery!S$2:S$300,A59,AzymutB!H$2:H351)*2))</f>
        <v>0</v>
      </c>
      <c r="AG59" s="8" t="n">
        <f aca="false">SUM(SUMIF(konwertery!I$2:I$300,A59,konwertery!J$2:J$300),SUMIF(konwertery!S$2:S$300,A59,konwertery!T$2:T$300))</f>
        <v>0</v>
      </c>
      <c r="AI59" s="9" t="n">
        <f aca="false">SUMIF(konwertery!K$2:K$300,A59,Ebookpoint!F$14:F$312)</f>
        <v>0</v>
      </c>
      <c r="AJ59" s="9" t="n">
        <f aca="false">SUMIF(konwertery!K$2:K$300,A59,Ebookpoint!M$14:M$312)</f>
        <v>0</v>
      </c>
      <c r="AL59" s="9" t="n">
        <f aca="false">SUMIF(konwertery!L$2:L$300,A59,Nasbi!F$14:F$312)</f>
        <v>0</v>
      </c>
      <c r="AM59" s="9" t="n">
        <f aca="false">SUMIF(konwertery!L$2:L$300,A59,Nasbi!K$14:K$312)</f>
        <v>0</v>
      </c>
      <c r="AO59" s="9" t="n">
        <f aca="false">SUMIF(StorytelE!C$2:C$300,A59,konwertery!M$2:M$300)+SUMIF(StorytelA!C$2:C$300,A59,konwertery!N$2:N$300)</f>
        <v>32</v>
      </c>
      <c r="AP59" s="9" t="n">
        <f aca="false">SUMIF(StorytelE!C$2:C$300,A59,konwertery!O$2:O$300)+SUMIF(StorytelA!C$2:C$300,A59,konwertery!P$2:P$300)</f>
        <v>30.16</v>
      </c>
      <c r="AR59" s="9" t="n">
        <f aca="false">SUMIF(konwertery!U$2:U$300,A59,Audioteka!E$4:E$302)</f>
        <v>0</v>
      </c>
      <c r="AS59" s="9" t="n">
        <f aca="false">SUMIF(konwertery!U$2:U$300,A59,Audioteka!O$4:O$302)</f>
        <v>0</v>
      </c>
      <c r="AU59" s="9" t="n">
        <f aca="false">SUMIF(Bookbeat!A$9:A$309,A59,Bookbeat!H$9:H$309)</f>
        <v>1</v>
      </c>
      <c r="AV59" s="10" t="n">
        <f aca="false">SUMIF(Bookbeat!A$9:A$309,A59,Bookbeat!L$9:L$309)</f>
        <v>1.36</v>
      </c>
    </row>
    <row r="60" customFormat="false" ht="15.75" hidden="false" customHeight="false" outlineLevel="0" collapsed="false">
      <c r="A60" s="11" t="n">
        <v>9788365156174</v>
      </c>
      <c r="B60" s="8" t="s">
        <v>73</v>
      </c>
      <c r="E60" s="3" t="n">
        <f aca="false">H60+K60</f>
        <v>0</v>
      </c>
      <c r="F60" s="4" t="n">
        <f aca="false">I60+L60</f>
        <v>0</v>
      </c>
      <c r="H60" s="9" t="n">
        <f aca="false">SUMIF(konwertery!A$2:A$300,A60,Histmag!C$2:C$300)</f>
        <v>0</v>
      </c>
      <c r="I60" s="10" t="n">
        <f aca="false">SUMIF(konwertery!A$2:A$300,A60,konwertery!B$2:B$300) * 0.97</f>
        <v>0</v>
      </c>
      <c r="K60" s="7" t="n">
        <f aca="false">N60+Q60+T60+W60+Z60+AC60+AF60+AI60+AL60+AO60+AR60+AU60</f>
        <v>0</v>
      </c>
      <c r="L60" s="12" t="n">
        <f aca="false">O60+R60+U60+X60+AA60+AD60+AG60+AJ60+AM60+AP60+AS60+AV60</f>
        <v>0</v>
      </c>
      <c r="N60" s="9" t="n">
        <f aca="false">SUMIF(konwertery!C$2:C$300,A60,Virtualo!L$2:L$300)</f>
        <v>0</v>
      </c>
      <c r="O60" s="10" t="n">
        <f aca="false">(SUMIF(konwertery!C$2:C$300,A60,Virtualo!P$2:P$300))</f>
        <v>0</v>
      </c>
      <c r="Q60" s="9" t="n">
        <f aca="false">SUMIF(konwertery!D$2:D$300,A60,Empik!M$2:M$300)</f>
        <v>0</v>
      </c>
      <c r="R60" s="10" t="n">
        <f aca="false">SUMIF(konwertery!D$2:D$300,A60,Empik!N$2:N$300)</f>
        <v>0</v>
      </c>
      <c r="T60" s="13" t="n">
        <f aca="false">SUMIF(konwertery!E$2:E$300,A60,Publio!P$2:P$300)</f>
        <v>0</v>
      </c>
      <c r="U60" s="14" t="n">
        <f aca="false">SUMIF(konwertery!E$2:E$300,A60,konwertery!F$2:F$300)</f>
        <v>0</v>
      </c>
      <c r="W60" s="9" t="n">
        <f aca="false">SUMIF(Legimi!D$2:D$300,A60,Legimi!G$2:G$300)</f>
        <v>0</v>
      </c>
      <c r="X60" s="10" t="n">
        <f aca="false">SUMIF(Legimi!D$2:D$300,A60,Legimi!H$2:H$300)</f>
        <v>0</v>
      </c>
      <c r="Z60" s="9" t="n">
        <f aca="false">SUMIF(konwertery!G$2:G$302,A60,Nexto!J$2:J$283)</f>
        <v>0</v>
      </c>
      <c r="AA60" s="9" t="n">
        <f aca="false">SUMIF(konwertery!G$2:G$302,A60,Nexto!N$2:P$302)</f>
        <v>0</v>
      </c>
      <c r="AC60" s="9" t="n">
        <f aca="false">SUMIF(Woblink!E$9:E$309,A60,Woblink!I$9:I$309)</f>
        <v>0</v>
      </c>
      <c r="AD60" s="10" t="n">
        <f aca="false">SUMIF(Woblink!E$14:E$314,A60,konwertery!R$2:R$300)</f>
        <v>0</v>
      </c>
      <c r="AF60" s="9" t="n">
        <f aca="false">SUM(SUMIF(konwertery!I$2:I$300,A60,Azymut!H$2:H$298),(SUMIF(konwertery!S$2:S$300,A60,AzymutB!H$2:H352)*2))</f>
        <v>0</v>
      </c>
      <c r="AG60" s="8" t="n">
        <f aca="false">SUM(SUMIF(konwertery!I$2:I$300,A60,konwertery!J$2:J$300),SUMIF(konwertery!S$2:S$300,A60,konwertery!T$2:T$300))</f>
        <v>0</v>
      </c>
      <c r="AI60" s="9" t="n">
        <f aca="false">SUMIF(konwertery!K$2:K$300,A60,Ebookpoint!F$14:F$312)</f>
        <v>0</v>
      </c>
      <c r="AJ60" s="9" t="n">
        <f aca="false">SUMIF(konwertery!K$2:K$300,A60,Ebookpoint!M$14:M$312)</f>
        <v>0</v>
      </c>
      <c r="AL60" s="9" t="n">
        <f aca="false">SUMIF(konwertery!L$2:L$300,A60,Nasbi!F$14:F$312)</f>
        <v>0</v>
      </c>
      <c r="AM60" s="9" t="n">
        <f aca="false">SUMIF(konwertery!L$2:L$300,A60,Nasbi!K$14:K$312)</f>
        <v>0</v>
      </c>
      <c r="AO60" s="9" t="n">
        <f aca="false">SUMIF(StorytelE!C$2:C$300,A60,konwertery!M$2:M$300)+SUMIF(StorytelA!C$2:C$300,A60,konwertery!N$2:N$300)</f>
        <v>0</v>
      </c>
      <c r="AP60" s="9" t="n">
        <f aca="false">SUMIF(StorytelE!C$2:C$300,A60,konwertery!O$2:O$300)+SUMIF(StorytelA!C$2:C$300,A60,konwertery!P$2:P$300)</f>
        <v>0</v>
      </c>
      <c r="AR60" s="9" t="n">
        <f aca="false">SUMIF(konwertery!U$2:U$300,A60,Audioteka!E$4:E$302)</f>
        <v>0</v>
      </c>
      <c r="AS60" s="9" t="n">
        <f aca="false">SUMIF(konwertery!U$2:U$300,A60,Audioteka!O$4:O$302)</f>
        <v>0</v>
      </c>
      <c r="AU60" s="9" t="n">
        <f aca="false">SUMIF(Bookbeat!A$9:A$309,A60,Bookbeat!H$9:H$309)</f>
        <v>0</v>
      </c>
      <c r="AV60" s="10" t="n">
        <f aca="false">SUMIF(Bookbeat!A$9:A$309,A60,Bookbeat!L$9:L$309)</f>
        <v>0</v>
      </c>
    </row>
    <row r="61" customFormat="false" ht="15.75" hidden="false" customHeight="false" outlineLevel="0" collapsed="false">
      <c r="A61" s="11" t="n">
        <v>9788365156297</v>
      </c>
      <c r="B61" s="8" t="s">
        <v>74</v>
      </c>
      <c r="E61" s="3" t="n">
        <f aca="false">H61+K61</f>
        <v>0</v>
      </c>
      <c r="F61" s="4" t="n">
        <f aca="false">I61+L61</f>
        <v>0</v>
      </c>
      <c r="H61" s="9" t="n">
        <f aca="false">SUMIF(konwertery!A$2:A$300,A61,Histmag!C$2:C$300)</f>
        <v>0</v>
      </c>
      <c r="I61" s="10" t="n">
        <f aca="false">SUMIF(konwertery!A$2:A$300,A61,konwertery!B$2:B$300) * 0.97</f>
        <v>0</v>
      </c>
      <c r="K61" s="7" t="n">
        <f aca="false">N61+Q61+T61+W61+Z61+AC61+AF61+AI61+AL61+AO61+AR61+AU61</f>
        <v>0</v>
      </c>
      <c r="L61" s="12" t="n">
        <f aca="false">O61+R61+U61+X61+AA61+AD61+AG61+AJ61+AM61+AP61+AS61+AV61</f>
        <v>0</v>
      </c>
      <c r="N61" s="9" t="n">
        <f aca="false">SUMIF(konwertery!C$2:C$300,A61,Virtualo!L$2:L$300)</f>
        <v>0</v>
      </c>
      <c r="O61" s="10" t="n">
        <f aca="false">(SUMIF(konwertery!C$2:C$300,A61,Virtualo!P$2:P$300))</f>
        <v>0</v>
      </c>
      <c r="Q61" s="9" t="n">
        <f aca="false">SUMIF(konwertery!D$2:D$300,A61,Empik!M$2:M$300)</f>
        <v>0</v>
      </c>
      <c r="R61" s="10" t="n">
        <f aca="false">SUMIF(konwertery!D$2:D$300,A61,Empik!N$2:N$300)</f>
        <v>0</v>
      </c>
      <c r="T61" s="13" t="n">
        <f aca="false">SUMIF(konwertery!E$2:E$300,A61,Publio!P$2:P$300)</f>
        <v>0</v>
      </c>
      <c r="U61" s="14" t="n">
        <f aca="false">SUMIF(konwertery!E$2:E$300,A61,konwertery!F$2:F$300)</f>
        <v>0</v>
      </c>
      <c r="W61" s="9" t="n">
        <f aca="false">SUMIF(Legimi!D$2:D$300,A61,Legimi!G$2:G$300)</f>
        <v>0</v>
      </c>
      <c r="X61" s="10" t="n">
        <f aca="false">SUMIF(Legimi!D$2:D$300,A61,Legimi!H$2:H$300)</f>
        <v>0</v>
      </c>
      <c r="Z61" s="9" t="n">
        <f aca="false">SUMIF(konwertery!G$2:G$302,A61,Nexto!J$2:J$283)</f>
        <v>0</v>
      </c>
      <c r="AA61" s="9" t="n">
        <f aca="false">SUMIF(konwertery!G$2:G$302,A61,Nexto!N$2:P$302)</f>
        <v>0</v>
      </c>
      <c r="AC61" s="9" t="n">
        <f aca="false">SUMIF(Woblink!E$9:E$309,A61,Woblink!I$9:I$309)</f>
        <v>0</v>
      </c>
      <c r="AD61" s="10" t="n">
        <f aca="false">SUMIF(Woblink!E$14:E$314,A61,konwertery!R$2:R$300)</f>
        <v>0</v>
      </c>
      <c r="AF61" s="9" t="n">
        <f aca="false">SUM(SUMIF(konwertery!I$2:I$300,A61,Azymut!H$2:H$298),(SUMIF(konwertery!S$2:S$300,A61,AzymutB!H$2:H353)*2))</f>
        <v>0</v>
      </c>
      <c r="AG61" s="8" t="n">
        <f aca="false">SUM(SUMIF(konwertery!I$2:I$300,A61,konwertery!J$2:J$300),SUMIF(konwertery!S$2:S$300,A61,konwertery!T$2:T$300))</f>
        <v>0</v>
      </c>
      <c r="AI61" s="9" t="n">
        <f aca="false">SUMIF(konwertery!K$2:K$300,A61,Ebookpoint!F$14:F$312)</f>
        <v>0</v>
      </c>
      <c r="AJ61" s="9" t="n">
        <f aca="false">SUMIF(konwertery!K$2:K$300,A61,Ebookpoint!M$14:M$312)</f>
        <v>0</v>
      </c>
      <c r="AL61" s="9" t="n">
        <f aca="false">SUMIF(konwertery!L$2:L$300,A61,Nasbi!F$14:F$312)</f>
        <v>0</v>
      </c>
      <c r="AM61" s="9" t="n">
        <f aca="false">SUMIF(konwertery!L$2:L$300,A61,Nasbi!K$14:K$312)</f>
        <v>0</v>
      </c>
      <c r="AO61" s="9" t="n">
        <f aca="false">SUMIF(StorytelE!C$2:C$300,A61,konwertery!M$2:M$300)+SUMIF(StorytelA!C$2:C$300,A61,konwertery!N$2:N$300)</f>
        <v>0</v>
      </c>
      <c r="AP61" s="9" t="n">
        <f aca="false">SUMIF(StorytelE!C$2:C$300,A61,konwertery!O$2:O$300)+SUMIF(StorytelA!C$2:C$300,A61,konwertery!P$2:P$300)</f>
        <v>0</v>
      </c>
      <c r="AR61" s="9" t="n">
        <f aca="false">SUMIF(konwertery!U$2:U$300,A61,Audioteka!E$4:E$302)</f>
        <v>0</v>
      </c>
      <c r="AS61" s="9" t="n">
        <f aca="false">SUMIF(konwertery!U$2:U$300,A61,Audioteka!O$4:O$302)</f>
        <v>0</v>
      </c>
      <c r="AU61" s="9" t="n">
        <f aca="false">SUMIF(Bookbeat!A$9:A$309,A61,Bookbeat!H$9:H$309)</f>
        <v>0</v>
      </c>
      <c r="AV61" s="10" t="n">
        <f aca="false">SUMIF(Bookbeat!A$9:A$309,A61,Bookbeat!L$9:L$309)</f>
        <v>0</v>
      </c>
    </row>
    <row r="62" customFormat="false" ht="15.75" hidden="false" customHeight="false" outlineLevel="0" collapsed="false">
      <c r="A62" s="11" t="n">
        <v>9788365156013</v>
      </c>
      <c r="B62" s="8" t="s">
        <v>75</v>
      </c>
      <c r="E62" s="3" t="n">
        <f aca="false">H62+K62</f>
        <v>1</v>
      </c>
      <c r="F62" s="4" t="n">
        <f aca="false">I62+L62</f>
        <v>9.08</v>
      </c>
      <c r="H62" s="9" t="n">
        <f aca="false">SUMIF(konwertery!A$2:A$300,A62,Histmag!C$2:C$300)</f>
        <v>0</v>
      </c>
      <c r="I62" s="10" t="n">
        <f aca="false">SUMIF(konwertery!A$2:A$300,A62,konwertery!B$2:B$300) * 0.97</f>
        <v>0</v>
      </c>
      <c r="K62" s="7" t="n">
        <f aca="false">N62+Q62+T62+W62+Z62+AC62+AF62+AI62+AL62+AO62+AR62+AU62</f>
        <v>1</v>
      </c>
      <c r="L62" s="12" t="n">
        <f aca="false">O62+R62+U62+X62+AA62+AD62+AG62+AJ62+AM62+AP62+AS62+AV62</f>
        <v>9.08</v>
      </c>
      <c r="N62" s="9" t="n">
        <f aca="false">SUMIF(konwertery!C$2:C$300,A62,Virtualo!L$2:L$300)</f>
        <v>0</v>
      </c>
      <c r="O62" s="10" t="n">
        <f aca="false">(SUMIF(konwertery!C$2:C$300,A62,Virtualo!P$2:P$300))</f>
        <v>0</v>
      </c>
      <c r="Q62" s="9" t="n">
        <f aca="false">SUMIF(konwertery!D$2:D$300,A62,Empik!M$2:M$300)</f>
        <v>0</v>
      </c>
      <c r="R62" s="10" t="n">
        <f aca="false">SUMIF(konwertery!D$2:D$300,A62,Empik!N$2:N$300)</f>
        <v>0</v>
      </c>
      <c r="T62" s="13" t="n">
        <f aca="false">SUMIF(konwertery!E$2:E$300,A62,Publio!P$2:P$300)</f>
        <v>0</v>
      </c>
      <c r="U62" s="14" t="n">
        <f aca="false">SUMIF(konwertery!E$2:E$300,A62,konwertery!F$2:F$300)</f>
        <v>0</v>
      </c>
      <c r="W62" s="9" t="n">
        <f aca="false">SUMIF(Legimi!D$2:D$300,A62,Legimi!G$2:G$300)</f>
        <v>0</v>
      </c>
      <c r="X62" s="10" t="n">
        <f aca="false">SUMIF(Legimi!D$2:D$300,A62,Legimi!H$2:H$300)</f>
        <v>0</v>
      </c>
      <c r="Z62" s="9" t="n">
        <f aca="false">SUMIF(konwertery!G$2:G$302,A62,Nexto!J$2:J$283)</f>
        <v>0</v>
      </c>
      <c r="AA62" s="9" t="n">
        <f aca="false">SUMIF(konwertery!G$2:G$302,A62,Nexto!N$2:P$302)</f>
        <v>0</v>
      </c>
      <c r="AC62" s="9" t="n">
        <f aca="false">SUMIF(Woblink!E$9:E$309,A62,Woblink!I$9:I$309)</f>
        <v>0</v>
      </c>
      <c r="AD62" s="10" t="n">
        <f aca="false">SUMIF(Woblink!E$14:E$314,A62,konwertery!R$2:R$300)</f>
        <v>0</v>
      </c>
      <c r="AF62" s="9" t="n">
        <f aca="false">SUM(SUMIF(konwertery!I$2:I$300,A62,Azymut!H$2:H$298),(SUMIF(konwertery!S$2:S$300,A62,AzymutB!H$2:H354)*2))</f>
        <v>0</v>
      </c>
      <c r="AG62" s="8" t="n">
        <f aca="false">SUM(SUMIF(konwertery!I$2:I$300,A62,konwertery!J$2:J$300),SUMIF(konwertery!S$2:S$300,A62,konwertery!T$2:T$300))</f>
        <v>0</v>
      </c>
      <c r="AI62" s="9" t="n">
        <f aca="false">SUMIF(konwertery!K$2:K$300,A62,Ebookpoint!F$14:F$312)</f>
        <v>1</v>
      </c>
      <c r="AJ62" s="9" t="n">
        <f aca="false">SUMIF(konwertery!K$2:K$300,A62,Ebookpoint!M$14:M$312)</f>
        <v>9.08</v>
      </c>
      <c r="AL62" s="9" t="n">
        <f aca="false">SUMIF(konwertery!L$2:L$300,A62,Nasbi!F$14:F$312)</f>
        <v>0</v>
      </c>
      <c r="AM62" s="9" t="n">
        <f aca="false">SUMIF(konwertery!L$2:L$300,A62,Nasbi!K$14:K$312)</f>
        <v>0</v>
      </c>
      <c r="AO62" s="9" t="n">
        <f aca="false">SUMIF(StorytelE!C$2:C$300,A62,konwertery!M$2:M$300)+SUMIF(StorytelA!C$2:C$300,A62,konwertery!N$2:N$300)</f>
        <v>0</v>
      </c>
      <c r="AP62" s="9" t="n">
        <f aca="false">SUMIF(StorytelE!C$2:C$300,A62,konwertery!O$2:O$300)+SUMIF(StorytelA!C$2:C$300,A62,konwertery!P$2:P$300)</f>
        <v>0</v>
      </c>
      <c r="AR62" s="9" t="n">
        <f aca="false">SUMIF(konwertery!U$2:U$300,A62,Audioteka!E$4:E$302)</f>
        <v>0</v>
      </c>
      <c r="AS62" s="9" t="n">
        <f aca="false">SUMIF(konwertery!U$2:U$300,A62,Audioteka!O$4:O$302)</f>
        <v>0</v>
      </c>
      <c r="AU62" s="9" t="n">
        <f aca="false">SUMIF(Bookbeat!A$9:A$309,A62,Bookbeat!H$9:H$309)</f>
        <v>0</v>
      </c>
      <c r="AV62" s="10" t="n">
        <f aca="false">SUMIF(Bookbeat!A$9:A$309,A62,Bookbeat!L$9:L$309)</f>
        <v>0</v>
      </c>
    </row>
    <row r="63" customFormat="false" ht="15.75" hidden="false" customHeight="false" outlineLevel="0" collapsed="false">
      <c r="A63" s="11" t="n">
        <v>9788365156020</v>
      </c>
      <c r="B63" s="8" t="s">
        <v>76</v>
      </c>
      <c r="E63" s="3" t="n">
        <f aca="false">H63+K63</f>
        <v>0</v>
      </c>
      <c r="F63" s="4" t="n">
        <f aca="false">I63+L63</f>
        <v>0</v>
      </c>
      <c r="H63" s="9" t="n">
        <f aca="false">SUMIF(konwertery!A$2:A$300,A63,Histmag!C$2:C$300)</f>
        <v>0</v>
      </c>
      <c r="I63" s="10" t="n">
        <f aca="false">SUMIF(konwertery!A$2:A$300,A63,konwertery!B$2:B$300) * 0.97</f>
        <v>0</v>
      </c>
      <c r="K63" s="7" t="n">
        <f aca="false">N63+Q63+T63+W63+Z63+AC63+AF63+AI63+AL63+AO63+AR63+AU63</f>
        <v>0</v>
      </c>
      <c r="L63" s="12" t="n">
        <f aca="false">O63+R63+U63+X63+AA63+AD63+AG63+AJ63+AM63+AP63+AS63+AV63</f>
        <v>0</v>
      </c>
      <c r="N63" s="9" t="n">
        <f aca="false">SUMIF(konwertery!C$2:C$300,A63,Virtualo!L$2:L$300)</f>
        <v>0</v>
      </c>
      <c r="O63" s="10" t="n">
        <f aca="false">(SUMIF(konwertery!C$2:C$300,A63,Virtualo!P$2:P$300))</f>
        <v>0</v>
      </c>
      <c r="Q63" s="9" t="n">
        <f aca="false">SUMIF(konwertery!D$2:D$300,A63,Empik!M$2:M$300)</f>
        <v>0</v>
      </c>
      <c r="R63" s="10" t="n">
        <f aca="false">SUMIF(konwertery!D$2:D$300,A63,Empik!N$2:N$300)</f>
        <v>0</v>
      </c>
      <c r="T63" s="13" t="n">
        <f aca="false">SUMIF(konwertery!E$2:E$300,A63,Publio!P$2:P$300)</f>
        <v>0</v>
      </c>
      <c r="U63" s="14" t="n">
        <f aca="false">SUMIF(konwertery!E$2:E$300,A63,konwertery!F$2:F$300)</f>
        <v>0</v>
      </c>
      <c r="W63" s="9" t="n">
        <f aca="false">SUMIF(Legimi!D$2:D$300,A63,Legimi!G$2:G$300)</f>
        <v>0</v>
      </c>
      <c r="X63" s="10" t="n">
        <f aca="false">SUMIF(Legimi!D$2:D$300,A63,Legimi!H$2:H$300)</f>
        <v>0</v>
      </c>
      <c r="Z63" s="9" t="n">
        <f aca="false">SUMIF(konwertery!G$2:G$302,A63,Nexto!J$2:J$283)</f>
        <v>0</v>
      </c>
      <c r="AA63" s="9" t="n">
        <f aca="false">SUMIF(konwertery!G$2:G$302,A63,Nexto!N$2:P$302)</f>
        <v>0</v>
      </c>
      <c r="AC63" s="9" t="n">
        <f aca="false">SUMIF(Woblink!E$9:E$309,A63,Woblink!I$9:I$309)</f>
        <v>0</v>
      </c>
      <c r="AD63" s="10" t="n">
        <f aca="false">SUMIF(Woblink!E$14:E$314,A63,konwertery!R$2:R$300)</f>
        <v>0</v>
      </c>
      <c r="AF63" s="9" t="n">
        <f aca="false">SUM(SUMIF(konwertery!I$2:I$300,A63,Azymut!H$2:H$298),(SUMIF(konwertery!S$2:S$300,A63,AzymutB!H$2:H355)*2))</f>
        <v>0</v>
      </c>
      <c r="AG63" s="8" t="n">
        <f aca="false">SUM(SUMIF(konwertery!I$2:I$300,A63,konwertery!J$2:J$300),SUMIF(konwertery!S$2:S$300,A63,konwertery!T$2:T$300))</f>
        <v>0</v>
      </c>
      <c r="AI63" s="9" t="n">
        <f aca="false">SUMIF(konwertery!K$2:K$300,A63,Ebookpoint!F$14:F$312)</f>
        <v>0</v>
      </c>
      <c r="AJ63" s="9" t="n">
        <f aca="false">SUMIF(konwertery!K$2:K$300,A63,Ebookpoint!M$14:M$312)</f>
        <v>0</v>
      </c>
      <c r="AL63" s="9" t="n">
        <f aca="false">SUMIF(konwertery!L$2:L$300,A63,Nasbi!F$14:F$312)</f>
        <v>0</v>
      </c>
      <c r="AM63" s="9" t="n">
        <f aca="false">SUMIF(konwertery!L$2:L$300,A63,Nasbi!K$14:K$312)</f>
        <v>0</v>
      </c>
      <c r="AO63" s="9" t="n">
        <f aca="false">SUMIF(StorytelE!C$2:C$300,A63,konwertery!M$2:M$300)+SUMIF(StorytelA!C$2:C$300,A63,konwertery!N$2:N$300)</f>
        <v>0</v>
      </c>
      <c r="AP63" s="9" t="n">
        <f aca="false">SUMIF(StorytelE!C$2:C$300,A63,konwertery!O$2:O$300)+SUMIF(StorytelA!C$2:C$300,A63,konwertery!P$2:P$300)</f>
        <v>0</v>
      </c>
      <c r="AR63" s="9" t="n">
        <f aca="false">SUMIF(konwertery!U$2:U$300,A63,Audioteka!E$4:E$302)</f>
        <v>0</v>
      </c>
      <c r="AS63" s="9" t="n">
        <f aca="false">SUMIF(konwertery!U$2:U$300,A63,Audioteka!O$4:O$302)</f>
        <v>0</v>
      </c>
      <c r="AU63" s="9" t="n">
        <f aca="false">SUMIF(Bookbeat!A$9:A$309,A63,Bookbeat!H$9:H$309)</f>
        <v>0</v>
      </c>
      <c r="AV63" s="10" t="n">
        <f aca="false">SUMIF(Bookbeat!A$9:A$309,A63,Bookbeat!L$9:L$309)</f>
        <v>0</v>
      </c>
    </row>
    <row r="64" customFormat="false" ht="15.75" hidden="false" customHeight="false" outlineLevel="0" collapsed="false">
      <c r="A64" s="11" t="n">
        <v>9788365156082</v>
      </c>
      <c r="B64" s="8" t="s">
        <v>77</v>
      </c>
      <c r="E64" s="3" t="n">
        <f aca="false">H64+K64</f>
        <v>0</v>
      </c>
      <c r="F64" s="4" t="n">
        <f aca="false">I64+L64</f>
        <v>0</v>
      </c>
      <c r="H64" s="9" t="n">
        <f aca="false">SUMIF(konwertery!A$2:A$300,A64,Histmag!C$2:C$300)</f>
        <v>0</v>
      </c>
      <c r="I64" s="10" t="n">
        <f aca="false">SUMIF(konwertery!A$2:A$300,A64,konwertery!B$2:B$300) * 0.97</f>
        <v>0</v>
      </c>
      <c r="K64" s="7" t="n">
        <f aca="false">N64+Q64+T64+W64+Z64+AC64+AF64+AI64+AL64+AO64+AR64+AU64</f>
        <v>0</v>
      </c>
      <c r="L64" s="12" t="n">
        <f aca="false">O64+R64+U64+X64+AA64+AD64+AG64+AJ64+AM64+AP64+AS64+AV64</f>
        <v>0</v>
      </c>
      <c r="N64" s="9" t="n">
        <f aca="false">SUMIF(konwertery!C$2:C$300,A64,Virtualo!L$2:L$300)</f>
        <v>0</v>
      </c>
      <c r="O64" s="10" t="n">
        <f aca="false">(SUMIF(konwertery!C$2:C$300,A64,Virtualo!P$2:P$300))</f>
        <v>0</v>
      </c>
      <c r="Q64" s="9" t="n">
        <f aca="false">SUMIF(konwertery!D$2:D$300,A64,Empik!M$2:M$300)</f>
        <v>0</v>
      </c>
      <c r="R64" s="10" t="n">
        <f aca="false">SUMIF(konwertery!D$2:D$300,A64,Empik!N$2:N$300)</f>
        <v>0</v>
      </c>
      <c r="T64" s="13" t="n">
        <f aca="false">SUMIF(konwertery!E$2:E$300,A64,Publio!P$2:P$300)</f>
        <v>0</v>
      </c>
      <c r="U64" s="14" t="n">
        <f aca="false">SUMIF(konwertery!E$2:E$300,A64,konwertery!F$2:F$300)</f>
        <v>0</v>
      </c>
      <c r="W64" s="9" t="n">
        <f aca="false">SUMIF(Legimi!D$2:D$300,A64,Legimi!G$2:G$300)</f>
        <v>0</v>
      </c>
      <c r="X64" s="10" t="n">
        <f aca="false">SUMIF(Legimi!D$2:D$300,A64,Legimi!H$2:H$300)</f>
        <v>0</v>
      </c>
      <c r="Z64" s="9" t="n">
        <f aca="false">SUMIF(konwertery!G$2:G$302,A64,Nexto!J$2:J$283)</f>
        <v>0</v>
      </c>
      <c r="AA64" s="9" t="n">
        <f aca="false">SUMIF(konwertery!G$2:G$302,A64,Nexto!N$2:P$302)</f>
        <v>0</v>
      </c>
      <c r="AC64" s="9" t="n">
        <f aca="false">SUMIF(Woblink!E$9:E$309,A64,Woblink!I$9:I$309)</f>
        <v>0</v>
      </c>
      <c r="AD64" s="10" t="n">
        <f aca="false">SUMIF(Woblink!E$14:E$314,A64,konwertery!R$2:R$300)</f>
        <v>0</v>
      </c>
      <c r="AF64" s="9" t="n">
        <f aca="false">SUM(SUMIF(konwertery!I$2:I$300,A64,Azymut!H$2:H$298),(SUMIF(konwertery!S$2:S$300,A64,AzymutB!H$2:H356)*2))</f>
        <v>0</v>
      </c>
      <c r="AG64" s="8" t="n">
        <f aca="false">SUM(SUMIF(konwertery!I$2:I$300,A64,konwertery!J$2:J$300),SUMIF(konwertery!S$2:S$300,A64,konwertery!T$2:T$300))</f>
        <v>0</v>
      </c>
      <c r="AI64" s="9" t="n">
        <f aca="false">SUMIF(konwertery!K$2:K$300,A64,Ebookpoint!F$14:F$312)</f>
        <v>0</v>
      </c>
      <c r="AJ64" s="9" t="n">
        <f aca="false">SUMIF(konwertery!K$2:K$300,A64,Ebookpoint!M$14:M$312)</f>
        <v>0</v>
      </c>
      <c r="AL64" s="9" t="n">
        <f aca="false">SUMIF(konwertery!L$2:L$300,A64,Nasbi!F$14:F$312)</f>
        <v>0</v>
      </c>
      <c r="AM64" s="9" t="n">
        <f aca="false">SUMIF(konwertery!L$2:L$300,A64,Nasbi!K$14:K$312)</f>
        <v>0</v>
      </c>
      <c r="AO64" s="9" t="n">
        <f aca="false">SUMIF(StorytelE!C$2:C$300,A64,konwertery!M$2:M$300)+SUMIF(StorytelA!C$2:C$300,A64,konwertery!N$2:N$300)</f>
        <v>0</v>
      </c>
      <c r="AP64" s="9" t="n">
        <f aca="false">SUMIF(StorytelE!C$2:C$300,A64,konwertery!O$2:O$300)+SUMIF(StorytelA!C$2:C$300,A64,konwertery!P$2:P$300)</f>
        <v>0</v>
      </c>
      <c r="AR64" s="9" t="n">
        <f aca="false">SUMIF(konwertery!U$2:U$300,A64,Audioteka!E$4:E$302)</f>
        <v>0</v>
      </c>
      <c r="AS64" s="9" t="n">
        <f aca="false">SUMIF(konwertery!U$2:U$300,A64,Audioteka!O$4:O$302)</f>
        <v>0</v>
      </c>
      <c r="AU64" s="9" t="n">
        <f aca="false">SUMIF(Bookbeat!A$9:A$309,A64,Bookbeat!H$9:H$309)</f>
        <v>0</v>
      </c>
      <c r="AV64" s="10" t="n">
        <f aca="false">SUMIF(Bookbeat!A$9:A$309,A64,Bookbeat!L$9:L$309)</f>
        <v>0</v>
      </c>
    </row>
    <row r="65" customFormat="false" ht="15.75" hidden="false" customHeight="false" outlineLevel="0" collapsed="false">
      <c r="A65" s="11" t="n">
        <v>9788365156488</v>
      </c>
      <c r="B65" s="8" t="s">
        <v>78</v>
      </c>
      <c r="E65" s="3" t="n">
        <f aca="false">H65+K65</f>
        <v>0</v>
      </c>
      <c r="F65" s="4" t="n">
        <f aca="false">I65+L65</f>
        <v>0</v>
      </c>
      <c r="H65" s="9" t="n">
        <f aca="false">SUMIF(konwertery!A$2:A$300,A65,Histmag!C$2:C$300)</f>
        <v>0</v>
      </c>
      <c r="I65" s="10" t="n">
        <f aca="false">SUMIF(konwertery!A$2:A$300,A65,konwertery!B$2:B$300) * 0.97</f>
        <v>0</v>
      </c>
      <c r="K65" s="7" t="n">
        <f aca="false">N65+Q65+T65+W65+Z65+AC65+AF65+AI65+AL65+AO65+AR65+AU65</f>
        <v>0</v>
      </c>
      <c r="L65" s="12" t="n">
        <f aca="false">O65+R65+U65+X65+AA65+AD65+AG65+AJ65+AM65+AP65+AS65+AV65</f>
        <v>0</v>
      </c>
      <c r="N65" s="9" t="n">
        <f aca="false">SUMIF(konwertery!C$2:C$300,A65,Virtualo!L$2:L$300)</f>
        <v>0</v>
      </c>
      <c r="O65" s="10" t="n">
        <f aca="false">(SUMIF(konwertery!C$2:C$300,A65,Virtualo!P$2:P$300))</f>
        <v>0</v>
      </c>
      <c r="Q65" s="9" t="n">
        <f aca="false">SUMIF(konwertery!D$2:D$300,A65,Empik!M$2:M$300)</f>
        <v>0</v>
      </c>
      <c r="R65" s="10" t="n">
        <f aca="false">SUMIF(konwertery!D$2:D$300,A65,Empik!N$2:N$300)</f>
        <v>0</v>
      </c>
      <c r="T65" s="13" t="n">
        <f aca="false">SUMIF(konwertery!E$2:E$300,A65,Publio!P$2:P$300)</f>
        <v>0</v>
      </c>
      <c r="U65" s="14" t="n">
        <f aca="false">SUMIF(konwertery!E$2:E$300,A65,konwertery!F$2:F$300)</f>
        <v>0</v>
      </c>
      <c r="W65" s="9" t="n">
        <f aca="false">SUMIF(Legimi!D$2:D$300,A65,Legimi!G$2:G$300)</f>
        <v>0</v>
      </c>
      <c r="X65" s="10" t="n">
        <f aca="false">SUMIF(Legimi!D$2:D$300,A65,Legimi!H$2:H$300)</f>
        <v>0</v>
      </c>
      <c r="Z65" s="9" t="n">
        <f aca="false">SUMIF(konwertery!G$2:G$302,A65,Nexto!J$2:J$283)</f>
        <v>0</v>
      </c>
      <c r="AA65" s="9" t="n">
        <f aca="false">SUMIF(konwertery!G$2:G$302,A65,Nexto!N$2:P$302)</f>
        <v>0</v>
      </c>
      <c r="AC65" s="9" t="n">
        <f aca="false">SUMIF(Woblink!E$9:E$309,A65,Woblink!I$9:I$309)</f>
        <v>0</v>
      </c>
      <c r="AD65" s="10" t="n">
        <f aca="false">SUMIF(Woblink!E$14:E$314,A65,konwertery!R$2:R$300)</f>
        <v>0</v>
      </c>
      <c r="AF65" s="9" t="n">
        <f aca="false">SUM(SUMIF(konwertery!I$2:I$300,A65,Azymut!H$2:H$298),(SUMIF(konwertery!S$2:S$300,A65,AzymutB!H$2:H357)*2))</f>
        <v>0</v>
      </c>
      <c r="AG65" s="8" t="n">
        <f aca="false">SUM(SUMIF(konwertery!I$2:I$300,A65,konwertery!J$2:J$300),SUMIF(konwertery!S$2:S$300,A65,konwertery!T$2:T$300))</f>
        <v>0</v>
      </c>
      <c r="AI65" s="9" t="n">
        <f aca="false">SUMIF(konwertery!K$2:K$300,A65,Ebookpoint!F$14:F$312)</f>
        <v>0</v>
      </c>
      <c r="AJ65" s="9" t="n">
        <f aca="false">SUMIF(konwertery!K$2:K$300,A65,Ebookpoint!M$14:M$312)</f>
        <v>0</v>
      </c>
      <c r="AL65" s="9" t="n">
        <f aca="false">SUMIF(konwertery!L$2:L$300,A65,Nasbi!F$14:F$312)</f>
        <v>0</v>
      </c>
      <c r="AM65" s="9" t="n">
        <f aca="false">SUMIF(konwertery!L$2:L$300,A65,Nasbi!K$14:K$312)</f>
        <v>0</v>
      </c>
      <c r="AO65" s="9" t="n">
        <f aca="false">SUMIF(StorytelE!C$2:C$300,A65,konwertery!M$2:M$300)+SUMIF(StorytelA!C$2:C$300,A65,konwertery!N$2:N$300)</f>
        <v>0</v>
      </c>
      <c r="AP65" s="9" t="n">
        <f aca="false">SUMIF(StorytelE!C$2:C$300,A65,konwertery!O$2:O$300)+SUMIF(StorytelA!C$2:C$300,A65,konwertery!P$2:P$300)</f>
        <v>0</v>
      </c>
      <c r="AR65" s="9" t="n">
        <f aca="false">SUMIF(konwertery!U$2:U$300,A65,Audioteka!E$4:E$302)</f>
        <v>0</v>
      </c>
      <c r="AS65" s="9" t="n">
        <f aca="false">SUMIF(konwertery!U$2:U$300,A65,Audioteka!O$4:O$302)</f>
        <v>0</v>
      </c>
      <c r="AU65" s="9" t="n">
        <f aca="false">SUMIF(Bookbeat!A$9:A$309,A65,Bookbeat!H$9:H$309)</f>
        <v>0</v>
      </c>
      <c r="AV65" s="10" t="n">
        <f aca="false">SUMIF(Bookbeat!A$9:A$309,A65,Bookbeat!L$9:L$309)</f>
        <v>0</v>
      </c>
    </row>
    <row r="66" customFormat="false" ht="15.75" hidden="false" customHeight="false" outlineLevel="0" collapsed="false">
      <c r="A66" s="11" t="n">
        <v>9788365156693</v>
      </c>
      <c r="B66" s="8" t="s">
        <v>79</v>
      </c>
      <c r="E66" s="3" t="n">
        <f aca="false">H66+K66</f>
        <v>0</v>
      </c>
      <c r="F66" s="4" t="n">
        <f aca="false">I66+L66</f>
        <v>0</v>
      </c>
      <c r="H66" s="9" t="n">
        <f aca="false">SUMIF(konwertery!A$2:A$300,A66,Histmag!C$2:C$300)</f>
        <v>0</v>
      </c>
      <c r="I66" s="10" t="n">
        <f aca="false">SUMIF(konwertery!A$2:A$300,A66,konwertery!B$2:B$300) * 0.97</f>
        <v>0</v>
      </c>
      <c r="K66" s="7" t="n">
        <f aca="false">N66+Q66+T66+W66+Z66+AC66+AF66+AI66+AL66+AO66+AR66+AU66</f>
        <v>0</v>
      </c>
      <c r="L66" s="12" t="n">
        <f aca="false">O66+R66+U66+X66+AA66+AD66+AG66+AJ66+AM66+AP66+AS66+AV66</f>
        <v>0</v>
      </c>
      <c r="N66" s="9" t="n">
        <f aca="false">SUMIF(konwertery!C$2:C$300,A66,Virtualo!L$2:L$300)</f>
        <v>0</v>
      </c>
      <c r="O66" s="10" t="n">
        <f aca="false">(SUMIF(konwertery!C$2:C$300,A66,Virtualo!P$2:P$300))</f>
        <v>0</v>
      </c>
      <c r="Q66" s="9" t="n">
        <f aca="false">SUMIF(konwertery!D$2:D$300,A66,Empik!M$2:M$300)</f>
        <v>0</v>
      </c>
      <c r="R66" s="10" t="n">
        <f aca="false">SUMIF(konwertery!D$2:D$300,A66,Empik!N$2:N$300)</f>
        <v>0</v>
      </c>
      <c r="T66" s="13" t="n">
        <f aca="false">SUMIF(konwertery!E$2:E$300,A66,Publio!P$2:P$300)</f>
        <v>0</v>
      </c>
      <c r="U66" s="14" t="n">
        <f aca="false">SUMIF(konwertery!E$2:E$300,A66,konwertery!F$2:F$300)</f>
        <v>0</v>
      </c>
      <c r="W66" s="9" t="n">
        <f aca="false">SUMIF(Legimi!D$2:D$300,A66,Legimi!G$2:G$300)</f>
        <v>0</v>
      </c>
      <c r="X66" s="10" t="n">
        <f aca="false">SUMIF(Legimi!D$2:D$300,A66,Legimi!H$2:H$300)</f>
        <v>0</v>
      </c>
      <c r="Z66" s="9" t="n">
        <f aca="false">SUMIF(konwertery!G$2:G$302,A66,Nexto!J$2:J$283)</f>
        <v>0</v>
      </c>
      <c r="AA66" s="9" t="n">
        <f aca="false">SUMIF(konwertery!G$2:G$302,A66,Nexto!N$2:P$302)</f>
        <v>0</v>
      </c>
      <c r="AC66" s="9" t="n">
        <f aca="false">SUMIF(Woblink!E$9:E$309,A66,Woblink!I$9:I$309)</f>
        <v>0</v>
      </c>
      <c r="AD66" s="10" t="n">
        <f aca="false">SUMIF(Woblink!E$14:E$314,A66,konwertery!R$2:R$300)</f>
        <v>0</v>
      </c>
      <c r="AF66" s="9" t="n">
        <f aca="false">SUM(SUMIF(konwertery!I$2:I$300,A66,Azymut!H$2:H$298),(SUMIF(konwertery!S$2:S$300,A66,AzymutB!H$2:H358)*2))</f>
        <v>0</v>
      </c>
      <c r="AG66" s="8" t="n">
        <f aca="false">SUM(SUMIF(konwertery!I$2:I$300,A66,konwertery!J$2:J$300),SUMIF(konwertery!S$2:S$300,A66,konwertery!T$2:T$300))</f>
        <v>0</v>
      </c>
      <c r="AI66" s="9" t="n">
        <f aca="false">SUMIF(konwertery!K$2:K$300,A66,Ebookpoint!F$14:F$312)</f>
        <v>0</v>
      </c>
      <c r="AJ66" s="9" t="n">
        <f aca="false">SUMIF(konwertery!K$2:K$300,A66,Ebookpoint!M$14:M$312)</f>
        <v>0</v>
      </c>
      <c r="AL66" s="9" t="n">
        <f aca="false">SUMIF(konwertery!L$2:L$300,A66,Nasbi!F$14:F$312)</f>
        <v>0</v>
      </c>
      <c r="AM66" s="9" t="n">
        <f aca="false">SUMIF(konwertery!L$2:L$300,A66,Nasbi!K$14:K$312)</f>
        <v>0</v>
      </c>
      <c r="AO66" s="9" t="n">
        <f aca="false">SUMIF(StorytelE!C$2:C$300,A66,konwertery!M$2:M$300)+SUMIF(StorytelA!C$2:C$300,A66,konwertery!N$2:N$300)</f>
        <v>0</v>
      </c>
      <c r="AP66" s="9" t="n">
        <f aca="false">SUMIF(StorytelE!C$2:C$300,A66,konwertery!O$2:O$300)+SUMIF(StorytelA!C$2:C$300,A66,konwertery!P$2:P$300)</f>
        <v>0</v>
      </c>
      <c r="AR66" s="9" t="n">
        <f aca="false">SUMIF(konwertery!U$2:U$300,A66,Audioteka!E$4:E$302)</f>
        <v>0</v>
      </c>
      <c r="AS66" s="9" t="n">
        <f aca="false">SUMIF(konwertery!U$2:U$300,A66,Audioteka!O$4:O$302)</f>
        <v>0</v>
      </c>
      <c r="AU66" s="9" t="n">
        <f aca="false">SUMIF(Bookbeat!A$9:A$309,A66,Bookbeat!H$9:H$309)</f>
        <v>0</v>
      </c>
      <c r="AV66" s="10" t="n">
        <f aca="false">SUMIF(Bookbeat!A$9:A$309,A66,Bookbeat!L$9:L$309)</f>
        <v>0</v>
      </c>
    </row>
    <row r="67" customFormat="false" ht="15.75" hidden="false" customHeight="false" outlineLevel="0" collapsed="false">
      <c r="A67" s="11" t="n">
        <v>9788393463091</v>
      </c>
      <c r="B67" s="8" t="s">
        <v>80</v>
      </c>
      <c r="E67" s="3" t="n">
        <f aca="false">H67+K67</f>
        <v>1</v>
      </c>
      <c r="F67" s="4" t="n">
        <f aca="false">I67+L67</f>
        <v>7.98</v>
      </c>
      <c r="H67" s="9" t="n">
        <f aca="false">SUMIF(konwertery!A$2:A$300,A67,Histmag!C$2:C$300)</f>
        <v>0</v>
      </c>
      <c r="I67" s="10" t="n">
        <f aca="false">SUMIF(konwertery!A$2:A$300,A67,konwertery!B$2:B$300) * 0.97</f>
        <v>0</v>
      </c>
      <c r="K67" s="7" t="n">
        <f aca="false">N67+Q67+T67+W67+Z67+AC67+AF67+AI67+AL67+AO67+AR67+AU67</f>
        <v>1</v>
      </c>
      <c r="L67" s="12" t="n">
        <f aca="false">O67+R67+U67+X67+AA67+AD67+AG67+AJ67+AM67+AP67+AS67+AV67</f>
        <v>7.98</v>
      </c>
      <c r="N67" s="9" t="n">
        <f aca="false">SUMIF(konwertery!C$2:C$300,A67,Virtualo!L$2:L$300)</f>
        <v>1</v>
      </c>
      <c r="O67" s="10" t="n">
        <f aca="false">(SUMIF(konwertery!C$2:C$300,A67,Virtualo!P$2:P$300))</f>
        <v>7.98</v>
      </c>
      <c r="Q67" s="9" t="n">
        <f aca="false">SUMIF(konwertery!D$2:D$300,A67,Empik!M$2:M$300)</f>
        <v>0</v>
      </c>
      <c r="R67" s="10" t="n">
        <f aca="false">SUMIF(konwertery!D$2:D$300,A67,Empik!N$2:N$300)</f>
        <v>0</v>
      </c>
      <c r="T67" s="13" t="n">
        <f aca="false">SUMIF(konwertery!E$2:E$300,A67,Publio!P$2:P$300)</f>
        <v>0</v>
      </c>
      <c r="U67" s="14" t="n">
        <f aca="false">SUMIF(konwertery!E$2:E$300,A67,konwertery!F$2:F$300)</f>
        <v>0</v>
      </c>
      <c r="W67" s="9" t="n">
        <f aca="false">SUMIF(Legimi!D$2:D$300,A67,Legimi!G$2:G$300)</f>
        <v>0</v>
      </c>
      <c r="X67" s="10" t="n">
        <f aca="false">SUMIF(Legimi!D$2:D$300,A67,Legimi!H$2:H$300)</f>
        <v>0</v>
      </c>
      <c r="Z67" s="9" t="n">
        <f aca="false">SUMIF(konwertery!G$2:G$302,A67,Nexto!J$2:J$283)</f>
        <v>0</v>
      </c>
      <c r="AA67" s="9" t="n">
        <f aca="false">SUMIF(konwertery!G$2:G$302,A67,Nexto!N$2:P$302)</f>
        <v>0</v>
      </c>
      <c r="AC67" s="9" t="n">
        <f aca="false">SUMIF(Woblink!E$9:E$309,A67,Woblink!I$9:I$309)</f>
        <v>0</v>
      </c>
      <c r="AD67" s="10" t="n">
        <f aca="false">SUMIF(Woblink!E$14:E$314,A67,konwertery!R$2:R$300)</f>
        <v>0</v>
      </c>
      <c r="AF67" s="9" t="n">
        <f aca="false">SUM(SUMIF(konwertery!I$2:I$300,A67,Azymut!H$2:H$298),(SUMIF(konwertery!S$2:S$300,A67,AzymutB!H$2:H359)*2))</f>
        <v>0</v>
      </c>
      <c r="AG67" s="8" t="n">
        <f aca="false">SUM(SUMIF(konwertery!I$2:I$300,A67,konwertery!J$2:J$300),SUMIF(konwertery!S$2:S$300,A67,konwertery!T$2:T$300))</f>
        <v>0</v>
      </c>
      <c r="AI67" s="9" t="n">
        <f aca="false">SUMIF(konwertery!K$2:K$300,A67,Ebookpoint!F$14:F$312)</f>
        <v>0</v>
      </c>
      <c r="AJ67" s="9" t="n">
        <f aca="false">SUMIF(konwertery!K$2:K$300,A67,Ebookpoint!M$14:M$312)</f>
        <v>0</v>
      </c>
      <c r="AL67" s="9" t="n">
        <f aca="false">SUMIF(konwertery!L$2:L$300,A67,Nasbi!F$14:F$312)</f>
        <v>0</v>
      </c>
      <c r="AM67" s="9" t="n">
        <f aca="false">SUMIF(konwertery!L$2:L$300,A67,Nasbi!K$14:K$312)</f>
        <v>0</v>
      </c>
      <c r="AO67" s="9" t="n">
        <f aca="false">SUMIF(StorytelE!C$2:C$300,A67,konwertery!M$2:M$300)+SUMIF(StorytelA!C$2:C$300,A67,konwertery!N$2:N$300)</f>
        <v>0</v>
      </c>
      <c r="AP67" s="9" t="n">
        <f aca="false">SUMIF(StorytelE!C$2:C$300,A67,konwertery!O$2:O$300)+SUMIF(StorytelA!C$2:C$300,A67,konwertery!P$2:P$300)</f>
        <v>0</v>
      </c>
      <c r="AR67" s="9" t="n">
        <f aca="false">SUMIF(konwertery!U$2:U$300,A67,Audioteka!E$4:E$302)</f>
        <v>0</v>
      </c>
      <c r="AS67" s="9" t="n">
        <f aca="false">SUMIF(konwertery!U$2:U$300,A67,Audioteka!O$4:O$302)</f>
        <v>0</v>
      </c>
      <c r="AU67" s="9" t="n">
        <f aca="false">SUMIF(Bookbeat!A$9:A$309,A67,Bookbeat!H$9:H$309)</f>
        <v>0</v>
      </c>
      <c r="AV67" s="10" t="n">
        <f aca="false">SUMIF(Bookbeat!A$9:A$309,A67,Bookbeat!L$9:L$309)</f>
        <v>0</v>
      </c>
    </row>
    <row r="68" customFormat="false" ht="15.75" hidden="false" customHeight="false" outlineLevel="0" collapsed="false">
      <c r="A68" s="11" t="n">
        <v>9788365156655</v>
      </c>
      <c r="B68" s="8" t="s">
        <v>81</v>
      </c>
      <c r="E68" s="3" t="n">
        <f aca="false">H68+K68</f>
        <v>3</v>
      </c>
      <c r="F68" s="4" t="n">
        <f aca="false">I68+L68</f>
        <v>34.6119</v>
      </c>
      <c r="H68" s="9" t="n">
        <f aca="false">SUMIF(konwertery!A$2:A$300,A68,Histmag!C$2:C$300)</f>
        <v>1</v>
      </c>
      <c r="I68" s="10" t="n">
        <f aca="false">SUMIF(konwertery!A$2:A$300,A68,konwertery!B$2:B$300) * 0.97</f>
        <v>10.9319</v>
      </c>
      <c r="K68" s="7" t="n">
        <f aca="false">N68+Q68+T68+W68+Z68+AC68+AF68+AI68+AL68+AO68+AR68+AU68</f>
        <v>2</v>
      </c>
      <c r="L68" s="12" t="n">
        <f aca="false">O68+R68+U68+X68+AA68+AD68+AG68+AJ68+AM68+AP68+AS68+AV68</f>
        <v>23.68</v>
      </c>
      <c r="N68" s="9" t="n">
        <f aca="false">SUMIF(konwertery!C$2:C$300,A68,Virtualo!L$2:L$300)</f>
        <v>1</v>
      </c>
      <c r="O68" s="10" t="n">
        <f aca="false">(SUMIF(konwertery!C$2:C$300,A68,Virtualo!P$2:P$300))</f>
        <v>12.31</v>
      </c>
      <c r="Q68" s="9" t="n">
        <f aca="false">SUMIF(konwertery!D$2:D$300,A68,Empik!M$2:M$300)</f>
        <v>0</v>
      </c>
      <c r="R68" s="10" t="n">
        <f aca="false">SUMIF(konwertery!D$2:D$300,A68,Empik!N$2:N$300)</f>
        <v>0</v>
      </c>
      <c r="T68" s="13" t="n">
        <f aca="false">SUMIF(konwertery!E$2:E$300,A68,Publio!P$2:P$300)</f>
        <v>0</v>
      </c>
      <c r="U68" s="14" t="n">
        <f aca="false">SUMIF(konwertery!E$2:E$300,A68,konwertery!F$2:F$300)</f>
        <v>0</v>
      </c>
      <c r="W68" s="9" t="n">
        <f aca="false">SUMIF(Legimi!D$2:D$300,A68,Legimi!G$2:G$300)</f>
        <v>0</v>
      </c>
      <c r="X68" s="10" t="n">
        <f aca="false">SUMIF(Legimi!D$2:D$300,A68,Legimi!H$2:H$300)</f>
        <v>0</v>
      </c>
      <c r="Z68" s="9" t="n">
        <f aca="false">SUMIF(konwertery!G$2:G$302,A68,Nexto!J$2:J$283)</f>
        <v>0</v>
      </c>
      <c r="AA68" s="9" t="n">
        <f aca="false">SUMIF(konwertery!G$2:G$302,A68,Nexto!N$2:P$302)</f>
        <v>0</v>
      </c>
      <c r="AC68" s="9" t="n">
        <f aca="false">SUMIF(Woblink!E$9:E$309,A68,Woblink!I$9:I$309)</f>
        <v>1</v>
      </c>
      <c r="AD68" s="10" t="n">
        <f aca="false">SUMIF(Woblink!E$14:E$314,A68,konwertery!R$2:R$300)</f>
        <v>11.37</v>
      </c>
      <c r="AF68" s="9" t="n">
        <f aca="false">SUM(SUMIF(konwertery!I$2:I$300,A68,Azymut!H$2:H$298),(SUMIF(konwertery!S$2:S$300,A68,AzymutB!H$2:H360)*2))</f>
        <v>0</v>
      </c>
      <c r="AG68" s="8" t="n">
        <f aca="false">SUM(SUMIF(konwertery!I$2:I$300,A68,konwertery!J$2:J$300),SUMIF(konwertery!S$2:S$300,A68,konwertery!T$2:T$300))</f>
        <v>0</v>
      </c>
      <c r="AI68" s="9" t="n">
        <f aca="false">SUMIF(konwertery!K$2:K$300,A68,Ebookpoint!F$14:F$312)</f>
        <v>0</v>
      </c>
      <c r="AJ68" s="9" t="n">
        <f aca="false">SUMIF(konwertery!K$2:K$300,A68,Ebookpoint!M$14:M$312)</f>
        <v>0</v>
      </c>
      <c r="AL68" s="9" t="n">
        <f aca="false">SUMIF(konwertery!L$2:L$300,A68,Nasbi!F$14:F$312)</f>
        <v>0</v>
      </c>
      <c r="AM68" s="9" t="n">
        <f aca="false">SUMIF(konwertery!L$2:L$300,A68,Nasbi!K$14:K$312)</f>
        <v>0</v>
      </c>
      <c r="AO68" s="9" t="n">
        <f aca="false">SUMIF(StorytelE!C$2:C$300,A68,konwertery!M$2:M$300)+SUMIF(StorytelA!C$2:C$300,A68,konwertery!N$2:N$300)</f>
        <v>0</v>
      </c>
      <c r="AP68" s="9" t="n">
        <f aca="false">SUMIF(StorytelE!C$2:C$300,A68,konwertery!O$2:O$300)+SUMIF(StorytelA!C$2:C$300,A68,konwertery!P$2:P$300)</f>
        <v>0</v>
      </c>
      <c r="AR68" s="9" t="n">
        <f aca="false">SUMIF(konwertery!U$2:U$300,A68,Audioteka!E$4:E$302)</f>
        <v>0</v>
      </c>
      <c r="AS68" s="9" t="n">
        <f aca="false">SUMIF(konwertery!U$2:U$300,A68,Audioteka!O$4:O$302)</f>
        <v>0</v>
      </c>
      <c r="AU68" s="9" t="n">
        <f aca="false">SUMIF(Bookbeat!A$9:A$309,A68,Bookbeat!H$9:H$309)</f>
        <v>0</v>
      </c>
      <c r="AV68" s="10" t="n">
        <f aca="false">SUMIF(Bookbeat!A$9:A$309,A68,Bookbeat!L$9:L$309)</f>
        <v>0</v>
      </c>
    </row>
    <row r="69" customFormat="false" ht="15.75" hidden="false" customHeight="false" outlineLevel="0" collapsed="false">
      <c r="A69" s="11" t="n">
        <v>9788365156877</v>
      </c>
      <c r="B69" s="15" t="s">
        <v>82</v>
      </c>
      <c r="E69" s="3" t="n">
        <f aca="false">H69+K69</f>
        <v>5</v>
      </c>
      <c r="F69" s="4" t="n">
        <f aca="false">I69+L69</f>
        <v>41.737</v>
      </c>
      <c r="H69" s="9" t="n">
        <f aca="false">SUMIF(konwertery!A$2:A$300,A69,Histmag!C$2:C$300)</f>
        <v>1</v>
      </c>
      <c r="I69" s="10" t="n">
        <f aca="false">SUMIF(konwertery!A$2:A$300,A69,konwertery!B$2:B$300) * 0.97</f>
        <v>15.617</v>
      </c>
      <c r="K69" s="7" t="n">
        <f aca="false">N69+Q69+T69+W69+Z69+AC69+AF69+AI69+AL69+AO69+AR69+AU69</f>
        <v>4</v>
      </c>
      <c r="L69" s="12" t="n">
        <f aca="false">O69+R69+U69+X69+AA69+AD69+AG69+AJ69+AM69+AP69+AS69+AV69</f>
        <v>26.12</v>
      </c>
      <c r="N69" s="9" t="n">
        <f aca="false">SUMIF(konwertery!C$2:C$300,A69,Virtualo!L$2:L$300)</f>
        <v>0</v>
      </c>
      <c r="O69" s="10" t="n">
        <f aca="false">(SUMIF(konwertery!C$2:C$300,A69,Virtualo!P$2:P$300))</f>
        <v>0</v>
      </c>
      <c r="Q69" s="9" t="n">
        <f aca="false">SUMIF(konwertery!D$2:D$300,A69,Empik!M$2:M$300)</f>
        <v>0</v>
      </c>
      <c r="R69" s="10" t="n">
        <f aca="false">SUMIF(konwertery!D$2:D$300,A69,Empik!N$2:N$300)</f>
        <v>0</v>
      </c>
      <c r="T69" s="13" t="n">
        <f aca="false">SUMIF(konwertery!E$2:E$300,A69,Publio!P$2:P$300)</f>
        <v>1</v>
      </c>
      <c r="U69" s="14" t="n">
        <f aca="false">SUMIF(konwertery!E$2:E$300,A69,konwertery!F$2:F$300)</f>
        <v>11.37</v>
      </c>
      <c r="W69" s="9" t="n">
        <f aca="false">SUMIF(Legimi!D$2:D$300,A69,Legimi!G$2:G$300)</f>
        <v>0</v>
      </c>
      <c r="X69" s="10" t="n">
        <f aca="false">SUMIF(Legimi!D$2:D$300,A69,Legimi!H$2:H$300)</f>
        <v>0</v>
      </c>
      <c r="Z69" s="9" t="n">
        <f aca="false">SUMIF(konwertery!G$2:G$302,A69,Nexto!J$2:J$283)</f>
        <v>0</v>
      </c>
      <c r="AA69" s="9" t="n">
        <f aca="false">SUMIF(konwertery!G$2:G$302,A69,Nexto!N$2:P$302)</f>
        <v>0</v>
      </c>
      <c r="AC69" s="9" t="n">
        <f aca="false">SUMIF(Woblink!E$9:E$309,A69,Woblink!I$9:I$309)</f>
        <v>0</v>
      </c>
      <c r="AD69" s="10" t="n">
        <f aca="false">SUMIF(Woblink!E$14:E$314,A69,konwertery!R$2:R$300)</f>
        <v>0</v>
      </c>
      <c r="AF69" s="9" t="n">
        <f aca="false">SUM(SUMIF(konwertery!I$2:I$300,A69,Azymut!H$2:H$298),(SUMIF(konwertery!S$2:S$300,A69,AzymutB!H$2:H361)*2))</f>
        <v>0</v>
      </c>
      <c r="AG69" s="8" t="n">
        <f aca="false">SUM(SUMIF(konwertery!I$2:I$300,A69,konwertery!J$2:J$300),SUMIF(konwertery!S$2:S$300,A69,konwertery!T$2:T$300))</f>
        <v>0</v>
      </c>
      <c r="AI69" s="9" t="n">
        <f aca="false">SUMIF(konwertery!K$2:K$300,A69,Ebookpoint!F$14:F$312)</f>
        <v>0</v>
      </c>
      <c r="AJ69" s="9" t="n">
        <f aca="false">SUMIF(konwertery!K$2:K$300,A69,Ebookpoint!M$14:M$312)</f>
        <v>0</v>
      </c>
      <c r="AL69" s="9" t="n">
        <f aca="false">SUMIF(konwertery!L$2:L$300,A69,Nasbi!F$14:F$312)</f>
        <v>0</v>
      </c>
      <c r="AM69" s="9" t="n">
        <f aca="false">SUMIF(konwertery!L$2:L$300,A69,Nasbi!K$14:K$312)</f>
        <v>0</v>
      </c>
      <c r="AO69" s="9" t="n">
        <f aca="false">SUMIF(StorytelE!C$2:C$300,A69,konwertery!M$2:M$300)+SUMIF(StorytelA!C$2:C$300,A69,konwertery!N$2:N$300)</f>
        <v>1</v>
      </c>
      <c r="AP69" s="9" t="n">
        <f aca="false">SUMIF(StorytelE!C$2:C$300,A69,konwertery!O$2:O$300)+SUMIF(StorytelA!C$2:C$300,A69,konwertery!P$2:P$300)</f>
        <v>3.66</v>
      </c>
      <c r="AR69" s="9" t="n">
        <f aca="false">SUMIF(konwertery!U$2:U$300,A69,Audioteka!E$4:E$302)</f>
        <v>0</v>
      </c>
      <c r="AS69" s="9" t="n">
        <f aca="false">SUMIF(konwertery!U$2:U$300,A69,Audioteka!O$4:O$302)</f>
        <v>0</v>
      </c>
      <c r="AU69" s="9" t="n">
        <f aca="false">SUMIF(Bookbeat!A$9:A$309,A69,Bookbeat!H$9:H$309)</f>
        <v>2</v>
      </c>
      <c r="AV69" s="10" t="n">
        <f aca="false">SUMIF(Bookbeat!A$9:A$309,A69,Bookbeat!L$9:L$309)</f>
        <v>11.09</v>
      </c>
    </row>
    <row r="70" customFormat="false" ht="15.75" hidden="false" customHeight="false" outlineLevel="0" collapsed="false">
      <c r="A70" s="11" t="n">
        <v>9788365156440</v>
      </c>
      <c r="B70" s="8" t="s">
        <v>83</v>
      </c>
      <c r="E70" s="3" t="n">
        <f aca="false">H70+K70</f>
        <v>1</v>
      </c>
      <c r="F70" s="4" t="n">
        <f aca="false">I70+L70</f>
        <v>10.9901</v>
      </c>
      <c r="H70" s="9" t="n">
        <f aca="false">SUMIF(konwertery!A$2:A$300,A70,Histmag!C$2:C$300)</f>
        <v>1</v>
      </c>
      <c r="I70" s="10" t="n">
        <f aca="false">SUMIF(konwertery!A$2:A$300,A70,konwertery!B$2:B$300) * 0.97</f>
        <v>10.9901</v>
      </c>
      <c r="K70" s="7" t="n">
        <f aca="false">N70+Q70+T70+W70+Z70+AC70+AF70+AI70+AL70+AO70+AR70+AU70</f>
        <v>0</v>
      </c>
      <c r="L70" s="12" t="n">
        <f aca="false">O70+R70+U70+X70+AA70+AD70+AG70+AJ70+AM70+AP70+AS70+AV70</f>
        <v>0</v>
      </c>
      <c r="N70" s="9" t="n">
        <f aca="false">SUMIF(konwertery!C$2:C$300,A70,Virtualo!L$2:L$300)</f>
        <v>0</v>
      </c>
      <c r="O70" s="10" t="n">
        <f aca="false">(SUMIF(konwertery!C$2:C$300,A70,Virtualo!P$2:P$300))</f>
        <v>0</v>
      </c>
      <c r="Q70" s="9" t="n">
        <f aca="false">SUMIF(konwertery!D$2:D$300,A70,Empik!M$2:M$300)</f>
        <v>0</v>
      </c>
      <c r="R70" s="10" t="n">
        <f aca="false">SUMIF(konwertery!D$2:D$300,A70,Empik!N$2:N$300)</f>
        <v>0</v>
      </c>
      <c r="T70" s="13" t="n">
        <f aca="false">SUMIF(konwertery!E$2:E$300,A70,Publio!P$2:P$300)</f>
        <v>0</v>
      </c>
      <c r="U70" s="14" t="n">
        <f aca="false">SUMIF(konwertery!E$2:E$300,A70,konwertery!F$2:F$300)</f>
        <v>0</v>
      </c>
      <c r="W70" s="9" t="n">
        <f aca="false">SUMIF(Legimi!D$2:D$300,A70,Legimi!G$2:G$300)</f>
        <v>0</v>
      </c>
      <c r="X70" s="10" t="n">
        <f aca="false">SUMIF(Legimi!D$2:D$300,A70,Legimi!H$2:H$300)</f>
        <v>0</v>
      </c>
      <c r="Z70" s="9" t="n">
        <f aca="false">SUMIF(konwertery!G$2:G$302,A70,Nexto!J$2:J$283)</f>
        <v>0</v>
      </c>
      <c r="AA70" s="9" t="n">
        <f aca="false">SUMIF(konwertery!G$2:G$302,A70,Nexto!N$2:P$302)</f>
        <v>0</v>
      </c>
      <c r="AC70" s="9" t="n">
        <f aca="false">SUMIF(Woblink!E$9:E$309,A70,Woblink!I$9:I$309)</f>
        <v>0</v>
      </c>
      <c r="AD70" s="10" t="n">
        <f aca="false">SUMIF(Woblink!E$14:E$314,A70,konwertery!R$2:R$300)</f>
        <v>0</v>
      </c>
      <c r="AF70" s="9" t="n">
        <f aca="false">SUM(SUMIF(konwertery!I$2:I$300,A70,Azymut!H$2:H$298),(SUMIF(konwertery!S$2:S$300,A70,AzymutB!H$2:H361)*2))</f>
        <v>0</v>
      </c>
      <c r="AG70" s="8" t="n">
        <f aca="false">SUM(SUMIF(konwertery!I$2:I$300,A70,konwertery!J$2:J$300),SUMIF(konwertery!S$2:S$300,A70,konwertery!T$2:T$300))</f>
        <v>0</v>
      </c>
      <c r="AI70" s="9" t="n">
        <f aca="false">SUMIF(konwertery!K$2:K$300,A70,Ebookpoint!F$14:F$312)</f>
        <v>0</v>
      </c>
      <c r="AJ70" s="9" t="n">
        <f aca="false">SUMIF(konwertery!K$2:K$300,A70,Ebookpoint!M$14:M$312)</f>
        <v>0</v>
      </c>
      <c r="AL70" s="9" t="n">
        <f aca="false">SUMIF(konwertery!L$2:L$300,A70,Nasbi!F$14:F$312)</f>
        <v>0</v>
      </c>
      <c r="AM70" s="9" t="n">
        <f aca="false">SUMIF(konwertery!L$2:L$300,A70,Nasbi!K$14:K$312)</f>
        <v>0</v>
      </c>
      <c r="AO70" s="9" t="n">
        <f aca="false">SUMIF(StorytelE!C$2:C$300,A70,konwertery!M$2:M$300)+SUMIF(StorytelA!C$2:C$300,A70,konwertery!N$2:N$300)</f>
        <v>0</v>
      </c>
      <c r="AP70" s="9" t="n">
        <f aca="false">SUMIF(StorytelE!C$2:C$300,A70,konwertery!O$2:O$300)+SUMIF(StorytelA!C$2:C$300,A70,konwertery!P$2:P$300)</f>
        <v>0</v>
      </c>
      <c r="AR70" s="9" t="n">
        <f aca="false">SUMIF(konwertery!U$2:U$300,A70,Audioteka!E$4:E$302)</f>
        <v>0</v>
      </c>
      <c r="AS70" s="9" t="n">
        <f aca="false">SUMIF(konwertery!U$2:U$300,A70,Audioteka!O$4:O$302)</f>
        <v>0</v>
      </c>
      <c r="AU70" s="9" t="n">
        <f aca="false">SUMIF(Bookbeat!A$9:A$309,A70,Bookbeat!H$9:H$309)</f>
        <v>0</v>
      </c>
      <c r="AV70" s="10" t="n">
        <f aca="false">SUMIF(Bookbeat!A$9:A$309,A70,Bookbeat!L$9:L$309)</f>
        <v>0</v>
      </c>
    </row>
    <row r="71" customFormat="false" ht="15.75" hidden="false" customHeight="false" outlineLevel="0" collapsed="false">
      <c r="A71" s="11" t="n">
        <v>9788365156235</v>
      </c>
      <c r="B71" s="8" t="s">
        <v>84</v>
      </c>
      <c r="E71" s="3" t="n">
        <f aca="false">H71+K71</f>
        <v>3</v>
      </c>
      <c r="F71" s="4" t="n">
        <f aca="false">I71+L71</f>
        <v>19.83</v>
      </c>
      <c r="H71" s="9" t="n">
        <f aca="false">SUMIF(konwertery!A$2:A$300,A71,Histmag!C$2:C$300)</f>
        <v>0</v>
      </c>
      <c r="I71" s="10" t="n">
        <f aca="false">SUMIF(konwertery!A$2:A$300,A71,konwertery!B$2:B$300) * 0.97</f>
        <v>0</v>
      </c>
      <c r="K71" s="7" t="n">
        <f aca="false">N71+Q71+T71+W71+Z71+AC71+AF71+AI71+AL71+AO71+AR71+AU71</f>
        <v>3</v>
      </c>
      <c r="L71" s="12" t="n">
        <f aca="false">O71+R71+U71+X71+AA71+AD71+AG71+AJ71+AM71+AP71+AS71+AV71</f>
        <v>19.83</v>
      </c>
      <c r="N71" s="9" t="n">
        <f aca="false">SUMIF(konwertery!C$2:C$300,A71,Virtualo!L$2:L$300)</f>
        <v>1</v>
      </c>
      <c r="O71" s="10" t="n">
        <f aca="false">(SUMIF(konwertery!C$2:C$300,A71,Virtualo!P$2:P$300))</f>
        <v>9.22</v>
      </c>
      <c r="Q71" s="9" t="n">
        <f aca="false">SUMIF(konwertery!D$2:D$300,A71,Empik!M$2:M$300)</f>
        <v>0</v>
      </c>
      <c r="R71" s="10" t="n">
        <f aca="false">SUMIF(konwertery!D$2:D$300,A71,Empik!N$2:N$300)</f>
        <v>0</v>
      </c>
      <c r="T71" s="13" t="n">
        <f aca="false">SUMIF(konwertery!E$2:E$300,A71,Publio!P$2:P$300)</f>
        <v>0</v>
      </c>
      <c r="U71" s="14" t="n">
        <f aca="false">SUMIF(konwertery!E$2:E$300,A71,konwertery!F$2:F$300)</f>
        <v>0</v>
      </c>
      <c r="W71" s="9" t="n">
        <f aca="false">SUMIF(Legimi!D$2:D$300,A71,Legimi!G$2:G$300)</f>
        <v>0</v>
      </c>
      <c r="X71" s="10" t="n">
        <f aca="false">SUMIF(Legimi!D$2:D$300,A71,Legimi!H$2:H$300)</f>
        <v>0</v>
      </c>
      <c r="Z71" s="9" t="n">
        <f aca="false">SUMIF(konwertery!G$2:G$302,A71,Nexto!J$2:J$283)</f>
        <v>0</v>
      </c>
      <c r="AA71" s="9" t="n">
        <f aca="false">SUMIF(konwertery!G$2:G$302,A71,Nexto!N$2:P$302)</f>
        <v>0</v>
      </c>
      <c r="AC71" s="9" t="n">
        <f aca="false">SUMIF(Woblink!E$9:E$309,A71,Woblink!I$9:I$309)</f>
        <v>0</v>
      </c>
      <c r="AD71" s="10" t="n">
        <f aca="false">SUMIF(Woblink!E$14:E$314,A71,konwertery!R$2:R$300)</f>
        <v>0</v>
      </c>
      <c r="AF71" s="9" t="n">
        <f aca="false">SUM(SUMIF(konwertery!I$2:I$300,A71,Azymut!H$2:H$298),(SUMIF(konwertery!S$2:S$300,A71,AzymutB!H$2:H362)*2))</f>
        <v>0</v>
      </c>
      <c r="AG71" s="8" t="n">
        <f aca="false">SUM(SUMIF(konwertery!I$2:I$300,A71,konwertery!J$2:J$300),SUMIF(konwertery!S$2:S$300,A71,konwertery!T$2:T$300))</f>
        <v>0</v>
      </c>
      <c r="AI71" s="9" t="n">
        <f aca="false">SUMIF(konwertery!K$2:K$300,A71,Ebookpoint!F$14:F$312)</f>
        <v>1</v>
      </c>
      <c r="AJ71" s="9" t="n">
        <f aca="false">SUMIF(konwertery!K$2:K$300,A71,Ebookpoint!M$14:M$312)</f>
        <v>9.08</v>
      </c>
      <c r="AL71" s="9" t="n">
        <f aca="false">SUMIF(konwertery!L$2:L$300,A71,Nasbi!F$14:F$312)</f>
        <v>0</v>
      </c>
      <c r="AM71" s="9" t="n">
        <f aca="false">SUMIF(konwertery!L$2:L$300,A71,Nasbi!K$14:K$312)</f>
        <v>0</v>
      </c>
      <c r="AO71" s="9" t="n">
        <f aca="false">SUMIF(StorytelE!C$2:C$300,A71,konwertery!M$2:M$300)+SUMIF(StorytelA!C$2:C$300,A71,konwertery!N$2:N$300)</f>
        <v>1</v>
      </c>
      <c r="AP71" s="9" t="n">
        <f aca="false">SUMIF(StorytelE!C$2:C$300,A71,konwertery!O$2:O$300)+SUMIF(StorytelA!C$2:C$300,A71,konwertery!P$2:P$300)</f>
        <v>1.53</v>
      </c>
      <c r="AR71" s="9" t="n">
        <f aca="false">SUMIF(konwertery!U$2:U$300,A71,Audioteka!E$4:E$302)</f>
        <v>0</v>
      </c>
      <c r="AS71" s="9" t="n">
        <f aca="false">SUMIF(konwertery!U$2:U$300,A71,Audioteka!O$4:O$302)</f>
        <v>0</v>
      </c>
      <c r="AU71" s="9" t="n">
        <f aca="false">SUMIF(Bookbeat!A$9:A$309,A71,Bookbeat!H$9:H$309)</f>
        <v>0</v>
      </c>
      <c r="AV71" s="10" t="n">
        <f aca="false">SUMIF(Bookbeat!A$9:A$309,A71,Bookbeat!L$9:L$309)</f>
        <v>0</v>
      </c>
    </row>
    <row r="72" customFormat="false" ht="15.75" hidden="false" customHeight="false" outlineLevel="0" collapsed="false">
      <c r="A72" s="11" t="n">
        <v>9788365156273</v>
      </c>
      <c r="B72" s="8" t="s">
        <v>85</v>
      </c>
      <c r="E72" s="3" t="n">
        <f aca="false">H72+K72</f>
        <v>3</v>
      </c>
      <c r="F72" s="4" t="n">
        <f aca="false">I72+L72</f>
        <v>25.2879</v>
      </c>
      <c r="H72" s="9" t="n">
        <f aca="false">SUMIF(konwertery!A$2:A$300,A72,Histmag!C$2:C$300)</f>
        <v>3</v>
      </c>
      <c r="I72" s="10" t="n">
        <f aca="false">SUMIF(konwertery!A$2:A$300,A72,konwertery!B$2:B$300) * 0.97</f>
        <v>25.2879</v>
      </c>
      <c r="K72" s="7" t="n">
        <f aca="false">N72+Q72+T72+W72+Z72+AC72+AF72+AI72+AL72+AO72+AR72+AU72</f>
        <v>0</v>
      </c>
      <c r="L72" s="12" t="n">
        <f aca="false">O72+R72+U72+X72+AA72+AD72+AG72+AJ72+AM72+AP72+AS72+AV72</f>
        <v>0</v>
      </c>
      <c r="N72" s="9" t="n">
        <f aca="false">SUMIF(konwertery!C$2:C$300,A72,Virtualo!L$2:L$300)</f>
        <v>0</v>
      </c>
      <c r="O72" s="10" t="n">
        <f aca="false">(SUMIF(konwertery!C$2:C$300,A72,Virtualo!P$2:P$300))</f>
        <v>0</v>
      </c>
      <c r="Q72" s="9" t="n">
        <f aca="false">SUMIF(konwertery!D$2:D$300,A72,Empik!M$2:M$300)</f>
        <v>0</v>
      </c>
      <c r="R72" s="10" t="n">
        <f aca="false">SUMIF(konwertery!D$2:D$300,A72,Empik!N$2:N$300)</f>
        <v>0</v>
      </c>
      <c r="T72" s="13" t="n">
        <f aca="false">SUMIF(konwertery!E$2:E$300,A72,Publio!P$2:P$300)</f>
        <v>0</v>
      </c>
      <c r="U72" s="14" t="n">
        <f aca="false">SUMIF(konwertery!E$2:E$300,A72,konwertery!F$2:F$300)</f>
        <v>0</v>
      </c>
      <c r="W72" s="9" t="n">
        <f aca="false">SUMIF(Legimi!D$2:D$300,A72,Legimi!G$2:G$300)</f>
        <v>0</v>
      </c>
      <c r="X72" s="10" t="n">
        <f aca="false">SUMIF(Legimi!D$2:D$300,A72,Legimi!H$2:H$300)</f>
        <v>0</v>
      </c>
      <c r="Z72" s="9" t="n">
        <f aca="false">SUMIF(konwertery!G$2:G$302,A72,Nexto!J$2:J$283)</f>
        <v>0</v>
      </c>
      <c r="AA72" s="9" t="n">
        <f aca="false">SUMIF(konwertery!G$2:G$302,A72,Nexto!N$2:P$302)</f>
        <v>0</v>
      </c>
      <c r="AC72" s="9" t="n">
        <f aca="false">SUMIF(Woblink!E$9:E$309,A72,Woblink!I$9:I$309)</f>
        <v>0</v>
      </c>
      <c r="AD72" s="10" t="n">
        <f aca="false">SUMIF(Woblink!E$14:E$314,A72,konwertery!R$2:R$300)</f>
        <v>0</v>
      </c>
      <c r="AF72" s="9" t="n">
        <f aca="false">SUM(SUMIF(konwertery!I$2:I$300,A72,Azymut!H$2:H$298),(SUMIF(konwertery!S$2:S$300,A72,AzymutB!H$2:H363)*2))</f>
        <v>0</v>
      </c>
      <c r="AG72" s="8" t="n">
        <f aca="false">SUM(SUMIF(konwertery!I$2:I$300,A72,konwertery!J$2:J$300),SUMIF(konwertery!S$2:S$300,A72,konwertery!T$2:T$300))</f>
        <v>0</v>
      </c>
      <c r="AI72" s="9" t="n">
        <f aca="false">SUMIF(konwertery!K$2:K$300,A72,Ebookpoint!F$14:F$312)</f>
        <v>0</v>
      </c>
      <c r="AJ72" s="9" t="n">
        <f aca="false">SUMIF(konwertery!K$2:K$300,A72,Ebookpoint!M$14:M$312)</f>
        <v>0</v>
      </c>
      <c r="AL72" s="9" t="n">
        <f aca="false">SUMIF(konwertery!L$2:L$300,A72,Nasbi!F$14:F$312)</f>
        <v>0</v>
      </c>
      <c r="AM72" s="9" t="n">
        <f aca="false">SUMIF(konwertery!L$2:L$300,A72,Nasbi!K$14:K$312)</f>
        <v>0</v>
      </c>
      <c r="AO72" s="9" t="n">
        <f aca="false">SUMIF(StorytelE!C$2:C$300,A72,konwertery!M$2:M$300)+SUMIF(StorytelA!C$2:C$300,A72,konwertery!N$2:N$300)</f>
        <v>0</v>
      </c>
      <c r="AP72" s="9" t="n">
        <f aca="false">SUMIF(StorytelE!C$2:C$300,A72,konwertery!O$2:O$300)+SUMIF(StorytelA!C$2:C$300,A72,konwertery!P$2:P$300)</f>
        <v>0</v>
      </c>
      <c r="AR72" s="9" t="n">
        <f aca="false">SUMIF(konwertery!U$2:U$300,A72,Audioteka!E$4:E$302)</f>
        <v>0</v>
      </c>
      <c r="AS72" s="9" t="n">
        <f aca="false">SUMIF(konwertery!U$2:U$300,A72,Audioteka!O$4:O$302)</f>
        <v>0</v>
      </c>
      <c r="AU72" s="9" t="n">
        <f aca="false">SUMIF(Bookbeat!A$9:A$309,A72,Bookbeat!H$9:H$309)</f>
        <v>0</v>
      </c>
      <c r="AV72" s="10" t="n">
        <f aca="false">SUMIF(Bookbeat!A$9:A$309,A72,Bookbeat!L$9:L$309)</f>
        <v>0</v>
      </c>
    </row>
    <row r="73" customFormat="false" ht="15.75" hidden="false" customHeight="false" outlineLevel="0" collapsed="false">
      <c r="A73" s="11" t="n">
        <v>9788365156860</v>
      </c>
      <c r="B73" s="8" t="s">
        <v>86</v>
      </c>
      <c r="E73" s="3" t="n">
        <f aca="false">H73+K73</f>
        <v>22</v>
      </c>
      <c r="F73" s="4" t="n">
        <f aca="false">I73+L73</f>
        <v>266.993</v>
      </c>
      <c r="H73" s="9" t="n">
        <f aca="false">SUMIF(konwertery!A$2:A$300,A73,Histmag!C$2:C$300)</f>
        <v>9</v>
      </c>
      <c r="I73" s="10" t="n">
        <f aca="false">SUMIF(konwertery!A$2:A$300,A73,konwertery!B$2:B$300) * 0.97</f>
        <v>140.553</v>
      </c>
      <c r="K73" s="7" t="n">
        <f aca="false">N73+Q73+T73+W73+Z73+AC73+AF73+AI73+AL73+AO73+AR73+AU73</f>
        <v>13</v>
      </c>
      <c r="L73" s="12" t="n">
        <f aca="false">O73+R73+U73+X73+AA73+AD73+AG73+AJ73+AM73+AP73+AS73+AV73</f>
        <v>126.44</v>
      </c>
      <c r="N73" s="9" t="n">
        <f aca="false">SUMIF(konwertery!C$2:C$300,A73,Virtualo!L$2:L$300)</f>
        <v>1</v>
      </c>
      <c r="O73" s="10" t="n">
        <f aca="false">(SUMIF(konwertery!C$2:C$300,A73,Virtualo!P$2:P$300))</f>
        <v>12.31</v>
      </c>
      <c r="Q73" s="9" t="n">
        <f aca="false">SUMIF(konwertery!D$2:D$300,A73,Empik!M$2:M$300)</f>
        <v>0</v>
      </c>
      <c r="R73" s="10" t="n">
        <f aca="false">SUMIF(konwertery!D$2:D$300,A73,Empik!N$2:N$300)</f>
        <v>0</v>
      </c>
      <c r="T73" s="13" t="n">
        <f aca="false">SUMIF(konwertery!E$2:E$300,A73,Publio!P$2:P$300)</f>
        <v>5</v>
      </c>
      <c r="U73" s="14" t="n">
        <f aca="false">SUMIF(konwertery!E$2:E$300,A73,konwertery!F$2:F$300)</f>
        <v>56.85</v>
      </c>
      <c r="W73" s="9" t="n">
        <f aca="false">SUMIF(Legimi!D$2:D$300,A73,Legimi!G$2:G$300)</f>
        <v>1</v>
      </c>
      <c r="X73" s="10" t="n">
        <f aca="false">SUMIF(Legimi!D$2:D$300,A73,Legimi!H$2:H$300)</f>
        <v>13.27</v>
      </c>
      <c r="Z73" s="9" t="n">
        <f aca="false">SUMIF(konwertery!G$2:G$302,A73,Nexto!J$2:J$283)</f>
        <v>0</v>
      </c>
      <c r="AA73" s="9" t="n">
        <f aca="false">SUMIF(konwertery!G$2:G$302,A73,Nexto!N$2:P$302)</f>
        <v>0</v>
      </c>
      <c r="AC73" s="9" t="n">
        <f aca="false">SUMIF(Woblink!E$9:E$309,A73,Woblink!I$9:I$309)</f>
        <v>0</v>
      </c>
      <c r="AD73" s="10" t="n">
        <f aca="false">SUMIF(Woblink!E$14:E$314,A73,konwertery!R$2:R$300)</f>
        <v>0</v>
      </c>
      <c r="AF73" s="9" t="n">
        <f aca="false">SUM(SUMIF(konwertery!I$2:I$300,A73,Azymut!H$2:H$298),(SUMIF(konwertery!S$2:S$300,A73,AzymutB!H$2:H364)*2))</f>
        <v>1</v>
      </c>
      <c r="AG73" s="8" t="n">
        <f aca="false">SUM(SUMIF(konwertery!I$2:I$300,A73,konwertery!J$2:J$300),SUMIF(konwertery!S$2:S$300,A73,konwertery!T$2:T$300))</f>
        <v>11.37</v>
      </c>
      <c r="AI73" s="9" t="n">
        <f aca="false">SUMIF(konwertery!K$2:K$300,A73,Ebookpoint!F$14:F$312)</f>
        <v>2</v>
      </c>
      <c r="AJ73" s="9" t="n">
        <f aca="false">SUMIF(konwertery!K$2:K$300,A73,Ebookpoint!M$14:M$312)</f>
        <v>24.26</v>
      </c>
      <c r="AL73" s="9" t="n">
        <f aca="false">SUMIF(konwertery!L$2:L$300,A73,Nasbi!F$14:F$312)</f>
        <v>0</v>
      </c>
      <c r="AM73" s="9" t="n">
        <f aca="false">SUMIF(konwertery!L$2:L$300,A73,Nasbi!K$14:K$312)</f>
        <v>0</v>
      </c>
      <c r="AO73" s="9" t="n">
        <f aca="false">SUMIF(StorytelE!C$2:C$300,A73,konwertery!M$2:M$300)+SUMIF(StorytelA!C$2:C$300,A73,konwertery!N$2:N$300)</f>
        <v>3</v>
      </c>
      <c r="AP73" s="9" t="n">
        <f aca="false">SUMIF(StorytelE!C$2:C$300,A73,konwertery!O$2:O$300)+SUMIF(StorytelA!C$2:C$300,A73,konwertery!P$2:P$300)</f>
        <v>8.38</v>
      </c>
      <c r="AR73" s="9" t="n">
        <f aca="false">SUMIF(konwertery!U$2:U$300,A73,Audioteka!E$4:E$302)</f>
        <v>0</v>
      </c>
      <c r="AS73" s="9" t="n">
        <f aca="false">SUMIF(konwertery!U$2:U$300,A73,Audioteka!O$4:O$302)</f>
        <v>0</v>
      </c>
      <c r="AU73" s="9" t="n">
        <f aca="false">SUMIF(Bookbeat!A$9:A$309,A73,Bookbeat!H$9:H$309)</f>
        <v>0</v>
      </c>
      <c r="AV73" s="10" t="n">
        <f aca="false">SUMIF(Bookbeat!A$9:A$309,A73,Bookbeat!L$9:L$309)</f>
        <v>0</v>
      </c>
    </row>
    <row r="74" customFormat="false" ht="15.75" hidden="false" customHeight="false" outlineLevel="0" collapsed="false">
      <c r="A74" s="11" t="n">
        <v>9788365156396</v>
      </c>
      <c r="B74" s="8" t="s">
        <v>87</v>
      </c>
      <c r="E74" s="3" t="n">
        <f aca="false">H74+K74</f>
        <v>1</v>
      </c>
      <c r="F74" s="4" t="n">
        <f aca="false">I74+L74</f>
        <v>5.9461</v>
      </c>
      <c r="H74" s="9" t="n">
        <f aca="false">SUMIF(konwertery!A$2:A$300,A74,Histmag!C$2:C$300)</f>
        <v>1</v>
      </c>
      <c r="I74" s="10" t="n">
        <f aca="false">SUMIF(konwertery!A$2:A$300,A74,konwertery!B$2:B$300) * 0.97</f>
        <v>5.9461</v>
      </c>
      <c r="K74" s="7" t="n">
        <f aca="false">N74+Q74+T74+W74+Z74+AC74+AF74+AI74+AL74+AO74+AR74+AU74</f>
        <v>0</v>
      </c>
      <c r="L74" s="12" t="n">
        <f aca="false">O74+R74+U74+X74+AA74+AD74+AG74+AJ74+AM74+AP74+AS74+AV74</f>
        <v>0</v>
      </c>
      <c r="N74" s="9" t="n">
        <f aca="false">SUMIF(konwertery!C$2:C$300,A74,Virtualo!L$2:L$300)</f>
        <v>0</v>
      </c>
      <c r="O74" s="10" t="n">
        <f aca="false">(SUMIF(konwertery!C$2:C$300,A74,Virtualo!P$2:P$300))</f>
        <v>0</v>
      </c>
      <c r="Q74" s="9" t="n">
        <f aca="false">SUMIF(konwertery!D$2:D$300,A74,Empik!M$2:M$300)</f>
        <v>0</v>
      </c>
      <c r="R74" s="10" t="n">
        <f aca="false">SUMIF(konwertery!D$2:D$300,A74,Empik!N$2:N$300)</f>
        <v>0</v>
      </c>
      <c r="T74" s="13" t="n">
        <f aca="false">SUMIF(konwertery!E$2:E$300,A74,Publio!P$2:P$300)</f>
        <v>0</v>
      </c>
      <c r="U74" s="14" t="n">
        <f aca="false">SUMIF(konwertery!E$2:E$300,A74,konwertery!F$2:F$300)</f>
        <v>0</v>
      </c>
      <c r="W74" s="9" t="n">
        <f aca="false">SUMIF(Legimi!D$2:D$300,A74,Legimi!G$2:G$300)</f>
        <v>0</v>
      </c>
      <c r="X74" s="10" t="n">
        <f aca="false">SUMIF(Legimi!D$2:D$300,A74,Legimi!H$2:H$300)</f>
        <v>0</v>
      </c>
      <c r="Z74" s="9" t="n">
        <f aca="false">SUMIF(konwertery!G$2:G$302,A74,Nexto!J$2:J$283)</f>
        <v>0</v>
      </c>
      <c r="AA74" s="9" t="n">
        <f aca="false">SUMIF(konwertery!G$2:G$302,A74,Nexto!N$2:P$302)</f>
        <v>0</v>
      </c>
      <c r="AC74" s="9" t="n">
        <f aca="false">SUMIF(Woblink!E$9:E$309,A74,Woblink!I$9:I$309)</f>
        <v>0</v>
      </c>
      <c r="AD74" s="10" t="n">
        <f aca="false">SUMIF(Woblink!E$14:E$314,A74,konwertery!R$2:R$300)</f>
        <v>0</v>
      </c>
      <c r="AF74" s="9" t="n">
        <f aca="false">SUM(SUMIF(konwertery!I$2:I$300,A74,Azymut!H$2:H$298),(SUMIF(konwertery!S$2:S$300,A74,AzymutB!H$2:H364)*2))</f>
        <v>0</v>
      </c>
      <c r="AG74" s="8" t="n">
        <f aca="false">SUM(SUMIF(konwertery!I$2:I$300,A74,konwertery!J$2:J$300),SUMIF(konwertery!S$2:S$300,A74,konwertery!T$2:T$300))</f>
        <v>0</v>
      </c>
      <c r="AI74" s="9" t="n">
        <f aca="false">SUMIF(konwertery!K$2:K$300,A74,Ebookpoint!F$14:F$312)</f>
        <v>0</v>
      </c>
      <c r="AJ74" s="9" t="n">
        <f aca="false">SUMIF(konwertery!K$2:K$300,A74,Ebookpoint!M$14:M$312)</f>
        <v>0</v>
      </c>
      <c r="AL74" s="9" t="n">
        <f aca="false">SUMIF(konwertery!L$2:L$300,A74,Nasbi!F$14:F$312)</f>
        <v>0</v>
      </c>
      <c r="AM74" s="9" t="n">
        <f aca="false">SUMIF(konwertery!L$2:L$300,A74,Nasbi!K$14:K$312)</f>
        <v>0</v>
      </c>
      <c r="AO74" s="9" t="n">
        <f aca="false">SUMIF(StorytelE!C$2:C$300,A74,konwertery!M$2:M$300)+SUMIF(StorytelA!C$2:C$300,A74,konwertery!N$2:N$300)</f>
        <v>0</v>
      </c>
      <c r="AP74" s="9" t="n">
        <f aca="false">SUMIF(StorytelE!C$2:C$300,A74,konwertery!O$2:O$300)+SUMIF(StorytelA!C$2:C$300,A74,konwertery!P$2:P$300)</f>
        <v>0</v>
      </c>
      <c r="AR74" s="9" t="n">
        <f aca="false">SUMIF(konwertery!U$2:U$300,A74,Audioteka!E$4:E$302)</f>
        <v>0</v>
      </c>
      <c r="AS74" s="9" t="n">
        <f aca="false">SUMIF(konwertery!U$2:U$300,A74,Audioteka!O$4:O$302)</f>
        <v>0</v>
      </c>
      <c r="AU74" s="9" t="n">
        <f aca="false">SUMIF(Bookbeat!A$9:A$309,A74,Bookbeat!H$9:H$309)</f>
        <v>0</v>
      </c>
      <c r="AV74" s="10" t="n">
        <f aca="false">SUMIF(Bookbeat!A$9:A$309,A74,Bookbeat!L$9:L$309)</f>
        <v>0</v>
      </c>
    </row>
    <row r="75" customFormat="false" ht="15.75" hidden="false" customHeight="false" outlineLevel="0" collapsed="false">
      <c r="A75" s="11" t="n">
        <v>9788365156150</v>
      </c>
      <c r="B75" s="8" t="s">
        <v>88</v>
      </c>
      <c r="E75" s="3" t="n">
        <f aca="false">H75+K75</f>
        <v>1</v>
      </c>
      <c r="F75" s="4" t="n">
        <f aca="false">I75+L75</f>
        <v>9.08</v>
      </c>
      <c r="H75" s="9" t="n">
        <f aca="false">SUMIF(konwertery!A$2:A$300,A75,Histmag!C$2:C$300)</f>
        <v>0</v>
      </c>
      <c r="I75" s="10" t="n">
        <f aca="false">SUMIF(konwertery!A$2:A$300,A75,konwertery!B$2:B$300) * 0.97</f>
        <v>0</v>
      </c>
      <c r="K75" s="7" t="n">
        <f aca="false">N75+Q75+T75+W75+Z75+AC75+AF75+AI75+AL75+AO75+AR75+AU75</f>
        <v>1</v>
      </c>
      <c r="L75" s="12" t="n">
        <f aca="false">O75+R75+U75+X75+AA75+AD75+AG75+AJ75+AM75+AP75+AS75+AV75</f>
        <v>9.08</v>
      </c>
      <c r="N75" s="9" t="n">
        <f aca="false">SUMIF(konwertery!C$2:C$300,A75,Virtualo!L$2:L$300)</f>
        <v>0</v>
      </c>
      <c r="O75" s="10" t="n">
        <f aca="false">(SUMIF(konwertery!C$2:C$300,A75,Virtualo!P$2:P$300))</f>
        <v>0</v>
      </c>
      <c r="Q75" s="9" t="n">
        <f aca="false">SUMIF(konwertery!D$2:D$300,A75,Empik!M$2:M$300)</f>
        <v>0</v>
      </c>
      <c r="R75" s="10" t="n">
        <f aca="false">SUMIF(konwertery!D$2:D$300,A75,Empik!N$2:N$300)</f>
        <v>0</v>
      </c>
      <c r="T75" s="13" t="n">
        <f aca="false">SUMIF(konwertery!E$2:E$300,A75,Publio!P$2:P$300)</f>
        <v>0</v>
      </c>
      <c r="U75" s="14" t="n">
        <f aca="false">SUMIF(konwertery!E$2:E$300,A75,konwertery!F$2:F$300)</f>
        <v>0</v>
      </c>
      <c r="W75" s="9" t="n">
        <f aca="false">SUMIF(Legimi!D$2:D$300,A75,Legimi!G$2:G$300)</f>
        <v>0</v>
      </c>
      <c r="X75" s="10" t="n">
        <f aca="false">SUMIF(Legimi!D$2:D$300,A75,Legimi!H$2:H$300)</f>
        <v>0</v>
      </c>
      <c r="Z75" s="9" t="n">
        <f aca="false">SUMIF(konwertery!G$2:G$302,A75,Nexto!J$2:J$283)</f>
        <v>0</v>
      </c>
      <c r="AA75" s="9" t="n">
        <f aca="false">SUMIF(konwertery!G$2:G$302,A75,Nexto!N$2:P$302)</f>
        <v>0</v>
      </c>
      <c r="AC75" s="9" t="n">
        <f aca="false">SUMIF(Woblink!E$9:E$309,A75,Woblink!I$9:I$309)</f>
        <v>0</v>
      </c>
      <c r="AD75" s="10" t="n">
        <f aca="false">SUMIF(Woblink!E$14:E$314,A75,konwertery!R$2:R$300)</f>
        <v>0</v>
      </c>
      <c r="AF75" s="9" t="n">
        <f aca="false">SUM(SUMIF(konwertery!I$2:I$300,A75,Azymut!H$2:H$298),(SUMIF(konwertery!S$2:S$300,A75,AzymutB!H$2:H365)*2))</f>
        <v>0</v>
      </c>
      <c r="AG75" s="8" t="n">
        <f aca="false">SUM(SUMIF(konwertery!I$2:I$300,A75,konwertery!J$2:J$300),SUMIF(konwertery!S$2:S$300,A75,konwertery!T$2:T$300))</f>
        <v>0</v>
      </c>
      <c r="AI75" s="9" t="n">
        <f aca="false">SUMIF(konwertery!K$2:K$300,A75,Ebookpoint!F$14:F$312)</f>
        <v>1</v>
      </c>
      <c r="AJ75" s="9" t="n">
        <f aca="false">SUMIF(konwertery!K$2:K$300,A75,Ebookpoint!M$14:M$312)</f>
        <v>9.08</v>
      </c>
      <c r="AL75" s="9" t="n">
        <f aca="false">SUMIF(konwertery!L$2:L$300,A75,Nasbi!F$14:F$312)</f>
        <v>0</v>
      </c>
      <c r="AM75" s="9" t="n">
        <f aca="false">SUMIF(konwertery!L$2:L$300,A75,Nasbi!K$14:K$312)</f>
        <v>0</v>
      </c>
      <c r="AO75" s="9" t="n">
        <f aca="false">SUMIF(StorytelE!C$2:C$300,A75,konwertery!M$2:M$300)+SUMIF(StorytelA!C$2:C$300,A75,konwertery!N$2:N$300)</f>
        <v>0</v>
      </c>
      <c r="AP75" s="9" t="n">
        <f aca="false">SUMIF(StorytelE!C$2:C$300,A75,konwertery!O$2:O$300)+SUMIF(StorytelA!C$2:C$300,A75,konwertery!P$2:P$300)</f>
        <v>0</v>
      </c>
      <c r="AR75" s="9" t="n">
        <f aca="false">SUMIF(konwertery!U$2:U$300,A75,Audioteka!E$4:E$302)</f>
        <v>0</v>
      </c>
      <c r="AS75" s="9" t="n">
        <f aca="false">SUMIF(konwertery!U$2:U$300,A75,Audioteka!O$4:O$302)</f>
        <v>0</v>
      </c>
      <c r="AU75" s="9" t="n">
        <f aca="false">SUMIF(Bookbeat!A$9:A$309,A75,Bookbeat!H$9:H$309)</f>
        <v>0</v>
      </c>
      <c r="AV75" s="10" t="n">
        <f aca="false">SUMIF(Bookbeat!A$9:A$309,A75,Bookbeat!L$9:L$309)</f>
        <v>0</v>
      </c>
    </row>
    <row r="76" customFormat="false" ht="15.75" hidden="false" customHeight="false" outlineLevel="0" collapsed="false">
      <c r="A76" s="11" t="n">
        <v>9788365156600</v>
      </c>
      <c r="B76" s="8" t="s">
        <v>89</v>
      </c>
      <c r="E76" s="3" t="n">
        <f aca="false">H76+K76</f>
        <v>2</v>
      </c>
      <c r="F76" s="4" t="n">
        <f aca="false">I76+L76</f>
        <v>21.99</v>
      </c>
      <c r="H76" s="9" t="n">
        <f aca="false">SUMIF(konwertery!A$2:A$300,A76,Histmag!C$2:C$300)</f>
        <v>0</v>
      </c>
      <c r="I76" s="10" t="n">
        <f aca="false">SUMIF(konwertery!A$2:A$300,A76,konwertery!B$2:B$300) * 0.97</f>
        <v>0</v>
      </c>
      <c r="K76" s="7" t="n">
        <f aca="false">N76+Q76+T76+W76+Z76+AC76+AF76+AI76+AL76+AO76+AR76+AU76</f>
        <v>2</v>
      </c>
      <c r="L76" s="12" t="n">
        <f aca="false">O76+R76+U76+X76+AA76+AD76+AG76+AJ76+AM76+AP76+AS76+AV76</f>
        <v>21.99</v>
      </c>
      <c r="N76" s="9" t="n">
        <f aca="false">SUMIF(konwertery!C$2:C$300,A76,Virtualo!L$2:L$300)</f>
        <v>1</v>
      </c>
      <c r="O76" s="10" t="n">
        <f aca="false">(SUMIF(konwertery!C$2:C$300,A76,Virtualo!P$2:P$300))</f>
        <v>11.08</v>
      </c>
      <c r="Q76" s="9" t="n">
        <f aca="false">SUMIF(konwertery!D$2:D$300,A76,Empik!M$2:M$300)</f>
        <v>0</v>
      </c>
      <c r="R76" s="10" t="n">
        <f aca="false">SUMIF(konwertery!D$2:D$300,A76,Empik!N$2:N$300)</f>
        <v>0</v>
      </c>
      <c r="T76" s="13" t="n">
        <f aca="false">SUMIF(konwertery!E$2:E$300,A76,Publio!P$2:P$300)</f>
        <v>0</v>
      </c>
      <c r="U76" s="14" t="n">
        <f aca="false">SUMIF(konwertery!E$2:E$300,A76,konwertery!F$2:F$300)</f>
        <v>0</v>
      </c>
      <c r="W76" s="9" t="n">
        <f aca="false">SUMIF(Legimi!D$2:D$300,A76,Legimi!G$2:G$300)</f>
        <v>0</v>
      </c>
      <c r="X76" s="10" t="n">
        <f aca="false">SUMIF(Legimi!D$2:D$300,A76,Legimi!H$2:H$300)</f>
        <v>0</v>
      </c>
      <c r="Z76" s="9" t="n">
        <f aca="false">SUMIF(konwertery!G$2:G$302,A76,Nexto!J$2:J$283)</f>
        <v>0</v>
      </c>
      <c r="AA76" s="9" t="n">
        <f aca="false">SUMIF(konwertery!G$2:G$302,A76,Nexto!N$2:P$302)</f>
        <v>0</v>
      </c>
      <c r="AC76" s="9" t="n">
        <f aca="false">SUMIF(Woblink!E$9:E$309,A76,Woblink!I$9:I$309)</f>
        <v>0</v>
      </c>
      <c r="AD76" s="10" t="n">
        <f aca="false">SUMIF(Woblink!E$14:E$314,A76,konwertery!R$2:R$300)</f>
        <v>0</v>
      </c>
      <c r="AF76" s="9" t="n">
        <f aca="false">SUM(SUMIF(konwertery!I$2:I$300,A76,Azymut!H$2:H$298),(SUMIF(konwertery!S$2:S$300,A76,AzymutB!H$2:H366)*2))</f>
        <v>0</v>
      </c>
      <c r="AG76" s="8" t="n">
        <f aca="false">SUM(SUMIF(konwertery!I$2:I$300,A76,konwertery!J$2:J$300),SUMIF(konwertery!S$2:S$300,A76,konwertery!T$2:T$300))</f>
        <v>0</v>
      </c>
      <c r="AI76" s="9" t="n">
        <f aca="false">SUMIF(konwertery!K$2:K$300,A76,Ebookpoint!F$14:F$312)</f>
        <v>1</v>
      </c>
      <c r="AJ76" s="9" t="n">
        <f aca="false">SUMIF(konwertery!K$2:K$300,A76,Ebookpoint!M$14:M$312)</f>
        <v>10.91</v>
      </c>
      <c r="AL76" s="9" t="n">
        <f aca="false">SUMIF(konwertery!L$2:L$300,A76,Nasbi!F$14:F$312)</f>
        <v>0</v>
      </c>
      <c r="AM76" s="9" t="n">
        <f aca="false">SUMIF(konwertery!L$2:L$300,A76,Nasbi!K$14:K$312)</f>
        <v>0</v>
      </c>
      <c r="AO76" s="9" t="n">
        <f aca="false">SUMIF(StorytelE!C$2:C$300,A76,konwertery!M$2:M$300)+SUMIF(StorytelA!C$2:C$300,A76,konwertery!N$2:N$300)</f>
        <v>0</v>
      </c>
      <c r="AP76" s="9" t="n">
        <f aca="false">SUMIF(StorytelE!C$2:C$300,A76,konwertery!O$2:O$300)+SUMIF(StorytelA!C$2:C$300,A76,konwertery!P$2:P$300)</f>
        <v>0</v>
      </c>
      <c r="AR76" s="9" t="n">
        <f aca="false">SUMIF(konwertery!U$2:U$300,A76,Audioteka!E$4:E$302)</f>
        <v>0</v>
      </c>
      <c r="AS76" s="9" t="n">
        <f aca="false">SUMIF(konwertery!U$2:U$300,A76,Audioteka!O$4:O$302)</f>
        <v>0</v>
      </c>
      <c r="AU76" s="9" t="n">
        <f aca="false">SUMIF(Bookbeat!A$9:A$309,A76,Bookbeat!H$9:H$309)</f>
        <v>0</v>
      </c>
      <c r="AV76" s="10" t="n">
        <f aca="false">SUMIF(Bookbeat!A$9:A$309,A76,Bookbeat!L$9:L$309)</f>
        <v>0</v>
      </c>
    </row>
    <row r="77" customFormat="false" ht="15.75" hidden="false" customHeight="false" outlineLevel="0" collapsed="false">
      <c r="A77" s="11" t="n">
        <v>9788365156556</v>
      </c>
      <c r="B77" s="8" t="s">
        <v>90</v>
      </c>
      <c r="E77" s="3" t="n">
        <f aca="false">H77+K77</f>
        <v>70</v>
      </c>
      <c r="F77" s="4" t="n">
        <f aca="false">I77+L77</f>
        <v>469.9475</v>
      </c>
      <c r="H77" s="9" t="n">
        <f aca="false">SUMIF(konwertery!A$2:A$300,A77,Histmag!C$2:C$300)</f>
        <v>5</v>
      </c>
      <c r="I77" s="10" t="n">
        <f aca="false">SUMIF(konwertery!A$2:A$300,A77,konwertery!B$2:B$300) * 0.97</f>
        <v>55.0475</v>
      </c>
      <c r="K77" s="7" t="n">
        <f aca="false">N77+Q77+T77+W77+Z77+AC77+AF77+AI77+AL77+AO77+AR77+AU77</f>
        <v>65</v>
      </c>
      <c r="L77" s="12" t="n">
        <f aca="false">O77+R77+U77+X77+AA77+AD77+AG77+AJ77+AM77+AP77+AS77+AV77</f>
        <v>414.9</v>
      </c>
      <c r="N77" s="9" t="n">
        <f aca="false">SUMIF(konwertery!C$2:C$300,A77,Virtualo!L$2:L$300)</f>
        <v>1</v>
      </c>
      <c r="O77" s="10" t="n">
        <f aca="false">(SUMIF(konwertery!C$2:C$300,A77,Virtualo!P$2:P$300))</f>
        <v>11.08</v>
      </c>
      <c r="Q77" s="9" t="n">
        <f aca="false">SUMIF(konwertery!D$2:D$300,A77,Empik!M$2:M$300)</f>
        <v>0</v>
      </c>
      <c r="R77" s="10" t="n">
        <f aca="false">SUMIF(konwertery!D$2:D$300,A77,Empik!N$2:N$300)</f>
        <v>0</v>
      </c>
      <c r="T77" s="13" t="n">
        <f aca="false">SUMIF(konwertery!E$2:E$300,A77,Publio!P$2:P$300)</f>
        <v>1</v>
      </c>
      <c r="U77" s="14" t="n">
        <f aca="false">SUMIF(konwertery!E$2:E$300,A77,konwertery!F$2:F$300)</f>
        <v>8.69</v>
      </c>
      <c r="W77" s="9" t="n">
        <f aca="false">SUMIF(Legimi!D$2:D$300,A77,Legimi!G$2:G$300)</f>
        <v>0</v>
      </c>
      <c r="X77" s="10" t="n">
        <f aca="false">SUMIF(Legimi!D$2:D$300,A77,Legimi!H$2:H$300)</f>
        <v>0</v>
      </c>
      <c r="Z77" s="9" t="n">
        <f aca="false">SUMIF(konwertery!G$2:G$302,A77,Nexto!J$2:J$283)</f>
        <v>0</v>
      </c>
      <c r="AA77" s="9" t="n">
        <f aca="false">SUMIF(konwertery!G$2:G$302,A77,Nexto!N$2:P$302)</f>
        <v>0</v>
      </c>
      <c r="AC77" s="9" t="n">
        <f aca="false">SUMIF(Woblink!E$9:E$309,A77,Woblink!I$9:I$309)</f>
        <v>0</v>
      </c>
      <c r="AD77" s="10" t="n">
        <f aca="false">SUMIF(Woblink!E$14:E$314,A77,konwertery!R$2:R$300)</f>
        <v>0</v>
      </c>
      <c r="AF77" s="9" t="n">
        <f aca="false">SUM(SUMIF(konwertery!I$2:I$300,A77,Azymut!H$2:H$298),(SUMIF(konwertery!S$2:S$300,A77,AzymutB!H$2:H367)*2))</f>
        <v>0</v>
      </c>
      <c r="AG77" s="8" t="n">
        <f aca="false">SUM(SUMIF(konwertery!I$2:I$300,A77,konwertery!J$2:J$300),SUMIF(konwertery!S$2:S$300,A77,konwertery!T$2:T$300))</f>
        <v>0</v>
      </c>
      <c r="AI77" s="9" t="n">
        <f aca="false">SUMIF(konwertery!K$2:K$300,A77,Ebookpoint!F$14:F$312)</f>
        <v>63</v>
      </c>
      <c r="AJ77" s="9" t="n">
        <f aca="false">SUMIF(konwertery!K$2:K$300,A77,Ebookpoint!M$14:M$312)</f>
        <v>395.13</v>
      </c>
      <c r="AL77" s="9" t="n">
        <f aca="false">SUMIF(konwertery!L$2:L$300,A77,Nasbi!F$14:F$312)</f>
        <v>0</v>
      </c>
      <c r="AM77" s="9" t="n">
        <f aca="false">SUMIF(konwertery!L$2:L$300,A77,Nasbi!K$14:K$312)</f>
        <v>0</v>
      </c>
      <c r="AO77" s="9" t="n">
        <f aca="false">SUMIF(StorytelE!C$2:C$300,A77,konwertery!M$2:M$300)+SUMIF(StorytelA!C$2:C$300,A77,konwertery!N$2:N$300)</f>
        <v>0</v>
      </c>
      <c r="AP77" s="9" t="n">
        <f aca="false">SUMIF(StorytelE!C$2:C$300,A77,konwertery!O$2:O$300)+SUMIF(StorytelA!C$2:C$300,A77,konwertery!P$2:P$300)</f>
        <v>0</v>
      </c>
      <c r="AR77" s="9" t="n">
        <f aca="false">SUMIF(konwertery!U$2:U$300,A77,Audioteka!E$4:E$302)</f>
        <v>0</v>
      </c>
      <c r="AS77" s="9" t="n">
        <f aca="false">SUMIF(konwertery!U$2:U$300,A77,Audioteka!O$4:O$302)</f>
        <v>0</v>
      </c>
      <c r="AU77" s="9" t="n">
        <f aca="false">SUMIF(Bookbeat!A$9:A$309,A77,Bookbeat!H$9:H$309)</f>
        <v>0</v>
      </c>
      <c r="AV77" s="10" t="n">
        <f aca="false">SUMIF(Bookbeat!A$9:A$309,A77,Bookbeat!L$9:L$309)</f>
        <v>0</v>
      </c>
    </row>
    <row r="78" customFormat="false" ht="15.75" hidden="false" customHeight="false" outlineLevel="0" collapsed="false">
      <c r="A78" s="11" t="n">
        <v>9788365156648</v>
      </c>
      <c r="B78" s="15" t="s">
        <v>91</v>
      </c>
      <c r="E78" s="3" t="n">
        <f aca="false">H78+K78</f>
        <v>25</v>
      </c>
      <c r="F78" s="4" t="n">
        <f aca="false">I78+L78</f>
        <v>100.4543</v>
      </c>
      <c r="H78" s="9" t="n">
        <f aca="false">SUMIF(konwertery!A$2:A$300,A78,Histmag!C$2:C$300)</f>
        <v>1</v>
      </c>
      <c r="I78" s="10" t="n">
        <f aca="false">SUMIF(konwertery!A$2:A$300,A78,konwertery!B$2:B$300) * 0.97</f>
        <v>13.7643</v>
      </c>
      <c r="K78" s="7" t="n">
        <f aca="false">N78+Q78+T78+W78+Z78+AC78+AF78+AI78+AL78+AO78+AR78+AU78</f>
        <v>24</v>
      </c>
      <c r="L78" s="12" t="n">
        <f aca="false">O78+R78+U78+X78+AA78+AD78+AG78+AJ78+AM78+AP78+AS78+AV78</f>
        <v>86.69</v>
      </c>
      <c r="N78" s="9" t="n">
        <f aca="false">SUMIF(konwertery!C$2:C$300,A78,Virtualo!L$2:L$300)</f>
        <v>0</v>
      </c>
      <c r="O78" s="10" t="n">
        <f aca="false">(SUMIF(konwertery!C$2:C$300,A78,Virtualo!P$2:P$300))</f>
        <v>0</v>
      </c>
      <c r="Q78" s="9" t="n">
        <f aca="false">SUMIF(konwertery!D$2:D$300,A78,Empik!M$2:M$300)</f>
        <v>2</v>
      </c>
      <c r="R78" s="10" t="n">
        <f aca="false">SUMIF(konwertery!D$2:D$300,A78,Empik!N$2:N$300)</f>
        <v>14</v>
      </c>
      <c r="T78" s="13" t="n">
        <f aca="false">SUMIF(konwertery!E$2:E$300,A78,Publio!P$2:P$300)</f>
        <v>0</v>
      </c>
      <c r="U78" s="14" t="n">
        <f aca="false">SUMIF(konwertery!E$2:E$300,A78,konwertery!F$2:F$300)</f>
        <v>0</v>
      </c>
      <c r="W78" s="9" t="n">
        <f aca="false">SUMIF(Legimi!D$2:D$300,A78,Legimi!G$2:G$300)</f>
        <v>0</v>
      </c>
      <c r="X78" s="10" t="n">
        <f aca="false">SUMIF(Legimi!D$2:D$300,A78,Legimi!H$2:H$300)</f>
        <v>0</v>
      </c>
      <c r="Z78" s="9" t="n">
        <f aca="false">SUMIF(konwertery!G$2:G$302,A78,Nexto!J$2:J$283)</f>
        <v>0</v>
      </c>
      <c r="AA78" s="9" t="n">
        <f aca="false">SUMIF(konwertery!G$2:G$302,A78,Nexto!N$2:P$302)</f>
        <v>0</v>
      </c>
      <c r="AC78" s="9" t="n">
        <f aca="false">SUMIF(Woblink!E$9:E$309,A78,Woblink!I$9:I$309)</f>
        <v>0</v>
      </c>
      <c r="AD78" s="10" t="n">
        <f aca="false">SUMIF(Woblink!E$14:E$314,A78,konwertery!R$2:R$300)</f>
        <v>0</v>
      </c>
      <c r="AF78" s="9" t="n">
        <f aca="false">SUM(SUMIF(konwertery!I$2:I$300,A78,Azymut!H$2:H$298),(SUMIF(konwertery!S$2:S$300,A78,AzymutB!H$2:H368)*2))</f>
        <v>0</v>
      </c>
      <c r="AG78" s="8" t="n">
        <f aca="false">SUM(SUMIF(konwertery!I$2:I$300,A78,konwertery!J$2:J$300),SUMIF(konwertery!S$2:S$300,A78,konwertery!T$2:T$300))</f>
        <v>0</v>
      </c>
      <c r="AI78" s="9" t="n">
        <f aca="false">SUMIF(konwertery!K$2:K$300,A78,Ebookpoint!F$14:F$312)</f>
        <v>4</v>
      </c>
      <c r="AJ78" s="9" t="n">
        <f aca="false">SUMIF(konwertery!K$2:K$300,A78,Ebookpoint!M$14:M$312)</f>
        <v>43.64</v>
      </c>
      <c r="AL78" s="9" t="n">
        <f aca="false">SUMIF(konwertery!L$2:L$300,A78,Nasbi!F$14:F$312)</f>
        <v>0</v>
      </c>
      <c r="AM78" s="9" t="n">
        <f aca="false">SUMIF(konwertery!L$2:L$300,A78,Nasbi!K$14:K$312)</f>
        <v>0</v>
      </c>
      <c r="AO78" s="9" t="n">
        <f aca="false">SUMIF(StorytelE!C$2:C$300,A78,konwertery!M$2:M$300)+SUMIF(StorytelA!C$2:C$300,A78,konwertery!N$2:N$300)</f>
        <v>18</v>
      </c>
      <c r="AP78" s="9" t="n">
        <f aca="false">SUMIF(StorytelE!C$2:C$300,A78,konwertery!O$2:O$300)+SUMIF(StorytelA!C$2:C$300,A78,konwertery!P$2:P$300)</f>
        <v>29.05</v>
      </c>
      <c r="AR78" s="9" t="n">
        <f aca="false">SUMIF(konwertery!U$2:U$300,A78,Audioteka!E$4:E$302)</f>
        <v>0</v>
      </c>
      <c r="AS78" s="9" t="n">
        <f aca="false">SUMIF(konwertery!U$2:U$300,A78,Audioteka!O$4:O$302)</f>
        <v>0</v>
      </c>
      <c r="AU78" s="9" t="n">
        <f aca="false">SUMIF(Bookbeat!A$9:A$309,A78,Bookbeat!H$9:H$309)</f>
        <v>0</v>
      </c>
      <c r="AV78" s="10" t="n">
        <f aca="false">SUMIF(Bookbeat!A$9:A$309,A78,Bookbeat!L$9:L$309)</f>
        <v>0</v>
      </c>
    </row>
    <row r="79" customFormat="false" ht="15.75" hidden="false" customHeight="false" outlineLevel="0" collapsed="false">
      <c r="A79" s="11" t="n">
        <v>9788365156433</v>
      </c>
      <c r="B79" s="8" t="s">
        <v>92</v>
      </c>
      <c r="E79" s="3" t="n">
        <f aca="false">H79+K79</f>
        <v>4</v>
      </c>
      <c r="F79" s="4" t="n">
        <f aca="false">I79+L79</f>
        <v>32.1102</v>
      </c>
      <c r="H79" s="9" t="n">
        <f aca="false">SUMIF(konwertery!A$2:A$300,A79,Histmag!C$2:C$300)</f>
        <v>2</v>
      </c>
      <c r="I79" s="10" t="n">
        <f aca="false">SUMIF(konwertery!A$2:A$300,A79,konwertery!B$2:B$300) * 0.97</f>
        <v>21.9802</v>
      </c>
      <c r="K79" s="7" t="n">
        <f aca="false">N79+Q79+T79+W79+Z79+AC79+AF79+AI79+AL79+AO79+AR79+AU79</f>
        <v>2</v>
      </c>
      <c r="L79" s="12" t="n">
        <f aca="false">O79+R79+U79+X79+AA79+AD79+AG79+AJ79+AM79+AP79+AS79+AV79</f>
        <v>10.13</v>
      </c>
      <c r="N79" s="9" t="n">
        <f aca="false">SUMIF(konwertery!C$2:C$300,A79,Virtualo!L$2:L$300)</f>
        <v>0</v>
      </c>
      <c r="O79" s="10" t="n">
        <f aca="false">(SUMIF(konwertery!C$2:C$300,A79,Virtualo!P$2:P$300))</f>
        <v>0</v>
      </c>
      <c r="Q79" s="9" t="n">
        <f aca="false">SUMIF(konwertery!D$2:D$300,A79,Empik!M$2:M$300)</f>
        <v>0</v>
      </c>
      <c r="R79" s="10" t="n">
        <f aca="false">SUMIF(konwertery!D$2:D$300,A79,Empik!N$2:N$300)</f>
        <v>0</v>
      </c>
      <c r="T79" s="13" t="n">
        <f aca="false">SUMIF(konwertery!E$2:E$300,A79,Publio!P$2:P$300)</f>
        <v>0</v>
      </c>
      <c r="U79" s="14" t="n">
        <f aca="false">SUMIF(konwertery!E$2:E$300,A79,konwertery!F$2:F$300)</f>
        <v>0</v>
      </c>
      <c r="W79" s="9" t="n">
        <f aca="false">SUMIF(Legimi!D$2:D$300,A79,Legimi!G$2:G$300)</f>
        <v>0</v>
      </c>
      <c r="X79" s="10" t="n">
        <f aca="false">SUMIF(Legimi!D$2:D$300,A79,Legimi!H$2:H$300)</f>
        <v>0</v>
      </c>
      <c r="Z79" s="9" t="n">
        <f aca="false">SUMIF(konwertery!G$2:G$302,A79,Nexto!J$2:J$283)</f>
        <v>0</v>
      </c>
      <c r="AA79" s="9" t="n">
        <f aca="false">SUMIF(konwertery!G$2:G$302,A79,Nexto!N$2:P$302)</f>
        <v>0</v>
      </c>
      <c r="AC79" s="9" t="n">
        <f aca="false">SUMIF(Woblink!E$9:E$309,A79,Woblink!I$9:I$309)</f>
        <v>1</v>
      </c>
      <c r="AD79" s="10" t="n">
        <f aca="false">SUMIF(Woblink!E$14:E$314,A79,konwertery!R$2:R$300)</f>
        <v>8.51</v>
      </c>
      <c r="AF79" s="9" t="n">
        <f aca="false">SUM(SUMIF(konwertery!I$2:I$300,A79,Azymut!H$2:H$298),(SUMIF(konwertery!S$2:S$300,A79,AzymutB!H$2:H369)*2))</f>
        <v>0</v>
      </c>
      <c r="AG79" s="8" t="n">
        <f aca="false">SUM(SUMIF(konwertery!I$2:I$300,A79,konwertery!J$2:J$300),SUMIF(konwertery!S$2:S$300,A79,konwertery!T$2:T$300))</f>
        <v>0</v>
      </c>
      <c r="AI79" s="9" t="n">
        <f aca="false">SUMIF(konwertery!K$2:K$300,A79,Ebookpoint!F$14:F$312)</f>
        <v>0</v>
      </c>
      <c r="AJ79" s="9" t="n">
        <f aca="false">SUMIF(konwertery!K$2:K$300,A79,Ebookpoint!M$14:M$312)</f>
        <v>0</v>
      </c>
      <c r="AL79" s="9" t="n">
        <f aca="false">SUMIF(konwertery!L$2:L$300,A79,Nasbi!F$14:F$312)</f>
        <v>0</v>
      </c>
      <c r="AM79" s="9" t="n">
        <f aca="false">SUMIF(konwertery!L$2:L$300,A79,Nasbi!K$14:K$312)</f>
        <v>0</v>
      </c>
      <c r="AO79" s="9" t="n">
        <f aca="false">SUMIF(StorytelE!C$2:C$300,A79,konwertery!M$2:M$300)+SUMIF(StorytelA!C$2:C$300,A79,konwertery!N$2:N$300)</f>
        <v>1</v>
      </c>
      <c r="AP79" s="9" t="n">
        <f aca="false">SUMIF(StorytelE!C$2:C$300,A79,konwertery!O$2:O$300)+SUMIF(StorytelA!C$2:C$300,A79,konwertery!P$2:P$300)</f>
        <v>1.62</v>
      </c>
      <c r="AR79" s="9" t="n">
        <f aca="false">SUMIF(konwertery!U$2:U$300,A79,Audioteka!E$4:E$302)</f>
        <v>0</v>
      </c>
      <c r="AS79" s="9" t="n">
        <f aca="false">SUMIF(konwertery!U$2:U$300,A79,Audioteka!O$4:O$302)</f>
        <v>0</v>
      </c>
      <c r="AU79" s="9" t="n">
        <f aca="false">SUMIF(Bookbeat!A$9:A$309,A79,Bookbeat!H$9:H$309)</f>
        <v>0</v>
      </c>
      <c r="AV79" s="10" t="n">
        <f aca="false">SUMIF(Bookbeat!A$9:A$309,A79,Bookbeat!L$9:L$309)</f>
        <v>0</v>
      </c>
    </row>
    <row r="80" customFormat="false" ht="15.75" hidden="false" customHeight="false" outlineLevel="0" collapsed="false">
      <c r="A80" s="11" t="n">
        <v>9788365156785</v>
      </c>
      <c r="B80" s="15" t="s">
        <v>93</v>
      </c>
      <c r="E80" s="3" t="n">
        <f aca="false">H80+K80</f>
        <v>63</v>
      </c>
      <c r="F80" s="4" t="n">
        <f aca="false">I80+L80</f>
        <v>176.54</v>
      </c>
      <c r="H80" s="9" t="n">
        <f aca="false">SUMIF(konwertery!A$2:A$300,A80,Histmag!C$2:C$300)</f>
        <v>0</v>
      </c>
      <c r="I80" s="10" t="n">
        <f aca="false">SUMIF(konwertery!A$2:A$300,A80,konwertery!B$2:B$300) * 0.97</f>
        <v>0</v>
      </c>
      <c r="K80" s="7" t="n">
        <f aca="false">N80+Q80+T80+W80+Z80+AC80+AF80+AI80+AL80+AO80+AR80+AU80</f>
        <v>63</v>
      </c>
      <c r="L80" s="12" t="n">
        <f aca="false">O80+R80+U80+X80+AA80+AD80+AG80+AJ80+AM80+AP80+AS80+AV80</f>
        <v>176.54</v>
      </c>
      <c r="N80" s="9" t="n">
        <f aca="false">SUMIF(konwertery!C$2:C$300,A80,Virtualo!L$2:L$300)</f>
        <v>0</v>
      </c>
      <c r="O80" s="10" t="n">
        <f aca="false">(SUMIF(konwertery!C$2:C$300,A80,Virtualo!P$2:P$300))</f>
        <v>0</v>
      </c>
      <c r="Q80" s="9" t="n">
        <f aca="false">SUMIF(konwertery!D$2:D$300,A80,Empik!M$2:M$300)</f>
        <v>6</v>
      </c>
      <c r="R80" s="10" t="n">
        <f aca="false">SUMIF(konwertery!D$2:D$300,A80,Empik!N$2:N$300)</f>
        <v>50</v>
      </c>
      <c r="T80" s="13" t="n">
        <f aca="false">SUMIF(konwertery!E$2:E$300,A80,Publio!P$2:P$300)</f>
        <v>0</v>
      </c>
      <c r="U80" s="14" t="n">
        <f aca="false">SUMIF(konwertery!E$2:E$300,A80,konwertery!F$2:F$300)</f>
        <v>0</v>
      </c>
      <c r="W80" s="9" t="n">
        <f aca="false">SUMIF(Legimi!D$2:D$300,A80,Legimi!G$2:G$300)</f>
        <v>1</v>
      </c>
      <c r="X80" s="10" t="n">
        <f aca="false">SUMIF(Legimi!D$2:D$300,A80,Legimi!H$2:H$300)</f>
        <v>9.93</v>
      </c>
      <c r="Z80" s="9" t="n">
        <f aca="false">SUMIF(konwertery!G$2:G$302,A80,Nexto!J$2:J$283)</f>
        <v>0</v>
      </c>
      <c r="AA80" s="9" t="n">
        <f aca="false">SUMIF(konwertery!G$2:G$302,A80,Nexto!N$2:P$302)</f>
        <v>0</v>
      </c>
      <c r="AC80" s="9" t="n">
        <f aca="false">SUMIF(Woblink!E$9:E$309,A80,Woblink!I$9:I$309)</f>
        <v>2</v>
      </c>
      <c r="AD80" s="10" t="n">
        <f aca="false">SUMIF(Woblink!E$14:E$314,A80,konwertery!R$2:R$300)</f>
        <v>17.02</v>
      </c>
      <c r="AF80" s="9" t="n">
        <f aca="false">SUM(SUMIF(konwertery!I$2:I$300,A80,Azymut!H$2:H$298),(SUMIF(konwertery!S$2:S$300,A80,AzymutB!H$2:H370)*2))</f>
        <v>0</v>
      </c>
      <c r="AG80" s="8" t="n">
        <f aca="false">SUM(SUMIF(konwertery!I$2:I$300,A80,konwertery!J$2:J$300),SUMIF(konwertery!S$2:S$300,A80,konwertery!T$2:T$300))</f>
        <v>0</v>
      </c>
      <c r="AI80" s="9" t="n">
        <f aca="false">SUMIF(konwertery!K$2:K$300,A80,Ebookpoint!F$14:F$312)</f>
        <v>1</v>
      </c>
      <c r="AJ80" s="9" t="n">
        <f aca="false">SUMIF(konwertery!K$2:K$300,A80,Ebookpoint!M$14:M$312)</f>
        <v>9.08</v>
      </c>
      <c r="AL80" s="9" t="n">
        <f aca="false">SUMIF(konwertery!L$2:L$300,A80,Nasbi!F$14:F$312)</f>
        <v>0</v>
      </c>
      <c r="AM80" s="9" t="n">
        <f aca="false">SUMIF(konwertery!L$2:L$300,A80,Nasbi!K$14:K$312)</f>
        <v>0</v>
      </c>
      <c r="AO80" s="9" t="n">
        <f aca="false">SUMIF(StorytelE!C$2:C$300,A80,konwertery!M$2:M$300)+SUMIF(StorytelA!C$2:C$300,A80,konwertery!N$2:N$300)</f>
        <v>47</v>
      </c>
      <c r="AP80" s="9" t="n">
        <f aca="false">SUMIF(StorytelE!C$2:C$300,A80,konwertery!O$2:O$300)+SUMIF(StorytelA!C$2:C$300,A80,konwertery!P$2:P$300)</f>
        <v>70.55</v>
      </c>
      <c r="AR80" s="9" t="n">
        <f aca="false">SUMIF(konwertery!U$2:U$300,A80,Audioteka!E$4:E$302)</f>
        <v>1</v>
      </c>
      <c r="AS80" s="9" t="n">
        <f aca="false">SUMIF(konwertery!U$2:U$300,A80,Audioteka!O$4:O$302)</f>
        <v>8.51</v>
      </c>
      <c r="AU80" s="9" t="n">
        <f aca="false">SUMIF(Bookbeat!A$9:A$309,A80,Bookbeat!H$9:H$309)</f>
        <v>5</v>
      </c>
      <c r="AV80" s="10" t="n">
        <f aca="false">SUMIF(Bookbeat!A$9:A$309,A80,Bookbeat!L$9:L$309)</f>
        <v>11.45</v>
      </c>
    </row>
    <row r="81" customFormat="false" ht="15.75" hidden="false" customHeight="false" outlineLevel="0" collapsed="false">
      <c r="A81" s="11" t="n">
        <v>9788393463060</v>
      </c>
      <c r="B81" s="8" t="s">
        <v>94</v>
      </c>
      <c r="E81" s="3" t="n">
        <f aca="false">H81+K81</f>
        <v>7</v>
      </c>
      <c r="F81" s="4" t="n">
        <f aca="false">I81+L81</f>
        <v>51.541</v>
      </c>
      <c r="H81" s="9" t="n">
        <f aca="false">SUMIF(konwertery!A$2:A$300,A81,Histmag!C$2:C$300)</f>
        <v>2</v>
      </c>
      <c r="I81" s="10" t="n">
        <f aca="false">SUMIF(konwertery!A$2:A$300,A81,konwertery!B$2:B$300) * 0.97</f>
        <v>14.841</v>
      </c>
      <c r="K81" s="7" t="n">
        <f aca="false">N81+Q81+T81+W81+Z81+AC81+AF81+AI81+AL81+AO81+AR81+AU81</f>
        <v>5</v>
      </c>
      <c r="L81" s="12" t="n">
        <f aca="false">O81+R81+U81+X81+AA81+AD81+AG81+AJ81+AM81+AP81+AS81+AV81</f>
        <v>36.7</v>
      </c>
      <c r="N81" s="9" t="n">
        <f aca="false">SUMIF(konwertery!C$2:C$300,A81,Virtualo!L$2:L$300)</f>
        <v>0</v>
      </c>
      <c r="O81" s="10" t="n">
        <f aca="false">(SUMIF(konwertery!C$2:C$300,A81,Virtualo!P$2:P$300))</f>
        <v>0</v>
      </c>
      <c r="Q81" s="9" t="n">
        <f aca="false">SUMIF(konwertery!D$2:D$300,A81,Empik!M$2:M$300)</f>
        <v>0</v>
      </c>
      <c r="R81" s="10" t="n">
        <f aca="false">SUMIF(konwertery!D$2:D$300,A81,Empik!N$2:N$300)</f>
        <v>0</v>
      </c>
      <c r="T81" s="13" t="n">
        <f aca="false">SUMIF(konwertery!E$2:E$300,A81,Publio!P$2:P$300)</f>
        <v>0</v>
      </c>
      <c r="U81" s="14" t="n">
        <f aca="false">SUMIF(konwertery!E$2:E$300,A81,konwertery!F$2:F$300)</f>
        <v>0</v>
      </c>
      <c r="W81" s="9" t="n">
        <f aca="false">SUMIF(Legimi!D$2:D$300,A81,Legimi!G$2:G$300)</f>
        <v>2</v>
      </c>
      <c r="X81" s="10" t="n">
        <f aca="false">SUMIF(Legimi!D$2:D$300,A81,Legimi!H$2:H$300)</f>
        <v>19.86</v>
      </c>
      <c r="Z81" s="9" t="n">
        <f aca="false">SUMIF(konwertery!G$2:G$302,A81,Nexto!J$2:J$283)</f>
        <v>0</v>
      </c>
      <c r="AA81" s="9" t="n">
        <f aca="false">SUMIF(konwertery!G$2:G$302,A81,Nexto!N$2:P$302)</f>
        <v>0</v>
      </c>
      <c r="AC81" s="9" t="n">
        <f aca="false">SUMIF(Woblink!E$9:E$309,A81,Woblink!I$9:I$309)</f>
        <v>1</v>
      </c>
      <c r="AD81" s="10" t="n">
        <f aca="false">SUMIF(Woblink!E$14:E$314,A81,konwertery!R$2:R$300)</f>
        <v>6.8</v>
      </c>
      <c r="AF81" s="9" t="n">
        <f aca="false">SUM(SUMIF(konwertery!I$2:I$300,A81,Azymut!H$2:H$298),(SUMIF(konwertery!S$2:S$300,A81,AzymutB!H$2:H371)*2))</f>
        <v>1</v>
      </c>
      <c r="AG81" s="8" t="n">
        <f aca="false">SUM(SUMIF(konwertery!I$2:I$300,A81,konwertery!J$2:J$300),SUMIF(konwertery!S$2:S$300,A81,konwertery!T$2:T$300))</f>
        <v>8.51</v>
      </c>
      <c r="AI81" s="9" t="n">
        <f aca="false">SUMIF(konwertery!K$2:K$300,A81,Ebookpoint!F$14:F$312)</f>
        <v>0</v>
      </c>
      <c r="AJ81" s="9" t="n">
        <f aca="false">SUMIF(konwertery!K$2:K$300,A81,Ebookpoint!M$14:M$312)</f>
        <v>0</v>
      </c>
      <c r="AL81" s="9" t="n">
        <f aca="false">SUMIF(konwertery!L$2:L$300,A81,Nasbi!F$14:F$312)</f>
        <v>0</v>
      </c>
      <c r="AM81" s="9" t="n">
        <f aca="false">SUMIF(konwertery!L$2:L$300,A81,Nasbi!K$14:K$312)</f>
        <v>0</v>
      </c>
      <c r="AO81" s="9" t="n">
        <f aca="false">SUMIF(StorytelE!C$2:C$300,A81,konwertery!M$2:M$300)+SUMIF(StorytelA!C$2:C$300,A81,konwertery!N$2:N$300)</f>
        <v>1</v>
      </c>
      <c r="AP81" s="9" t="n">
        <f aca="false">SUMIF(StorytelE!C$2:C$300,A81,konwertery!O$2:O$300)+SUMIF(StorytelA!C$2:C$300,A81,konwertery!P$2:P$300)</f>
        <v>1.53</v>
      </c>
      <c r="AR81" s="9" t="n">
        <f aca="false">SUMIF(konwertery!U$2:U$300,A81,Audioteka!E$4:E$302)</f>
        <v>0</v>
      </c>
      <c r="AS81" s="9" t="n">
        <f aca="false">SUMIF(konwertery!U$2:U$300,A81,Audioteka!O$4:O$302)</f>
        <v>0</v>
      </c>
      <c r="AU81" s="9" t="n">
        <f aca="false">SUMIF(Bookbeat!A$9:A$309,A81,Bookbeat!H$9:H$309)</f>
        <v>0</v>
      </c>
      <c r="AV81" s="10" t="n">
        <f aca="false">SUMIF(Bookbeat!A$9:A$309,A81,Bookbeat!L$9:L$309)</f>
        <v>0</v>
      </c>
    </row>
    <row r="82" customFormat="false" ht="15.75" hidden="false" customHeight="false" outlineLevel="0" collapsed="false">
      <c r="A82" s="11" t="n">
        <v>9788365156136</v>
      </c>
      <c r="B82" s="15" t="s">
        <v>95</v>
      </c>
      <c r="E82" s="3" t="n">
        <f aca="false">H82+K82</f>
        <v>36</v>
      </c>
      <c r="F82" s="4" t="n">
        <f aca="false">I82+L82</f>
        <v>76.65</v>
      </c>
      <c r="H82" s="9" t="n">
        <f aca="false">SUMIF(konwertery!A$2:A$300,A82,Histmag!C$2:C$300)</f>
        <v>0</v>
      </c>
      <c r="I82" s="10" t="n">
        <f aca="false">SUMIF(konwertery!A$2:A$300,A82,konwertery!B$2:B$300) * 0.97</f>
        <v>0</v>
      </c>
      <c r="K82" s="7" t="n">
        <f aca="false">N82+Q82+T82+W82+Z82+AC82+AF82+AI82+AL82+AO82+AR82+AU82</f>
        <v>36</v>
      </c>
      <c r="L82" s="12" t="n">
        <f aca="false">O82+R82+U82+X82+AA82+AD82+AG82+AJ82+AM82+AP82+AS82+AV82</f>
        <v>76.65</v>
      </c>
      <c r="N82" s="9" t="n">
        <f aca="false">SUMIF(konwertery!C$2:C$300,A82,Virtualo!L$2:L$300)</f>
        <v>0</v>
      </c>
      <c r="O82" s="10" t="n">
        <f aca="false">(SUMIF(konwertery!C$2:C$300,A82,Virtualo!P$2:P$300))</f>
        <v>0</v>
      </c>
      <c r="Q82" s="9" t="n">
        <f aca="false">SUMIF(konwertery!D$2:D$300,A82,Empik!M$2:M$300)</f>
        <v>0</v>
      </c>
      <c r="R82" s="10" t="n">
        <f aca="false">SUMIF(konwertery!D$2:D$300,A82,Empik!N$2:N$300)</f>
        <v>0</v>
      </c>
      <c r="T82" s="13" t="n">
        <f aca="false">SUMIF(konwertery!E$2:E$300,A82,Publio!P$2:P$300)</f>
        <v>2</v>
      </c>
      <c r="U82" s="14" t="n">
        <f aca="false">SUMIF(konwertery!E$2:E$300,A82,konwertery!F$2:F$300)</f>
        <v>17.02</v>
      </c>
      <c r="W82" s="9" t="n">
        <f aca="false">SUMIF(Legimi!D$2:D$300,A82,Legimi!G$2:G$300)</f>
        <v>0</v>
      </c>
      <c r="X82" s="10" t="n">
        <f aca="false">SUMIF(Legimi!D$2:D$300,A82,Legimi!H$2:H$300)</f>
        <v>0</v>
      </c>
      <c r="Z82" s="9" t="n">
        <f aca="false">SUMIF(konwertery!G$2:G$302,A82,Nexto!J$2:J$283)</f>
        <v>0</v>
      </c>
      <c r="AA82" s="9" t="n">
        <f aca="false">SUMIF(konwertery!G$2:G$302,A82,Nexto!N$2:P$302)</f>
        <v>0</v>
      </c>
      <c r="AC82" s="9" t="n">
        <f aca="false">SUMIF(Woblink!E$9:E$309,A82,Woblink!I$9:I$309)</f>
        <v>1</v>
      </c>
      <c r="AD82" s="10" t="n">
        <f aca="false">SUMIF(Woblink!E$14:E$314,A82,konwertery!R$2:R$300)</f>
        <v>8.51</v>
      </c>
      <c r="AF82" s="9" t="n">
        <f aca="false">SUM(SUMIF(konwertery!I$2:I$300,A82,Azymut!H$2:H$298),(SUMIF(konwertery!S$2:S$300,A82,AzymutB!H$2:H372)*2))</f>
        <v>0</v>
      </c>
      <c r="AG82" s="8" t="n">
        <f aca="false">SUM(SUMIF(konwertery!I$2:I$300,A82,konwertery!J$2:J$300),SUMIF(konwertery!S$2:S$300,A82,konwertery!T$2:T$300))</f>
        <v>0</v>
      </c>
      <c r="AI82" s="9" t="n">
        <f aca="false">SUMIF(konwertery!K$2:K$300,A82,Ebookpoint!F$14:F$312)</f>
        <v>0</v>
      </c>
      <c r="AJ82" s="9" t="n">
        <f aca="false">SUMIF(konwertery!K$2:K$300,A82,Ebookpoint!M$14:M$312)</f>
        <v>0</v>
      </c>
      <c r="AL82" s="9" t="n">
        <f aca="false">SUMIF(konwertery!L$2:L$300,A82,Nasbi!F$14:F$312)</f>
        <v>0</v>
      </c>
      <c r="AM82" s="9" t="n">
        <f aca="false">SUMIF(konwertery!L$2:L$300,A82,Nasbi!K$14:K$312)</f>
        <v>0</v>
      </c>
      <c r="AO82" s="9" t="n">
        <f aca="false">SUMIF(StorytelE!C$2:C$300,A82,konwertery!M$2:M$300)+SUMIF(StorytelA!C$2:C$300,A82,konwertery!N$2:N$300)</f>
        <v>30</v>
      </c>
      <c r="AP82" s="9" t="n">
        <f aca="false">SUMIF(StorytelE!C$2:C$300,A82,konwertery!O$2:O$300)+SUMIF(StorytelA!C$2:C$300,A82,konwertery!P$2:P$300)</f>
        <v>38.78</v>
      </c>
      <c r="AR82" s="9" t="n">
        <f aca="false">SUMIF(konwertery!U$2:U$300,A82,Audioteka!E$4:E$302)</f>
        <v>1</v>
      </c>
      <c r="AS82" s="9" t="n">
        <f aca="false">SUMIF(konwertery!U$2:U$300,A82,Audioteka!O$4:O$302)</f>
        <v>8.51</v>
      </c>
      <c r="AU82" s="9" t="n">
        <f aca="false">SUMIF(Bookbeat!A$9:A$309,A82,Bookbeat!H$9:H$309)</f>
        <v>2</v>
      </c>
      <c r="AV82" s="10" t="n">
        <f aca="false">SUMIF(Bookbeat!A$9:A$309,A82,Bookbeat!L$9:L$309)</f>
        <v>3.83</v>
      </c>
    </row>
    <row r="83" customFormat="false" ht="15.75" hidden="false" customHeight="false" outlineLevel="0" collapsed="false">
      <c r="A83" s="11" t="n">
        <v>9788365156099</v>
      </c>
      <c r="B83" s="8" t="s">
        <v>96</v>
      </c>
      <c r="E83" s="3" t="n">
        <f aca="false">H83+K83</f>
        <v>4</v>
      </c>
      <c r="F83" s="4" t="n">
        <f aca="false">I83+L83</f>
        <v>20.8479</v>
      </c>
      <c r="H83" s="9" t="n">
        <f aca="false">SUMIF(konwertery!A$2:A$300,A83,Histmag!C$2:C$300)</f>
        <v>3</v>
      </c>
      <c r="I83" s="10" t="n">
        <f aca="false">SUMIF(konwertery!A$2:A$300,A83,konwertery!B$2:B$300) * 0.97</f>
        <v>14.6179</v>
      </c>
      <c r="K83" s="7" t="n">
        <f aca="false">N83+Q83+T83+W83+Z83+AC83+AF83+AI83+AL83+AO83+AR83+AU83</f>
        <v>1</v>
      </c>
      <c r="L83" s="12" t="n">
        <f aca="false">O83+R83+U83+X83+AA83+AD83+AG83+AJ83+AM83+AP83+AS83+AV83</f>
        <v>6.23</v>
      </c>
      <c r="N83" s="9" t="n">
        <f aca="false">SUMIF(konwertery!C$2:C$300,A83,Virtualo!L$2:L$300)</f>
        <v>0</v>
      </c>
      <c r="O83" s="10" t="n">
        <f aca="false">(SUMIF(konwertery!C$2:C$300,A83,Virtualo!P$2:P$300))</f>
        <v>0</v>
      </c>
      <c r="Q83" s="9" t="n">
        <f aca="false">SUMIF(konwertery!D$2:D$300,A83,Empik!M$2:M$300)</f>
        <v>0</v>
      </c>
      <c r="R83" s="10" t="n">
        <f aca="false">SUMIF(konwertery!D$2:D$300,A83,Empik!N$2:N$300)</f>
        <v>0</v>
      </c>
      <c r="T83" s="13" t="n">
        <f aca="false">SUMIF(konwertery!E$2:E$300,A83,Publio!P$2:P$300)</f>
        <v>0</v>
      </c>
      <c r="U83" s="14" t="n">
        <f aca="false">SUMIF(konwertery!E$2:E$300,A83,konwertery!F$2:F$300)</f>
        <v>0</v>
      </c>
      <c r="W83" s="9" t="n">
        <f aca="false">SUMIF(Legimi!D$2:D$300,A83,Legimi!G$2:G$300)</f>
        <v>0</v>
      </c>
      <c r="X83" s="10" t="n">
        <f aca="false">SUMIF(Legimi!D$2:D$300,A83,Legimi!H$2:H$300)</f>
        <v>0</v>
      </c>
      <c r="Z83" s="9" t="n">
        <f aca="false">SUMIF(konwertery!G$2:G$302,A83,Nexto!J$2:J$283)</f>
        <v>0</v>
      </c>
      <c r="AA83" s="9" t="n">
        <f aca="false">SUMIF(konwertery!G$2:G$302,A83,Nexto!N$2:P$302)</f>
        <v>0</v>
      </c>
      <c r="AC83" s="9" t="n">
        <f aca="false">SUMIF(Woblink!E$9:E$309,A83,Woblink!I$9:I$309)</f>
        <v>1</v>
      </c>
      <c r="AD83" s="10" t="n">
        <f aca="false">SUMIF(Woblink!E$14:E$314,A83,konwertery!R$2:R$300)</f>
        <v>6.23</v>
      </c>
      <c r="AF83" s="9" t="n">
        <f aca="false">SUM(SUMIF(konwertery!I$2:I$300,A83,Azymut!H$2:H$298),(SUMIF(konwertery!S$2:S$300,A83,AzymutB!H$2:H373)*2))</f>
        <v>0</v>
      </c>
      <c r="AG83" s="8" t="n">
        <f aca="false">SUM(SUMIF(konwertery!I$2:I$300,A83,konwertery!J$2:J$300),SUMIF(konwertery!S$2:S$300,A83,konwertery!T$2:T$300))</f>
        <v>0</v>
      </c>
      <c r="AI83" s="9" t="n">
        <f aca="false">SUMIF(konwertery!K$2:K$300,A83,Ebookpoint!F$14:F$312)</f>
        <v>0</v>
      </c>
      <c r="AJ83" s="9" t="n">
        <f aca="false">SUMIF(konwertery!K$2:K$300,A83,Ebookpoint!M$14:M$312)</f>
        <v>0</v>
      </c>
      <c r="AL83" s="9" t="n">
        <f aca="false">SUMIF(konwertery!L$2:L$300,A83,Nasbi!F$14:F$312)</f>
        <v>0</v>
      </c>
      <c r="AM83" s="9" t="n">
        <f aca="false">SUMIF(konwertery!L$2:L$300,A83,Nasbi!K$14:K$312)</f>
        <v>0</v>
      </c>
      <c r="AO83" s="9" t="n">
        <f aca="false">SUMIF(StorytelE!C$2:C$300,A83,konwertery!M$2:M$300)+SUMIF(StorytelA!C$2:C$300,A83,konwertery!N$2:N$300)</f>
        <v>0</v>
      </c>
      <c r="AP83" s="9" t="n">
        <f aca="false">SUMIF(StorytelE!C$2:C$300,A83,konwertery!O$2:O$300)+SUMIF(StorytelA!C$2:C$300,A83,konwertery!P$2:P$300)</f>
        <v>0</v>
      </c>
      <c r="AR83" s="9" t="n">
        <f aca="false">SUMIF(konwertery!U$2:U$300,A83,Audioteka!E$4:E$302)</f>
        <v>0</v>
      </c>
      <c r="AS83" s="9" t="n">
        <f aca="false">SUMIF(konwertery!U$2:U$300,A83,Audioteka!O$4:O$302)</f>
        <v>0</v>
      </c>
      <c r="AU83" s="9" t="n">
        <f aca="false">SUMIF(Bookbeat!A$9:A$309,A83,Bookbeat!H$9:H$309)</f>
        <v>0</v>
      </c>
      <c r="AV83" s="10" t="n">
        <f aca="false">SUMIF(Bookbeat!A$9:A$309,A83,Bookbeat!L$9:L$309)</f>
        <v>0</v>
      </c>
    </row>
    <row r="84" customFormat="false" ht="15.75" hidden="false" customHeight="false" outlineLevel="0" collapsed="false">
      <c r="A84" s="11" t="n">
        <v>9788393463008</v>
      </c>
      <c r="B84" s="8" t="s">
        <v>97</v>
      </c>
      <c r="E84" s="3" t="n">
        <f aca="false">H84+K84</f>
        <v>4</v>
      </c>
      <c r="F84" s="4" t="n">
        <f aca="false">I84+L84</f>
        <v>17.9818</v>
      </c>
      <c r="H84" s="9" t="n">
        <f aca="false">SUMIF(konwertery!A$2:A$300,A84,Histmag!C$2:C$300)</f>
        <v>3</v>
      </c>
      <c r="I84" s="10" t="n">
        <f aca="false">SUMIF(konwertery!A$2:A$300,A84,konwertery!B$2:B$300) * 0.97</f>
        <v>12.5518</v>
      </c>
      <c r="K84" s="7" t="n">
        <f aca="false">N84+Q84+T84+W84+Z84+AC84+AF84+AI84+AL84+AO84+AR84+AU84</f>
        <v>1</v>
      </c>
      <c r="L84" s="12" t="n">
        <f aca="false">O84+R84+U84+X84+AA84+AD84+AG84+AJ84+AM84+AP84+AS84+AV84</f>
        <v>5.43</v>
      </c>
      <c r="N84" s="9" t="n">
        <f aca="false">SUMIF(konwertery!C$2:C$300,A84,Virtualo!L$2:L$300)</f>
        <v>0</v>
      </c>
      <c r="O84" s="10" t="n">
        <f aca="false">(SUMIF(konwertery!C$2:C$300,A84,Virtualo!P$2:P$300))</f>
        <v>0</v>
      </c>
      <c r="Q84" s="9" t="n">
        <f aca="false">SUMIF(konwertery!D$2:D$300,A84,Empik!M$2:M$300)</f>
        <v>0</v>
      </c>
      <c r="R84" s="10" t="n">
        <f aca="false">SUMIF(konwertery!D$2:D$300,A84,Empik!N$2:N$300)</f>
        <v>0</v>
      </c>
      <c r="T84" s="13" t="n">
        <f aca="false">SUMIF(konwertery!E$2:E$300,A84,Publio!P$2:P$300)</f>
        <v>0</v>
      </c>
      <c r="U84" s="14" t="n">
        <f aca="false">SUMIF(konwertery!E$2:E$300,A84,konwertery!F$2:F$300)</f>
        <v>0</v>
      </c>
      <c r="W84" s="9" t="n">
        <f aca="false">SUMIF(Legimi!D$2:D$300,A84,Legimi!G$2:G$300)</f>
        <v>0</v>
      </c>
      <c r="X84" s="10" t="n">
        <f aca="false">SUMIF(Legimi!D$2:D$300,A84,Legimi!H$2:H$300)</f>
        <v>0</v>
      </c>
      <c r="Z84" s="9" t="n">
        <f aca="false">SUMIF(konwertery!G$2:G$302,A84,Nexto!J$2:J$283)</f>
        <v>0</v>
      </c>
      <c r="AA84" s="9" t="n">
        <f aca="false">SUMIF(konwertery!G$2:G$302,A84,Nexto!N$2:P$302)</f>
        <v>0</v>
      </c>
      <c r="AC84" s="9" t="n">
        <f aca="false">SUMIF(Woblink!E$9:E$309,A84,Woblink!I$9:I$309)</f>
        <v>0</v>
      </c>
      <c r="AD84" s="10" t="n">
        <f aca="false">SUMIF(Woblink!E$14:E$314,A84,konwertery!R$2:R$300)</f>
        <v>0</v>
      </c>
      <c r="AF84" s="9" t="n">
        <f aca="false">SUM(SUMIF(konwertery!I$2:I$300,A84,Azymut!H$2:H$298),(SUMIF(konwertery!S$2:S$300,A84,AzymutB!H$2:H374)*2))</f>
        <v>0</v>
      </c>
      <c r="AG84" s="8" t="n">
        <f aca="false">SUM(SUMIF(konwertery!I$2:I$300,A84,konwertery!J$2:J$300),SUMIF(konwertery!S$2:S$300,A84,konwertery!T$2:T$300))</f>
        <v>0</v>
      </c>
      <c r="AI84" s="9" t="n">
        <f aca="false">SUMIF(konwertery!K$2:K$300,A84,Ebookpoint!F$14:F$312)</f>
        <v>1</v>
      </c>
      <c r="AJ84" s="9" t="n">
        <f aca="false">SUMIF(konwertery!K$2:K$300,A84,Ebookpoint!M$14:M$312)</f>
        <v>5.43</v>
      </c>
      <c r="AL84" s="9" t="n">
        <f aca="false">SUMIF(konwertery!L$2:L$300,A84,Nasbi!F$14:F$312)</f>
        <v>0</v>
      </c>
      <c r="AM84" s="9" t="n">
        <f aca="false">SUMIF(konwertery!L$2:L$300,A84,Nasbi!K$14:K$312)</f>
        <v>0</v>
      </c>
      <c r="AO84" s="9" t="n">
        <f aca="false">SUMIF(StorytelE!C$2:C$300,A84,konwertery!M$2:M$300)+SUMIF(StorytelA!C$2:C$300,A84,konwertery!N$2:N$300)</f>
        <v>0</v>
      </c>
      <c r="AP84" s="9" t="n">
        <f aca="false">SUMIF(StorytelE!C$2:C$300,A84,konwertery!O$2:O$300)+SUMIF(StorytelA!C$2:C$300,A84,konwertery!P$2:P$300)</f>
        <v>0</v>
      </c>
      <c r="AR84" s="9" t="n">
        <f aca="false">SUMIF(konwertery!U$2:U$300,A84,Audioteka!E$4:E$302)</f>
        <v>0</v>
      </c>
      <c r="AS84" s="9" t="n">
        <f aca="false">SUMIF(konwertery!U$2:U$300,A84,Audioteka!O$4:O$302)</f>
        <v>0</v>
      </c>
      <c r="AU84" s="9" t="n">
        <f aca="false">SUMIF(Bookbeat!A$9:A$309,A84,Bookbeat!H$9:H$309)</f>
        <v>0</v>
      </c>
      <c r="AV84" s="10" t="n">
        <f aca="false">SUMIF(Bookbeat!A$9:A$309,A84,Bookbeat!L$9:L$309)</f>
        <v>0</v>
      </c>
    </row>
    <row r="85" customFormat="false" ht="15.75" hidden="false" customHeight="false" outlineLevel="0" collapsed="false">
      <c r="A85" s="11" t="n">
        <v>9788393463015</v>
      </c>
      <c r="B85" s="8" t="s">
        <v>98</v>
      </c>
      <c r="E85" s="3" t="n">
        <f aca="false">H85+K85</f>
        <v>2</v>
      </c>
      <c r="F85" s="4" t="n">
        <f aca="false">I85+L85</f>
        <v>7.1004</v>
      </c>
      <c r="H85" s="9" t="n">
        <f aca="false">SUMIF(konwertery!A$2:A$300,A85,Histmag!C$2:C$300)</f>
        <v>2</v>
      </c>
      <c r="I85" s="10" t="n">
        <f aca="false">SUMIF(konwertery!A$2:A$300,A85,konwertery!B$2:B$300) * 0.97</f>
        <v>7.1004</v>
      </c>
      <c r="K85" s="7" t="n">
        <f aca="false">N85+Q85+T85+W85+Z85+AC85+AF85+AI85+AL85+AO85+AR85+AU85</f>
        <v>0</v>
      </c>
      <c r="L85" s="12" t="n">
        <f aca="false">O85+R85+U85+X85+AA85+AD85+AG85+AJ85+AM85+AP85+AS85+AV85</f>
        <v>0</v>
      </c>
      <c r="N85" s="9" t="n">
        <f aca="false">SUMIF(konwertery!C$2:C$300,A85,Virtualo!L$2:L$300)</f>
        <v>0</v>
      </c>
      <c r="O85" s="10" t="n">
        <f aca="false">(SUMIF(konwertery!C$2:C$300,A85,Virtualo!P$2:P$300))</f>
        <v>0</v>
      </c>
      <c r="Q85" s="9" t="n">
        <f aca="false">SUMIF(konwertery!D$2:D$300,A85,Empik!M$2:M$300)</f>
        <v>0</v>
      </c>
      <c r="R85" s="10" t="n">
        <f aca="false">SUMIF(konwertery!D$2:D$300,A85,Empik!N$2:N$300)</f>
        <v>0</v>
      </c>
      <c r="T85" s="13" t="n">
        <f aca="false">SUMIF(konwertery!E$2:E$300,A85,Publio!P$2:P$300)</f>
        <v>0</v>
      </c>
      <c r="U85" s="14" t="n">
        <f aca="false">SUMIF(konwertery!E$2:E$300,A85,konwertery!F$2:F$300)</f>
        <v>0</v>
      </c>
      <c r="W85" s="9" t="n">
        <f aca="false">SUMIF(Legimi!D$2:D$300,A85,Legimi!G$2:G$300)</f>
        <v>0</v>
      </c>
      <c r="X85" s="10" t="n">
        <f aca="false">SUMIF(Legimi!D$2:D$300,A85,Legimi!H$2:H$300)</f>
        <v>0</v>
      </c>
      <c r="Z85" s="9" t="n">
        <f aca="false">SUMIF(konwertery!G$2:G$302,A85,Nexto!J$2:J$283)</f>
        <v>0</v>
      </c>
      <c r="AA85" s="9" t="n">
        <f aca="false">SUMIF(konwertery!G$2:G$302,A85,Nexto!N$2:P$302)</f>
        <v>0</v>
      </c>
      <c r="AC85" s="9" t="n">
        <f aca="false">SUMIF(Woblink!E$9:E$309,A85,Woblink!I$9:I$309)</f>
        <v>0</v>
      </c>
      <c r="AD85" s="10" t="n">
        <f aca="false">SUMIF(Woblink!E$14:E$314,A85,konwertery!R$2:R$300)</f>
        <v>0</v>
      </c>
      <c r="AF85" s="9" t="n">
        <f aca="false">SUM(SUMIF(konwertery!I$2:I$300,A85,Azymut!H$2:H$298),(SUMIF(konwertery!S$2:S$300,A85,AzymutB!H$2:H375)*2))</f>
        <v>0</v>
      </c>
      <c r="AG85" s="8" t="n">
        <f aca="false">SUM(SUMIF(konwertery!I$2:I$300,A85,konwertery!J$2:J$300),SUMIF(konwertery!S$2:S$300,A85,konwertery!T$2:T$300))</f>
        <v>0</v>
      </c>
      <c r="AI85" s="9" t="n">
        <f aca="false">SUMIF(konwertery!K$2:K$300,A85,Ebookpoint!F$14:F$312)</f>
        <v>0</v>
      </c>
      <c r="AJ85" s="9" t="n">
        <f aca="false">SUMIF(konwertery!K$2:K$300,A85,Ebookpoint!M$14:M$312)</f>
        <v>0</v>
      </c>
      <c r="AL85" s="9" t="n">
        <f aca="false">SUMIF(konwertery!L$2:L$300,A85,Nasbi!F$14:F$312)</f>
        <v>0</v>
      </c>
      <c r="AM85" s="9" t="n">
        <f aca="false">SUMIF(konwertery!L$2:L$300,A85,Nasbi!K$14:K$312)</f>
        <v>0</v>
      </c>
      <c r="AO85" s="9" t="n">
        <f aca="false">SUMIF(StorytelE!C$2:C$300,A85,konwertery!M$2:M$300)+SUMIF(StorytelA!C$2:C$300,A85,konwertery!N$2:N$300)</f>
        <v>0</v>
      </c>
      <c r="AP85" s="9" t="n">
        <f aca="false">SUMIF(StorytelE!C$2:C$300,A85,konwertery!O$2:O$300)+SUMIF(StorytelA!C$2:C$300,A85,konwertery!P$2:P$300)</f>
        <v>0</v>
      </c>
      <c r="AR85" s="9" t="n">
        <f aca="false">SUMIF(konwertery!U$2:U$300,A85,Audioteka!E$4:E$302)</f>
        <v>0</v>
      </c>
      <c r="AS85" s="9" t="n">
        <f aca="false">SUMIF(konwertery!U$2:U$300,A85,Audioteka!O$4:O$302)</f>
        <v>0</v>
      </c>
      <c r="AU85" s="9" t="n">
        <f aca="false">SUMIF(Bookbeat!A$9:A$309,A85,Bookbeat!H$9:H$309)</f>
        <v>0</v>
      </c>
      <c r="AV85" s="10" t="n">
        <f aca="false">SUMIF(Bookbeat!A$9:A$309,A85,Bookbeat!L$9:L$309)</f>
        <v>0</v>
      </c>
    </row>
    <row r="86" customFormat="false" ht="15.75" hidden="false" customHeight="false" outlineLevel="0" collapsed="false">
      <c r="A86" s="11" t="n">
        <v>9788365156006</v>
      </c>
      <c r="B86" s="8" t="s">
        <v>99</v>
      </c>
      <c r="E86" s="3" t="n">
        <f aca="false">H86+K86</f>
        <v>2</v>
      </c>
      <c r="F86" s="4" t="n">
        <f aca="false">I86+L86</f>
        <v>9.506</v>
      </c>
      <c r="H86" s="9" t="n">
        <f aca="false">SUMIF(konwertery!A$2:A$300,A86,Histmag!C$2:C$300)</f>
        <v>2</v>
      </c>
      <c r="I86" s="10" t="n">
        <f aca="false">SUMIF(konwertery!A$2:A$300,A86,konwertery!B$2:B$300) * 0.97</f>
        <v>9.506</v>
      </c>
      <c r="K86" s="7" t="n">
        <f aca="false">N86+Q86+T86+W86+Z86+AC86+AF86+AI86+AL86+AO86+AR86+AU86</f>
        <v>0</v>
      </c>
      <c r="L86" s="12" t="n">
        <f aca="false">O86+R86+U86+X86+AA86+AD86+AG86+AJ86+AM86+AP86+AS86+AV86</f>
        <v>0</v>
      </c>
      <c r="N86" s="9" t="n">
        <f aca="false">SUMIF(konwertery!C$2:C$300,A86,Virtualo!L$2:L$300)</f>
        <v>0</v>
      </c>
      <c r="O86" s="10" t="n">
        <f aca="false">(SUMIF(konwertery!C$2:C$300,A86,Virtualo!P$2:P$300))</f>
        <v>0</v>
      </c>
      <c r="Q86" s="9" t="n">
        <f aca="false">SUMIF(konwertery!D$2:D$300,A86,Empik!M$2:M$300)</f>
        <v>0</v>
      </c>
      <c r="R86" s="10" t="n">
        <f aca="false">SUMIF(konwertery!D$2:D$300,A86,Empik!N$2:N$300)</f>
        <v>0</v>
      </c>
      <c r="T86" s="13" t="n">
        <f aca="false">SUMIF(konwertery!E$2:E$300,A86,Publio!P$2:P$300)</f>
        <v>0</v>
      </c>
      <c r="U86" s="14" t="n">
        <f aca="false">SUMIF(konwertery!E$2:E$300,A86,konwertery!F$2:F$300)</f>
        <v>0</v>
      </c>
      <c r="W86" s="9" t="n">
        <f aca="false">SUMIF(Legimi!D$2:D$300,A86,Legimi!G$2:G$300)</f>
        <v>0</v>
      </c>
      <c r="X86" s="10" t="n">
        <f aca="false">SUMIF(Legimi!D$2:D$300,A86,Legimi!H$2:H$300)</f>
        <v>0</v>
      </c>
      <c r="Z86" s="9" t="n">
        <f aca="false">SUMIF(konwertery!G$2:G$302,A86,Nexto!J$2:J$283)</f>
        <v>0</v>
      </c>
      <c r="AA86" s="9" t="n">
        <f aca="false">SUMIF(konwertery!G$2:G$302,A86,Nexto!N$2:P$302)</f>
        <v>0</v>
      </c>
      <c r="AC86" s="9" t="n">
        <f aca="false">SUMIF(Woblink!E$9:E$309,A86,Woblink!I$9:I$309)</f>
        <v>0</v>
      </c>
      <c r="AD86" s="10" t="n">
        <f aca="false">SUMIF(Woblink!E$14:E$314,A86,konwertery!R$2:R$300)</f>
        <v>0</v>
      </c>
      <c r="AF86" s="9" t="n">
        <f aca="false">SUM(SUMIF(konwertery!I$2:I$300,A86,Azymut!H$2:H$298),(SUMIF(konwertery!S$2:S$300,A86,AzymutB!H$2:H376)*2))</f>
        <v>0</v>
      </c>
      <c r="AG86" s="8" t="n">
        <f aca="false">SUM(SUMIF(konwertery!I$2:I$300,A86,konwertery!J$2:J$300),SUMIF(konwertery!S$2:S$300,A86,konwertery!T$2:T$300))</f>
        <v>0</v>
      </c>
      <c r="AI86" s="9" t="n">
        <f aca="false">SUMIF(konwertery!K$2:K$300,A86,Ebookpoint!F$14:F$312)</f>
        <v>0</v>
      </c>
      <c r="AJ86" s="9" t="n">
        <f aca="false">SUMIF(konwertery!K$2:K$300,A86,Ebookpoint!M$14:M$312)</f>
        <v>0</v>
      </c>
      <c r="AL86" s="9" t="n">
        <f aca="false">SUMIF(konwertery!L$2:L$300,A86,Nasbi!F$14:F$312)</f>
        <v>0</v>
      </c>
      <c r="AM86" s="9" t="n">
        <f aca="false">SUMIF(konwertery!L$2:L$300,A86,Nasbi!K$14:K$312)</f>
        <v>0</v>
      </c>
      <c r="AO86" s="9" t="n">
        <f aca="false">SUMIF(StorytelE!C$2:C$300,A86,konwertery!M$2:M$300)+SUMIF(StorytelA!C$2:C$300,A86,konwertery!N$2:N$300)</f>
        <v>0</v>
      </c>
      <c r="AP86" s="9" t="n">
        <f aca="false">SUMIF(StorytelE!C$2:C$300,A86,konwertery!O$2:O$300)+SUMIF(StorytelA!C$2:C$300,A86,konwertery!P$2:P$300)</f>
        <v>0</v>
      </c>
      <c r="AR86" s="9" t="n">
        <f aca="false">SUMIF(konwertery!U$2:U$300,A86,Audioteka!E$4:E$302)</f>
        <v>0</v>
      </c>
      <c r="AS86" s="9" t="n">
        <f aca="false">SUMIF(konwertery!U$2:U$300,A86,Audioteka!O$4:O$302)</f>
        <v>0</v>
      </c>
      <c r="AU86" s="9" t="n">
        <f aca="false">SUMIF(Bookbeat!A$9:A$309,A86,Bookbeat!H$9:H$309)</f>
        <v>0</v>
      </c>
      <c r="AV86" s="10" t="n">
        <f aca="false">SUMIF(Bookbeat!A$9:A$309,A86,Bookbeat!L$9:L$309)</f>
        <v>0</v>
      </c>
    </row>
    <row r="87" customFormat="false" ht="15.75" hidden="false" customHeight="false" outlineLevel="0" collapsed="false">
      <c r="A87" s="11" t="n">
        <v>9788365156372</v>
      </c>
      <c r="B87" s="8" t="s">
        <v>100</v>
      </c>
      <c r="E87" s="3" t="n">
        <f aca="false">H87+K87</f>
        <v>11</v>
      </c>
      <c r="F87" s="4" t="n">
        <f aca="false">I87+L87</f>
        <v>98.9977</v>
      </c>
      <c r="H87" s="9" t="n">
        <f aca="false">SUMIF(konwertery!A$2:A$300,A87,Histmag!C$2:C$300)</f>
        <v>2</v>
      </c>
      <c r="I87" s="10" t="n">
        <f aca="false">SUMIF(konwertery!A$2:A$300,A87,konwertery!B$2:B$300) * 0.97</f>
        <v>22.7077</v>
      </c>
      <c r="K87" s="7" t="n">
        <f aca="false">N87+Q87+T87+W87+Z87+AC87+AF87+AI87+AL87+AO87+AR87+AU87</f>
        <v>9</v>
      </c>
      <c r="L87" s="12" t="n">
        <f aca="false">O87+R87+U87+X87+AA87+AD87+AG87+AJ87+AM87+AP87+AS87+AV87</f>
        <v>76.29</v>
      </c>
      <c r="N87" s="9" t="n">
        <f aca="false">SUMIF(konwertery!C$2:C$300,A87,Virtualo!L$2:L$300)</f>
        <v>2</v>
      </c>
      <c r="O87" s="10" t="n">
        <f aca="false">(SUMIF(konwertery!C$2:C$300,A87,Virtualo!P$2:P$300))</f>
        <v>22.15</v>
      </c>
      <c r="Q87" s="9" t="n">
        <f aca="false">SUMIF(konwertery!D$2:D$300,A87,Empik!M$2:M$300)</f>
        <v>5</v>
      </c>
      <c r="R87" s="10" t="n">
        <f aca="false">SUMIF(konwertery!D$2:D$300,A87,Empik!N$2:N$300)</f>
        <v>33</v>
      </c>
      <c r="T87" s="13" t="n">
        <f aca="false">SUMIF(konwertery!E$2:E$300,A87,Publio!P$2:P$300)</f>
        <v>1</v>
      </c>
      <c r="U87" s="14" t="n">
        <f aca="false">SUMIF(konwertery!E$2:E$300,A87,konwertery!F$2:F$300)</f>
        <v>10.23</v>
      </c>
      <c r="W87" s="9" t="n">
        <f aca="false">SUMIF(Legimi!D$2:D$300,A87,Legimi!G$2:G$300)</f>
        <v>0</v>
      </c>
      <c r="X87" s="10" t="n">
        <f aca="false">SUMIF(Legimi!D$2:D$300,A87,Legimi!H$2:H$300)</f>
        <v>0</v>
      </c>
      <c r="Z87" s="9" t="n">
        <f aca="false">SUMIF(konwertery!G$2:G$302,A87,Nexto!J$2:J$283)</f>
        <v>0</v>
      </c>
      <c r="AA87" s="9" t="n">
        <f aca="false">SUMIF(konwertery!G$2:G$302,A87,Nexto!N$2:P$302)</f>
        <v>0</v>
      </c>
      <c r="AC87" s="9" t="n">
        <f aca="false">SUMIF(Woblink!E$9:E$309,A87,Woblink!I$9:I$309)</f>
        <v>0</v>
      </c>
      <c r="AD87" s="10" t="n">
        <f aca="false">SUMIF(Woblink!E$14:E$314,A87,konwertery!R$2:R$300)</f>
        <v>0</v>
      </c>
      <c r="AF87" s="9" t="n">
        <f aca="false">SUM(SUMIF(konwertery!I$2:I$300,A87,Azymut!H$2:H$298),(SUMIF(konwertery!S$2:S$300,A87,AzymutB!H$2:H377)*2))</f>
        <v>0</v>
      </c>
      <c r="AG87" s="8" t="n">
        <f aca="false">SUM(SUMIF(konwertery!I$2:I$300,A87,konwertery!J$2:J$300),SUMIF(konwertery!S$2:S$300,A87,konwertery!T$2:T$300))</f>
        <v>0</v>
      </c>
      <c r="AI87" s="9" t="n">
        <f aca="false">SUMIF(konwertery!K$2:K$300,A87,Ebookpoint!F$14:F$312)</f>
        <v>1</v>
      </c>
      <c r="AJ87" s="9" t="n">
        <f aca="false">SUMIF(konwertery!K$2:K$300,A87,Ebookpoint!M$14:M$312)</f>
        <v>10.91</v>
      </c>
      <c r="AL87" s="9" t="n">
        <f aca="false">SUMIF(konwertery!L$2:L$300,A87,Nasbi!F$14:F$312)</f>
        <v>0</v>
      </c>
      <c r="AM87" s="9" t="n">
        <f aca="false">SUMIF(konwertery!L$2:L$300,A87,Nasbi!K$14:K$312)</f>
        <v>0</v>
      </c>
      <c r="AO87" s="9" t="n">
        <f aca="false">SUMIF(StorytelE!C$2:C$300,A87,konwertery!M$2:M$300)+SUMIF(StorytelA!C$2:C$300,A87,konwertery!N$2:N$300)</f>
        <v>0</v>
      </c>
      <c r="AP87" s="9" t="n">
        <f aca="false">SUMIF(StorytelE!C$2:C$300,A87,konwertery!O$2:O$300)+SUMIF(StorytelA!C$2:C$300,A87,konwertery!P$2:P$300)</f>
        <v>0</v>
      </c>
      <c r="AR87" s="9" t="n">
        <f aca="false">SUMIF(konwertery!U$2:U$300,A87,Audioteka!E$4:E$302)</f>
        <v>0</v>
      </c>
      <c r="AS87" s="9" t="n">
        <f aca="false">SUMIF(konwertery!U$2:U$300,A87,Audioteka!O$4:O$302)</f>
        <v>0</v>
      </c>
      <c r="AU87" s="9" t="n">
        <f aca="false">SUMIF(Bookbeat!A$9:A$309,A87,Bookbeat!H$9:H$309)</f>
        <v>0</v>
      </c>
      <c r="AV87" s="10" t="n">
        <f aca="false">SUMIF(Bookbeat!A$9:A$309,A87,Bookbeat!L$9:L$309)</f>
        <v>0</v>
      </c>
    </row>
    <row r="88" customFormat="false" ht="15.75" hidden="false" customHeight="false" outlineLevel="0" collapsed="false">
      <c r="A88" s="11" t="n">
        <v>9788365156723</v>
      </c>
      <c r="B88" s="15" t="s">
        <v>101</v>
      </c>
      <c r="E88" s="3" t="n">
        <f aca="false">H88+K88</f>
        <v>30</v>
      </c>
      <c r="F88" s="4" t="n">
        <f aca="false">I88+L88</f>
        <v>114.2934</v>
      </c>
      <c r="H88" s="9" t="n">
        <f aca="false">SUMIF(konwertery!A$2:A$300,A88,Histmag!C$2:C$300)</f>
        <v>1</v>
      </c>
      <c r="I88" s="10" t="n">
        <f aca="false">SUMIF(konwertery!A$2:A$300,A88,konwertery!B$2:B$300) * 0.97</f>
        <v>8.9434</v>
      </c>
      <c r="K88" s="7" t="n">
        <f aca="false">N88+Q88+T88+W88+Z88+AC88+AF88+AI88+AL88+AO88+AR88+AU88</f>
        <v>29</v>
      </c>
      <c r="L88" s="12" t="n">
        <f aca="false">O88+R88+U88+X88+AA88+AD88+AG88+AJ88+AM88+AP88+AS88+AV88</f>
        <v>105.35</v>
      </c>
      <c r="N88" s="9" t="n">
        <f aca="false">SUMIF(konwertery!C$2:C$300,A88,Virtualo!L$2:L$300)</f>
        <v>0</v>
      </c>
      <c r="O88" s="10" t="n">
        <f aca="false">(SUMIF(konwertery!C$2:C$300,A88,Virtualo!P$2:P$300))</f>
        <v>0</v>
      </c>
      <c r="Q88" s="9" t="n">
        <f aca="false">SUMIF(konwertery!D$2:D$300,A88,Empik!M$2:M$300)</f>
        <v>7</v>
      </c>
      <c r="R88" s="10" t="n">
        <f aca="false">SUMIF(konwertery!D$2:D$300,A88,Empik!N$2:N$300)</f>
        <v>55</v>
      </c>
      <c r="T88" s="13" t="n">
        <f aca="false">SUMIF(konwertery!E$2:E$300,A88,Publio!P$2:P$300)</f>
        <v>0</v>
      </c>
      <c r="U88" s="14" t="n">
        <f aca="false">SUMIF(konwertery!E$2:E$300,A88,konwertery!F$2:F$300)</f>
        <v>0</v>
      </c>
      <c r="W88" s="9" t="n">
        <f aca="false">SUMIF(Legimi!D$2:D$300,A88,Legimi!G$2:G$300)</f>
        <v>0</v>
      </c>
      <c r="X88" s="10" t="n">
        <f aca="false">SUMIF(Legimi!D$2:D$300,A88,Legimi!H$2:H$300)</f>
        <v>0</v>
      </c>
      <c r="Z88" s="9" t="n">
        <f aca="false">SUMIF(konwertery!G$2:G$302,A88,Nexto!J$2:J$283)</f>
        <v>0</v>
      </c>
      <c r="AA88" s="9" t="n">
        <f aca="false">SUMIF(konwertery!G$2:G$302,A88,Nexto!N$2:P$302)</f>
        <v>0</v>
      </c>
      <c r="AC88" s="9" t="n">
        <f aca="false">SUMIF(Woblink!E$9:E$309,A88,Woblink!I$9:I$309)</f>
        <v>0</v>
      </c>
      <c r="AD88" s="10" t="n">
        <f aca="false">SUMIF(Woblink!E$14:E$314,A88,konwertery!R$2:R$300)</f>
        <v>0</v>
      </c>
      <c r="AF88" s="9" t="n">
        <f aca="false">SUM(SUMIF(konwertery!I$2:I$300,A88,Azymut!H$2:H$298),(SUMIF(konwertery!S$2:S$300,A88,AzymutB!H$2:H378)*2))</f>
        <v>0</v>
      </c>
      <c r="AG88" s="8" t="n">
        <f aca="false">SUM(SUMIF(konwertery!I$2:I$300,A88,konwertery!J$2:J$300),SUMIF(konwertery!S$2:S$300,A88,konwertery!T$2:T$300))</f>
        <v>0</v>
      </c>
      <c r="AI88" s="9" t="n">
        <f aca="false">SUMIF(konwertery!K$2:K$300,A88,Ebookpoint!F$14:F$312)</f>
        <v>0</v>
      </c>
      <c r="AJ88" s="9" t="n">
        <f aca="false">SUMIF(konwertery!K$2:K$300,A88,Ebookpoint!M$14:M$312)</f>
        <v>0</v>
      </c>
      <c r="AL88" s="9" t="n">
        <f aca="false">SUMIF(konwertery!L$2:L$300,A88,Nasbi!F$14:F$312)</f>
        <v>0</v>
      </c>
      <c r="AM88" s="9" t="n">
        <f aca="false">SUMIF(konwertery!L$2:L$300,A88,Nasbi!K$14:K$312)</f>
        <v>0</v>
      </c>
      <c r="AO88" s="9" t="n">
        <f aca="false">SUMIF(StorytelE!C$2:C$300,A88,konwertery!M$2:M$300)+SUMIF(StorytelA!C$2:C$300,A88,konwertery!N$2:N$300)</f>
        <v>21</v>
      </c>
      <c r="AP88" s="9" t="n">
        <f aca="false">SUMIF(StorytelE!C$2:C$300,A88,konwertery!O$2:O$300)+SUMIF(StorytelA!C$2:C$300,A88,konwertery!P$2:P$300)</f>
        <v>40.12</v>
      </c>
      <c r="AR88" s="9" t="n">
        <f aca="false">SUMIF(konwertery!U$2:U$300,A88,Audioteka!E$4:E$302)</f>
        <v>1</v>
      </c>
      <c r="AS88" s="9" t="n">
        <f aca="false">SUMIF(konwertery!U$2:U$300,A88,Audioteka!O$4:O$302)</f>
        <v>10.23</v>
      </c>
      <c r="AU88" s="9" t="n">
        <f aca="false">SUMIF(Bookbeat!A$9:A$309,A88,Bookbeat!H$9:H$309)</f>
        <v>0</v>
      </c>
      <c r="AV88" s="10" t="n">
        <f aca="false">SUMIF(Bookbeat!A$9:A$309,A88,Bookbeat!L$9:L$309)</f>
        <v>0</v>
      </c>
    </row>
    <row r="89" customFormat="false" ht="15.75" hidden="false" customHeight="false" outlineLevel="0" collapsed="false">
      <c r="A89" s="11" t="n">
        <v>9788365156525</v>
      </c>
      <c r="B89" s="8" t="s">
        <v>102</v>
      </c>
      <c r="E89" s="3" t="n">
        <f aca="false">H89+K89</f>
        <v>1</v>
      </c>
      <c r="F89" s="4" t="n">
        <f aca="false">I89+L89</f>
        <v>9</v>
      </c>
      <c r="H89" s="9" t="n">
        <f aca="false">SUMIF(konwertery!A$2:A$300,A89,Histmag!C$2:C$300)</f>
        <v>0</v>
      </c>
      <c r="I89" s="10" t="n">
        <f aca="false">SUMIF(konwertery!A$2:A$300,A89,konwertery!B$2:B$300) * 0.97</f>
        <v>0</v>
      </c>
      <c r="K89" s="7" t="n">
        <f aca="false">N89+Q89+T89+W89+Z89+AC89+AF89+AI89+AL89+AO89+AR89+AU89</f>
        <v>1</v>
      </c>
      <c r="L89" s="12" t="n">
        <f aca="false">O89+R89+U89+X89+AA89+AD89+AG89+AJ89+AM89+AP89+AS89+AV89</f>
        <v>9</v>
      </c>
      <c r="N89" s="9" t="n">
        <f aca="false">SUMIF(konwertery!C$2:C$300,A89,Virtualo!L$2:L$300)</f>
        <v>0</v>
      </c>
      <c r="O89" s="10" t="n">
        <f aca="false">(SUMIF(konwertery!C$2:C$300,A89,Virtualo!P$2:P$300))</f>
        <v>0</v>
      </c>
      <c r="Q89" s="9" t="n">
        <f aca="false">SUMIF(konwertery!D$2:D$300,A89,Empik!M$2:M$300)</f>
        <v>1</v>
      </c>
      <c r="R89" s="10" t="n">
        <f aca="false">SUMIF(konwertery!D$2:D$300,A89,Empik!N$2:N$300)</f>
        <v>9</v>
      </c>
      <c r="T89" s="13" t="n">
        <f aca="false">SUMIF(konwertery!E$2:E$300,A89,Publio!P$2:P$300)</f>
        <v>0</v>
      </c>
      <c r="U89" s="14" t="n">
        <f aca="false">SUMIF(konwertery!E$2:E$300,A89,konwertery!F$2:F$300)</f>
        <v>0</v>
      </c>
      <c r="W89" s="9" t="n">
        <f aca="false">SUMIF(Legimi!D$2:D$300,A89,Legimi!G$2:G$300)</f>
        <v>0</v>
      </c>
      <c r="X89" s="10" t="n">
        <f aca="false">SUMIF(Legimi!D$2:D$300,A89,Legimi!H$2:H$300)</f>
        <v>0</v>
      </c>
      <c r="Z89" s="9" t="n">
        <f aca="false">SUMIF(konwertery!G$2:G$302,A89,Nexto!J$2:J$283)</f>
        <v>0</v>
      </c>
      <c r="AA89" s="9" t="n">
        <f aca="false">SUMIF(konwertery!G$2:G$302,A89,Nexto!N$2:P$302)</f>
        <v>0</v>
      </c>
      <c r="AC89" s="9" t="n">
        <f aca="false">SUMIF(Woblink!E$9:E$309,A89,Woblink!I$9:I$309)</f>
        <v>0</v>
      </c>
      <c r="AD89" s="10" t="n">
        <f aca="false">SUMIF(Woblink!E$14:E$314,A89,konwertery!R$2:R$300)</f>
        <v>0</v>
      </c>
      <c r="AF89" s="9" t="n">
        <f aca="false">SUM(SUMIF(konwertery!I$2:I$300,A89,Azymut!H$2:H$298),(SUMIF(konwertery!S$2:S$300,A89,AzymutB!H$2:H379)*2))</f>
        <v>0</v>
      </c>
      <c r="AG89" s="8" t="n">
        <f aca="false">SUM(SUMIF(konwertery!I$2:I$300,A89,konwertery!J$2:J$300),SUMIF(konwertery!S$2:S$300,A89,konwertery!T$2:T$300))</f>
        <v>0</v>
      </c>
      <c r="AI89" s="9" t="n">
        <f aca="false">SUMIF(konwertery!K$2:K$300,A89,Ebookpoint!F$14:F$312)</f>
        <v>0</v>
      </c>
      <c r="AJ89" s="9" t="n">
        <f aca="false">SUMIF(konwertery!K$2:K$300,A89,Ebookpoint!M$14:M$312)</f>
        <v>0</v>
      </c>
      <c r="AL89" s="9" t="n">
        <f aca="false">SUMIF(konwertery!L$2:L$300,A89,Nasbi!F$14:F$312)</f>
        <v>0</v>
      </c>
      <c r="AM89" s="9" t="n">
        <f aca="false">SUMIF(konwertery!L$2:L$300,A89,Nasbi!K$14:K$312)</f>
        <v>0</v>
      </c>
      <c r="AO89" s="9" t="n">
        <f aca="false">SUMIF(StorytelE!C$2:C$300,A89,konwertery!M$2:M$300)+SUMIF(StorytelA!C$2:C$300,A89,konwertery!N$2:N$300)</f>
        <v>0</v>
      </c>
      <c r="AP89" s="9" t="n">
        <f aca="false">SUMIF(StorytelE!C$2:C$300,A89,konwertery!O$2:O$300)+SUMIF(StorytelA!C$2:C$300,A89,konwertery!P$2:P$300)</f>
        <v>0</v>
      </c>
      <c r="AR89" s="9" t="n">
        <f aca="false">SUMIF(konwertery!U$2:U$300,A89,Audioteka!E$4:E$302)</f>
        <v>0</v>
      </c>
      <c r="AS89" s="9" t="n">
        <f aca="false">SUMIF(konwertery!U$2:U$300,A89,Audioteka!O$4:O$302)</f>
        <v>0</v>
      </c>
      <c r="AU89" s="9" t="n">
        <f aca="false">SUMIF(Bookbeat!A$9:A$309,A89,Bookbeat!H$9:H$309)</f>
        <v>0</v>
      </c>
      <c r="AV89" s="10" t="n">
        <f aca="false">SUMIF(Bookbeat!A$9:A$309,A89,Bookbeat!L$9:L$309)</f>
        <v>0</v>
      </c>
    </row>
    <row r="90" customFormat="false" ht="15.75" hidden="false" customHeight="false" outlineLevel="0" collapsed="false">
      <c r="A90" s="11" t="n">
        <v>9788365156341</v>
      </c>
      <c r="B90" s="8" t="s">
        <v>103</v>
      </c>
      <c r="E90" s="3" t="n">
        <f aca="false">H90+K90</f>
        <v>1</v>
      </c>
      <c r="F90" s="4" t="n">
        <f aca="false">I90+L90</f>
        <v>10.9901</v>
      </c>
      <c r="H90" s="9" t="n">
        <f aca="false">SUMIF(konwertery!A$2:A$300,A90,Histmag!C$2:C$300)</f>
        <v>1</v>
      </c>
      <c r="I90" s="10" t="n">
        <f aca="false">SUMIF(konwertery!A$2:A$300,A90,konwertery!B$2:B$300) * 0.97</f>
        <v>10.9901</v>
      </c>
      <c r="K90" s="7" t="n">
        <f aca="false">N90+Q90+T90+W90+Z90+AC90+AF90+AI90+AL90+AO90+AR90+AU90</f>
        <v>0</v>
      </c>
      <c r="L90" s="12" t="n">
        <f aca="false">O90+R90+U90+X90+AA90+AD90+AG90+AJ90+AM90+AP90+AS90+AV90</f>
        <v>0</v>
      </c>
      <c r="N90" s="9" t="n">
        <f aca="false">SUMIF(konwertery!C$2:C$300,A90,Virtualo!L$2:L$300)</f>
        <v>0</v>
      </c>
      <c r="O90" s="10" t="n">
        <f aca="false">(SUMIF(konwertery!C$2:C$300,A90,Virtualo!P$2:P$300))</f>
        <v>0</v>
      </c>
      <c r="Q90" s="9" t="n">
        <f aca="false">SUMIF(konwertery!D$2:D$300,A90,Empik!M$2:M$300)</f>
        <v>0</v>
      </c>
      <c r="R90" s="10" t="n">
        <f aca="false">SUMIF(konwertery!D$2:D$300,A90,Empik!N$2:N$300)</f>
        <v>0</v>
      </c>
      <c r="T90" s="13" t="n">
        <f aca="false">SUMIF(konwertery!E$2:E$300,A90,Publio!P$2:P$300)</f>
        <v>0</v>
      </c>
      <c r="U90" s="14" t="n">
        <f aca="false">SUMIF(konwertery!E$2:E$300,A90,konwertery!F$2:F$300)</f>
        <v>0</v>
      </c>
      <c r="W90" s="9" t="n">
        <f aca="false">SUMIF(Legimi!D$2:D$300,A90,Legimi!G$2:G$300)</f>
        <v>0</v>
      </c>
      <c r="X90" s="10" t="n">
        <f aca="false">SUMIF(Legimi!D$2:D$300,A90,Legimi!H$2:H$300)</f>
        <v>0</v>
      </c>
      <c r="Z90" s="9" t="n">
        <f aca="false">SUMIF(konwertery!G$2:G$302,A90,Nexto!J$2:J$283)</f>
        <v>0</v>
      </c>
      <c r="AA90" s="9" t="n">
        <f aca="false">SUMIF(konwertery!G$2:G$302,A90,Nexto!N$2:P$302)</f>
        <v>0</v>
      </c>
      <c r="AC90" s="9" t="n">
        <f aca="false">SUMIF(Woblink!E$9:E$309,A90,Woblink!I$9:I$309)</f>
        <v>0</v>
      </c>
      <c r="AD90" s="10" t="n">
        <f aca="false">SUMIF(Woblink!E$14:E$314,A90,konwertery!R$2:R$300)</f>
        <v>0</v>
      </c>
      <c r="AF90" s="9" t="n">
        <f aca="false">SUM(SUMIF(konwertery!I$2:I$300,A90,Azymut!H$2:H$298),(SUMIF(konwertery!S$2:S$300,A90,AzymutB!H$2:H380)*2))</f>
        <v>0</v>
      </c>
      <c r="AG90" s="8" t="n">
        <f aca="false">SUM(SUMIF(konwertery!I$2:I$300,A90,konwertery!J$2:J$300),SUMIF(konwertery!S$2:S$300,A90,konwertery!T$2:T$300))</f>
        <v>0</v>
      </c>
      <c r="AI90" s="9" t="n">
        <f aca="false">SUMIF(konwertery!K$2:K$300,A90,Ebookpoint!F$14:F$312)</f>
        <v>0</v>
      </c>
      <c r="AJ90" s="9" t="n">
        <f aca="false">SUMIF(konwertery!K$2:K$300,A90,Ebookpoint!M$14:M$312)</f>
        <v>0</v>
      </c>
      <c r="AL90" s="9" t="n">
        <f aca="false">SUMIF(konwertery!L$2:L$300,A90,Nasbi!F$14:F$312)</f>
        <v>0</v>
      </c>
      <c r="AM90" s="9" t="n">
        <f aca="false">SUMIF(konwertery!L$2:L$300,A90,Nasbi!K$14:K$312)</f>
        <v>0</v>
      </c>
      <c r="AO90" s="9" t="n">
        <f aca="false">SUMIF(StorytelE!C$2:C$300,A90,konwertery!M$2:M$300)+SUMIF(StorytelA!C$2:C$300,A90,konwertery!N$2:N$300)</f>
        <v>0</v>
      </c>
      <c r="AP90" s="9" t="n">
        <f aca="false">SUMIF(StorytelE!C$2:C$300,A90,konwertery!O$2:O$300)+SUMIF(StorytelA!C$2:C$300,A90,konwertery!P$2:P$300)</f>
        <v>0</v>
      </c>
      <c r="AR90" s="9" t="n">
        <f aca="false">SUMIF(konwertery!U$2:U$300,A90,Audioteka!E$4:E$302)</f>
        <v>0</v>
      </c>
      <c r="AS90" s="9" t="n">
        <f aca="false">SUMIF(konwertery!U$2:U$300,A90,Audioteka!O$4:O$302)</f>
        <v>0</v>
      </c>
      <c r="AU90" s="9" t="n">
        <f aca="false">SUMIF(Bookbeat!A$9:A$309,A90,Bookbeat!H$9:H$309)</f>
        <v>0</v>
      </c>
      <c r="AV90" s="10" t="n">
        <f aca="false">SUMIF(Bookbeat!A$9:A$309,A90,Bookbeat!L$9:L$309)</f>
        <v>0</v>
      </c>
    </row>
    <row r="91" customFormat="false" ht="15.75" hidden="false" customHeight="false" outlineLevel="0" collapsed="false">
      <c r="A91" s="11" t="n">
        <v>9788365156617</v>
      </c>
      <c r="B91" s="8" t="s">
        <v>104</v>
      </c>
      <c r="E91" s="3" t="n">
        <f aca="false">H91+K91</f>
        <v>1</v>
      </c>
      <c r="F91" s="4" t="n">
        <f aca="false">I91+L91</f>
        <v>5.3447</v>
      </c>
      <c r="H91" s="9" t="n">
        <f aca="false">SUMIF(konwertery!A$2:A$300,A91,Histmag!C$2:C$300)</f>
        <v>1</v>
      </c>
      <c r="I91" s="10" t="n">
        <f aca="false">SUMIF(konwertery!A$2:A$300,A91,konwertery!B$2:B$300) * 0.97</f>
        <v>5.3447</v>
      </c>
      <c r="K91" s="7" t="n">
        <f aca="false">N91+Q91+T91+W91+Z91+AC91+AF91+AI91+AL91+AO91+AR91+AU91</f>
        <v>0</v>
      </c>
      <c r="L91" s="12" t="n">
        <f aca="false">O91+R91+U91+X91+AA91+AD91+AG91+AJ91+AM91+AP91+AS91+AV91</f>
        <v>0</v>
      </c>
      <c r="N91" s="9" t="n">
        <f aca="false">SUMIF(konwertery!C$2:C$300,A91,Virtualo!L$2:L$300)</f>
        <v>0</v>
      </c>
      <c r="O91" s="10" t="n">
        <f aca="false">(SUMIF(konwertery!C$2:C$300,A91,Virtualo!P$2:P$300))</f>
        <v>0</v>
      </c>
      <c r="Q91" s="9" t="n">
        <f aca="false">SUMIF(konwertery!D$2:D$300,A91,Empik!M$2:M$300)</f>
        <v>0</v>
      </c>
      <c r="R91" s="10" t="n">
        <f aca="false">SUMIF(konwertery!D$2:D$300,A91,Empik!N$2:N$300)</f>
        <v>0</v>
      </c>
      <c r="T91" s="13" t="n">
        <f aca="false">SUMIF(konwertery!E$2:E$300,A91,Publio!P$2:P$300)</f>
        <v>0</v>
      </c>
      <c r="U91" s="14" t="n">
        <f aca="false">SUMIF(konwertery!E$2:E$300,A91,konwertery!F$2:F$300)</f>
        <v>0</v>
      </c>
      <c r="W91" s="9" t="n">
        <f aca="false">SUMIF(Legimi!D$2:D$300,A91,Legimi!G$2:G$300)</f>
        <v>0</v>
      </c>
      <c r="X91" s="10" t="n">
        <f aca="false">SUMIF(Legimi!D$2:D$300,A91,Legimi!H$2:H$300)</f>
        <v>0</v>
      </c>
      <c r="Z91" s="9" t="n">
        <f aca="false">SUMIF(konwertery!G$2:G$302,A91,Nexto!J$2:J$283)</f>
        <v>0</v>
      </c>
      <c r="AA91" s="9" t="n">
        <f aca="false">SUMIF(konwertery!G$2:G$302,A91,Nexto!N$2:P$302)</f>
        <v>0</v>
      </c>
      <c r="AC91" s="9" t="n">
        <f aca="false">SUMIF(Woblink!E$9:E$309,A91,Woblink!I$9:I$309)</f>
        <v>0</v>
      </c>
      <c r="AD91" s="10" t="n">
        <f aca="false">SUMIF(Woblink!E$14:E$314,A91,konwertery!R$2:R$300)</f>
        <v>0</v>
      </c>
      <c r="AF91" s="9" t="n">
        <f aca="false">SUM(SUMIF(konwertery!I$2:I$300,A91,Azymut!H$2:H$298),(SUMIF(konwertery!S$2:S$300,A91,AzymutB!H$2:H381)*2))</f>
        <v>0</v>
      </c>
      <c r="AG91" s="8" t="n">
        <f aca="false">SUM(SUMIF(konwertery!I$2:I$300,A91,konwertery!J$2:J$300),SUMIF(konwertery!S$2:S$300,A91,konwertery!T$2:T$300))</f>
        <v>0</v>
      </c>
      <c r="AI91" s="9" t="n">
        <f aca="false">SUMIF(konwertery!K$2:K$300,A91,Ebookpoint!F$14:F$312)</f>
        <v>0</v>
      </c>
      <c r="AJ91" s="9" t="n">
        <f aca="false">SUMIF(konwertery!K$2:K$300,A91,Ebookpoint!M$14:M$312)</f>
        <v>0</v>
      </c>
      <c r="AL91" s="9" t="n">
        <f aca="false">SUMIF(konwertery!L$2:L$300,A91,Nasbi!F$14:F$312)</f>
        <v>0</v>
      </c>
      <c r="AM91" s="9" t="n">
        <f aca="false">SUMIF(konwertery!L$2:L$300,A91,Nasbi!K$14:K$312)</f>
        <v>0</v>
      </c>
      <c r="AO91" s="9" t="n">
        <f aca="false">SUMIF(StorytelE!C$2:C$300,A91,konwertery!M$2:M$300)+SUMIF(StorytelA!C$2:C$300,A91,konwertery!N$2:N$300)</f>
        <v>0</v>
      </c>
      <c r="AP91" s="9" t="n">
        <f aca="false">SUMIF(StorytelE!C$2:C$300,A91,konwertery!O$2:O$300)+SUMIF(StorytelA!C$2:C$300,A91,konwertery!P$2:P$300)</f>
        <v>0</v>
      </c>
      <c r="AR91" s="9" t="n">
        <f aca="false">SUMIF(konwertery!U$2:U$300,A91,Audioteka!E$4:E$302)</f>
        <v>0</v>
      </c>
      <c r="AS91" s="9" t="n">
        <f aca="false">SUMIF(konwertery!U$2:U$300,A91,Audioteka!O$4:O$302)</f>
        <v>0</v>
      </c>
      <c r="AU91" s="9" t="n">
        <f aca="false">SUMIF(Bookbeat!A$9:A$309,A91,Bookbeat!H$9:H$309)</f>
        <v>0</v>
      </c>
      <c r="AV91" s="10" t="n">
        <f aca="false">SUMIF(Bookbeat!A$9:A$309,A91,Bookbeat!L$9:L$309)</f>
        <v>0</v>
      </c>
    </row>
    <row r="92" customFormat="false" ht="15.75" hidden="false" customHeight="false" outlineLevel="0" collapsed="false">
      <c r="A92" s="11" t="n">
        <v>9788365156501</v>
      </c>
      <c r="B92" s="8" t="s">
        <v>105</v>
      </c>
      <c r="E92" s="3" t="n">
        <f aca="false">H92+K92</f>
        <v>3</v>
      </c>
      <c r="F92" s="4" t="n">
        <f aca="false">I92+L92</f>
        <v>18.1334</v>
      </c>
      <c r="H92" s="9" t="n">
        <f aca="false">SUMIF(konwertery!A$2:A$300,A92,Histmag!C$2:C$300)</f>
        <v>1</v>
      </c>
      <c r="I92" s="10" t="n">
        <f aca="false">SUMIF(konwertery!A$2:A$300,A92,konwertery!B$2:B$300) * 0.97</f>
        <v>8.9434</v>
      </c>
      <c r="K92" s="7" t="n">
        <f aca="false">N92+Q92+T92+W92+Z92+AC92+AF92+AI92+AL92+AO92+AR92+AU92</f>
        <v>2</v>
      </c>
      <c r="L92" s="12" t="n">
        <f aca="false">O92+R92+U92+X92+AA92+AD92+AG92+AJ92+AM92+AP92+AS92+AV92</f>
        <v>9.19</v>
      </c>
      <c r="N92" s="9" t="n">
        <f aca="false">SUMIF(konwertery!C$2:C$300,A92,Virtualo!L$2:L$300)</f>
        <v>0</v>
      </c>
      <c r="O92" s="10" t="n">
        <f aca="false">(SUMIF(konwertery!C$2:C$300,A92,Virtualo!P$2:P$300))</f>
        <v>0</v>
      </c>
      <c r="Q92" s="9" t="n">
        <f aca="false">SUMIF(konwertery!D$2:D$300,A92,Empik!M$2:M$300)</f>
        <v>1</v>
      </c>
      <c r="R92" s="10" t="n">
        <f aca="false">SUMIF(konwertery!D$2:D$300,A92,Empik!N$2:N$300)</f>
        <v>7</v>
      </c>
      <c r="T92" s="13" t="n">
        <f aca="false">SUMIF(konwertery!E$2:E$300,A92,Publio!P$2:P$300)</f>
        <v>0</v>
      </c>
      <c r="U92" s="14" t="n">
        <f aca="false">SUMIF(konwertery!E$2:E$300,A92,konwertery!F$2:F$300)</f>
        <v>0</v>
      </c>
      <c r="W92" s="9" t="n">
        <f aca="false">SUMIF(Legimi!D$2:D$300,A92,Legimi!G$2:G$300)</f>
        <v>0</v>
      </c>
      <c r="X92" s="10" t="n">
        <f aca="false">SUMIF(Legimi!D$2:D$300,A92,Legimi!H$2:H$300)</f>
        <v>0</v>
      </c>
      <c r="Z92" s="9" t="n">
        <f aca="false">SUMIF(konwertery!G$2:G$302,A92,Nexto!J$2:J$283)</f>
        <v>0</v>
      </c>
      <c r="AA92" s="9" t="n">
        <f aca="false">SUMIF(konwertery!G$2:G$302,A92,Nexto!N$2:P$302)</f>
        <v>0</v>
      </c>
      <c r="AC92" s="9" t="n">
        <f aca="false">SUMIF(Woblink!E$9:E$309,A92,Woblink!I$9:I$309)</f>
        <v>0</v>
      </c>
      <c r="AD92" s="10" t="n">
        <f aca="false">SUMIF(Woblink!E$14:E$314,A92,konwertery!R$2:R$300)</f>
        <v>0</v>
      </c>
      <c r="AF92" s="9" t="n">
        <f aca="false">SUM(SUMIF(konwertery!I$2:I$300,A92,Azymut!H$2:H$298),(SUMIF(konwertery!S$2:S$300,A92,AzymutB!H$2:H382)*2))</f>
        <v>0</v>
      </c>
      <c r="AG92" s="8" t="n">
        <f aca="false">SUM(SUMIF(konwertery!I$2:I$300,A92,konwertery!J$2:J$300),SUMIF(konwertery!S$2:S$300,A92,konwertery!T$2:T$300))</f>
        <v>0</v>
      </c>
      <c r="AI92" s="9" t="n">
        <f aca="false">SUMIF(konwertery!K$2:K$300,A92,Ebookpoint!F$14:F$312)</f>
        <v>0</v>
      </c>
      <c r="AJ92" s="9" t="n">
        <f aca="false">SUMIF(konwertery!K$2:K$300,A92,Ebookpoint!M$14:M$312)</f>
        <v>0</v>
      </c>
      <c r="AL92" s="9" t="n">
        <f aca="false">SUMIF(konwertery!L$2:L$300,A92,Nasbi!F$14:F$312)</f>
        <v>0</v>
      </c>
      <c r="AM92" s="9" t="n">
        <f aca="false">SUMIF(konwertery!L$2:L$300,A92,Nasbi!K$14:K$312)</f>
        <v>0</v>
      </c>
      <c r="AO92" s="9" t="n">
        <f aca="false">SUMIF(StorytelE!C$2:C$300,A92,konwertery!M$2:M$300)+SUMIF(StorytelA!C$2:C$300,A92,konwertery!N$2:N$300)</f>
        <v>1</v>
      </c>
      <c r="AP92" s="9" t="n">
        <f aca="false">SUMIF(StorytelE!C$2:C$300,A92,konwertery!O$2:O$300)+SUMIF(StorytelA!C$2:C$300,A92,konwertery!P$2:P$300)</f>
        <v>2.19</v>
      </c>
      <c r="AR92" s="9" t="n">
        <f aca="false">SUMIF(konwertery!U$2:U$300,A92,Audioteka!E$4:E$302)</f>
        <v>0</v>
      </c>
      <c r="AS92" s="9" t="n">
        <f aca="false">SUMIF(konwertery!U$2:U$300,A92,Audioteka!O$4:O$302)</f>
        <v>0</v>
      </c>
      <c r="AU92" s="9" t="n">
        <f aca="false">SUMIF(Bookbeat!A$9:A$309,A92,Bookbeat!H$9:H$309)</f>
        <v>0</v>
      </c>
      <c r="AV92" s="10" t="n">
        <f aca="false">SUMIF(Bookbeat!A$9:A$309,A92,Bookbeat!L$9:L$309)</f>
        <v>0</v>
      </c>
    </row>
    <row r="93" customFormat="false" ht="15.75" hidden="false" customHeight="false" outlineLevel="0" collapsed="false">
      <c r="A93" s="11" t="n">
        <v>9788393463053</v>
      </c>
      <c r="B93" s="8" t="s">
        <v>106</v>
      </c>
      <c r="E93" s="3" t="n">
        <f aca="false">H93+K93</f>
        <v>5</v>
      </c>
      <c r="F93" s="4" t="n">
        <f aca="false">I93+L93</f>
        <v>26.03</v>
      </c>
      <c r="H93" s="9" t="n">
        <f aca="false">SUMIF(konwertery!A$2:A$300,A93,Histmag!C$2:C$300)</f>
        <v>0</v>
      </c>
      <c r="I93" s="10" t="n">
        <f aca="false">SUMIF(konwertery!A$2:A$300,A93,konwertery!B$2:B$300) * 0.97</f>
        <v>0</v>
      </c>
      <c r="K93" s="7" t="n">
        <f aca="false">N93+Q93+T93+W93+Z93+AC93+AF93+AI93+AL93+AO93+AR93+AU93</f>
        <v>5</v>
      </c>
      <c r="L93" s="12" t="n">
        <f aca="false">O93+R93+U93+X93+AA93+AD93+AG93+AJ93+AM93+AP93+AS93+AV93</f>
        <v>26.03</v>
      </c>
      <c r="N93" s="9" t="n">
        <f aca="false">SUMIF(konwertery!C$2:C$300,A93,Virtualo!L$2:L$300)</f>
        <v>0</v>
      </c>
      <c r="O93" s="10" t="n">
        <f aca="false">(SUMIF(konwertery!C$2:C$300,A93,Virtualo!P$2:P$300))</f>
        <v>0</v>
      </c>
      <c r="Q93" s="9" t="n">
        <f aca="false">SUMIF(konwertery!D$2:D$300,A93,Empik!M$2:M$300)</f>
        <v>1</v>
      </c>
      <c r="R93" s="10" t="n">
        <f aca="false">SUMIF(konwertery!D$2:D$300,A93,Empik!N$2:N$300)</f>
        <v>5</v>
      </c>
      <c r="T93" s="13" t="n">
        <f aca="false">SUMIF(konwertery!E$2:E$300,A93,Publio!P$2:P$300)</f>
        <v>1</v>
      </c>
      <c r="U93" s="14" t="n">
        <f aca="false">SUMIF(konwertery!E$2:E$300,A93,konwertery!F$2:F$300)</f>
        <v>6.23</v>
      </c>
      <c r="W93" s="9" t="n">
        <f aca="false">SUMIF(Legimi!D$2:D$300,A93,Legimi!G$2:G$300)</f>
        <v>1</v>
      </c>
      <c r="X93" s="10" t="n">
        <f aca="false">SUMIF(Legimi!D$2:D$300,A93,Legimi!H$2:H$300)</f>
        <v>7.27</v>
      </c>
      <c r="Z93" s="9" t="n">
        <f aca="false">SUMIF(konwertery!G$2:G$302,A93,Nexto!J$2:J$283)</f>
        <v>0</v>
      </c>
      <c r="AA93" s="9" t="n">
        <f aca="false">SUMIF(konwertery!G$2:G$302,A93,Nexto!N$2:P$302)</f>
        <v>0</v>
      </c>
      <c r="AC93" s="9" t="n">
        <f aca="false">SUMIF(Woblink!E$9:E$309,A93,Woblink!I$9:I$309)</f>
        <v>1</v>
      </c>
      <c r="AD93" s="10" t="n">
        <f aca="false">SUMIF(Woblink!E$14:E$314,A93,konwertery!R$2:R$300)</f>
        <v>6.23</v>
      </c>
      <c r="AF93" s="9" t="n">
        <f aca="false">SUM(SUMIF(konwertery!I$2:I$300,A93,Azymut!H$2:H$298),(SUMIF(konwertery!S$2:S$300,A93,AzymutB!H$2:H383)*2))</f>
        <v>0</v>
      </c>
      <c r="AG93" s="8" t="n">
        <f aca="false">SUM(SUMIF(konwertery!I$2:I$300,A93,konwertery!J$2:J$300),SUMIF(konwertery!S$2:S$300,A93,konwertery!T$2:T$300))</f>
        <v>0</v>
      </c>
      <c r="AI93" s="9" t="n">
        <f aca="false">SUMIF(konwertery!K$2:K$300,A93,Ebookpoint!F$14:F$312)</f>
        <v>0</v>
      </c>
      <c r="AJ93" s="9" t="n">
        <f aca="false">SUMIF(konwertery!K$2:K$300,A93,Ebookpoint!M$14:M$312)</f>
        <v>0</v>
      </c>
      <c r="AL93" s="9" t="n">
        <f aca="false">SUMIF(konwertery!L$2:L$300,A93,Nasbi!F$14:F$312)</f>
        <v>0</v>
      </c>
      <c r="AM93" s="9" t="n">
        <f aca="false">SUMIF(konwertery!L$2:L$300,A93,Nasbi!K$14:K$312)</f>
        <v>0</v>
      </c>
      <c r="AO93" s="9" t="n">
        <f aca="false">SUMIF(StorytelE!C$2:C$300,A93,konwertery!M$2:M$300)+SUMIF(StorytelA!C$2:C$300,A93,konwertery!N$2:N$300)</f>
        <v>1</v>
      </c>
      <c r="AP93" s="9" t="n">
        <f aca="false">SUMIF(StorytelE!C$2:C$300,A93,konwertery!O$2:O$300)+SUMIF(StorytelA!C$2:C$300,A93,konwertery!P$2:P$300)</f>
        <v>1.3</v>
      </c>
      <c r="AR93" s="9" t="n">
        <f aca="false">SUMIF(konwertery!U$2:U$300,A93,Audioteka!E$4:E$302)</f>
        <v>0</v>
      </c>
      <c r="AS93" s="9" t="n">
        <f aca="false">SUMIF(konwertery!U$2:U$300,A93,Audioteka!O$4:O$302)</f>
        <v>0</v>
      </c>
      <c r="AU93" s="9" t="n">
        <f aca="false">SUMIF(Bookbeat!A$9:A$309,A93,Bookbeat!H$9:H$309)</f>
        <v>0</v>
      </c>
      <c r="AV93" s="10" t="n">
        <f aca="false">SUMIF(Bookbeat!A$9:A$309,A93,Bookbeat!L$9:L$309)</f>
        <v>0</v>
      </c>
    </row>
    <row r="94" customFormat="false" ht="15.75" hidden="false" customHeight="false" outlineLevel="0" collapsed="false">
      <c r="A94" s="11" t="n">
        <v>9788365156358</v>
      </c>
      <c r="B94" s="15" t="s">
        <v>107</v>
      </c>
      <c r="E94" s="3" t="n">
        <f aca="false">H94+K94</f>
        <v>24</v>
      </c>
      <c r="F94" s="4" t="n">
        <f aca="false">I94+L94</f>
        <v>54.7574</v>
      </c>
      <c r="H94" s="9" t="n">
        <f aca="false">SUMIF(konwertery!A$2:A$300,A94,Histmag!C$2:C$300)</f>
        <v>2</v>
      </c>
      <c r="I94" s="10" t="n">
        <f aca="false">SUMIF(konwertery!A$2:A$300,A94,konwertery!B$2:B$300) * 0.97</f>
        <v>12.0474</v>
      </c>
      <c r="K94" s="7" t="n">
        <f aca="false">N94+Q94+T94+W94+Z94+AC94+AF94+AI94+AL94+AO94+AR94+AU94</f>
        <v>22</v>
      </c>
      <c r="L94" s="12" t="n">
        <f aca="false">O94+R94+U94+X94+AA94+AD94+AG94+AJ94+AM94+AP94+AS94+AV94</f>
        <v>42.71</v>
      </c>
      <c r="N94" s="9" t="n">
        <f aca="false">SUMIF(konwertery!C$2:C$300,A94,Virtualo!L$2:L$300)</f>
        <v>0</v>
      </c>
      <c r="O94" s="10" t="n">
        <f aca="false">(SUMIF(konwertery!C$2:C$300,A94,Virtualo!P$2:P$300))</f>
        <v>0</v>
      </c>
      <c r="Q94" s="9" t="n">
        <f aca="false">SUMIF(konwertery!D$2:D$300,A94,Empik!M$2:M$300)</f>
        <v>1</v>
      </c>
      <c r="R94" s="10" t="n">
        <f aca="false">SUMIF(konwertery!D$2:D$300,A94,Empik!N$2:N$300)</f>
        <v>9</v>
      </c>
      <c r="T94" s="13" t="n">
        <f aca="false">SUMIF(konwertery!E$2:E$300,A94,Publio!P$2:P$300)</f>
        <v>0</v>
      </c>
      <c r="U94" s="14" t="n">
        <f aca="false">SUMIF(konwertery!E$2:E$300,A94,konwertery!F$2:F$300)</f>
        <v>0</v>
      </c>
      <c r="W94" s="9" t="n">
        <f aca="false">SUMIF(Legimi!D$2:D$300,A94,Legimi!G$2:G$300)</f>
        <v>1</v>
      </c>
      <c r="X94" s="10" t="n">
        <f aca="false">SUMIF(Legimi!D$2:D$300,A94,Legimi!H$2:H$300)</f>
        <v>7.27</v>
      </c>
      <c r="Z94" s="9" t="n">
        <f aca="false">SUMIF(konwertery!G$2:G$302,A94,Nexto!J$2:J$283)</f>
        <v>0</v>
      </c>
      <c r="AA94" s="9" t="n">
        <f aca="false">SUMIF(konwertery!G$2:G$302,A94,Nexto!N$2:P$302)</f>
        <v>0</v>
      </c>
      <c r="AC94" s="9" t="n">
        <f aca="false">SUMIF(Woblink!E$9:E$309,A94,Woblink!I$9:I$309)</f>
        <v>0</v>
      </c>
      <c r="AD94" s="10" t="n">
        <f aca="false">SUMIF(Woblink!E$14:E$314,A94,konwertery!R$2:R$300)</f>
        <v>0</v>
      </c>
      <c r="AF94" s="9" t="n">
        <f aca="false">SUM(SUMIF(konwertery!I$2:I$300,A94,Azymut!H$2:H$298),(SUMIF(konwertery!S$2:S$300,A94,AzymutB!H$2:H384)*2))</f>
        <v>0</v>
      </c>
      <c r="AG94" s="8" t="n">
        <f aca="false">SUM(SUMIF(konwertery!I$2:I$300,A94,konwertery!J$2:J$300),SUMIF(konwertery!S$2:S$300,A94,konwertery!T$2:T$300))</f>
        <v>0</v>
      </c>
      <c r="AI94" s="9" t="n">
        <f aca="false">SUMIF(konwertery!K$2:K$300,A94,Ebookpoint!F$14:F$312)</f>
        <v>0</v>
      </c>
      <c r="AJ94" s="9" t="n">
        <f aca="false">SUMIF(konwertery!K$2:K$300,A94,Ebookpoint!M$14:M$312)</f>
        <v>0</v>
      </c>
      <c r="AL94" s="9" t="n">
        <f aca="false">SUMIF(konwertery!L$2:L$300,A94,Nasbi!F$14:F$312)</f>
        <v>0</v>
      </c>
      <c r="AM94" s="9" t="n">
        <f aca="false">SUMIF(konwertery!L$2:L$300,A94,Nasbi!K$14:K$312)</f>
        <v>0</v>
      </c>
      <c r="AO94" s="9" t="n">
        <f aca="false">SUMIF(StorytelE!C$2:C$300,A94,konwertery!M$2:M$300)+SUMIF(StorytelA!C$2:C$300,A94,konwertery!N$2:N$300)</f>
        <v>17</v>
      </c>
      <c r="AP94" s="9" t="n">
        <f aca="false">SUMIF(StorytelE!C$2:C$300,A94,konwertery!O$2:O$300)+SUMIF(StorytelA!C$2:C$300,A94,konwertery!P$2:P$300)</f>
        <v>20.83</v>
      </c>
      <c r="AR94" s="9" t="n">
        <f aca="false">SUMIF(konwertery!U$2:U$300,A94,Audioteka!E$4:E$302)</f>
        <v>0</v>
      </c>
      <c r="AS94" s="9" t="n">
        <f aca="false">SUMIF(konwertery!U$2:U$300,A94,Audioteka!O$4:O$302)</f>
        <v>0</v>
      </c>
      <c r="AU94" s="9" t="n">
        <f aca="false">SUMIF(Bookbeat!A$9:A$309,A94,Bookbeat!H$9:H$309)</f>
        <v>3</v>
      </c>
      <c r="AV94" s="10" t="n">
        <f aca="false">SUMIF(Bookbeat!A$9:A$309,A94,Bookbeat!L$9:L$309)</f>
        <v>5.61</v>
      </c>
    </row>
    <row r="95" customFormat="false" ht="15.75" hidden="false" customHeight="false" outlineLevel="0" collapsed="false">
      <c r="A95" s="11" t="n">
        <v>9788365156211</v>
      </c>
      <c r="B95" s="8" t="s">
        <v>108</v>
      </c>
      <c r="E95" s="3" t="n">
        <f aca="false">H95+K95</f>
        <v>3</v>
      </c>
      <c r="F95" s="4" t="n">
        <f aca="false">I95+L95</f>
        <v>22.5921</v>
      </c>
      <c r="H95" s="9" t="n">
        <f aca="false">SUMIF(konwertery!A$2:A$300,A95,Histmag!C$2:C$300)</f>
        <v>1</v>
      </c>
      <c r="I95" s="10" t="n">
        <f aca="false">SUMIF(konwertery!A$2:A$300,A95,konwertery!B$2:B$300) * 0.97</f>
        <v>7.6921</v>
      </c>
      <c r="K95" s="7" t="n">
        <f aca="false">N95+Q95+T95+W95+Z95+AC95+AF95+AI95+AL95+AO95+AR95+AU95</f>
        <v>2</v>
      </c>
      <c r="L95" s="12" t="n">
        <f aca="false">O95+R95+U95+X95+AA95+AD95+AG95+AJ95+AM95+AP95+AS95+AV95</f>
        <v>14.9</v>
      </c>
      <c r="N95" s="9" t="n">
        <f aca="false">SUMIF(konwertery!C$2:C$300,A95,Virtualo!L$2:L$300)</f>
        <v>0</v>
      </c>
      <c r="O95" s="10" t="n">
        <f aca="false">(SUMIF(konwertery!C$2:C$300,A95,Virtualo!P$2:P$300))</f>
        <v>0</v>
      </c>
      <c r="Q95" s="9" t="n">
        <f aca="false">SUMIF(konwertery!D$2:D$300,A95,Empik!M$2:M$300)</f>
        <v>0</v>
      </c>
      <c r="R95" s="10" t="n">
        <f aca="false">SUMIF(konwertery!D$2:D$300,A95,Empik!N$2:N$300)</f>
        <v>0</v>
      </c>
      <c r="T95" s="13" t="n">
        <f aca="false">SUMIF(konwertery!E$2:E$300,A95,Publio!P$2:P$300)</f>
        <v>0</v>
      </c>
      <c r="U95" s="14" t="n">
        <f aca="false">SUMIF(konwertery!E$2:E$300,A95,konwertery!F$2:F$300)</f>
        <v>0</v>
      </c>
      <c r="W95" s="9" t="n">
        <f aca="false">SUMIF(Legimi!D$2:D$300,A95,Legimi!G$2:G$300)</f>
        <v>1</v>
      </c>
      <c r="X95" s="10" t="n">
        <f aca="false">SUMIF(Legimi!D$2:D$300,A95,Legimi!H$2:H$300)</f>
        <v>9.93</v>
      </c>
      <c r="Z95" s="9" t="n">
        <f aca="false">SUMIF(konwertery!G$2:G$302,A95,Nexto!J$2:J$283)</f>
        <v>1</v>
      </c>
      <c r="AA95" s="9" t="n">
        <f aca="false">SUMIF(konwertery!G$2:G$302,A95,Nexto!N$2:P$302)</f>
        <v>4.97</v>
      </c>
      <c r="AC95" s="9" t="n">
        <f aca="false">SUMIF(Woblink!E$9:E$309,A95,Woblink!I$9:I$309)</f>
        <v>0</v>
      </c>
      <c r="AD95" s="10" t="n">
        <f aca="false">SUMIF(Woblink!E$14:E$314,A95,konwertery!R$2:R$300)</f>
        <v>0</v>
      </c>
      <c r="AF95" s="9" t="n">
        <f aca="false">SUM(SUMIF(konwertery!I$2:I$300,A95,Azymut!H$2:H$298),(SUMIF(konwertery!S$2:S$300,A95,AzymutB!H$2:H385)*2))</f>
        <v>0</v>
      </c>
      <c r="AG95" s="8" t="n">
        <f aca="false">SUM(SUMIF(konwertery!I$2:I$300,A95,konwertery!J$2:J$300),SUMIF(konwertery!S$2:S$300,A95,konwertery!T$2:T$300))</f>
        <v>0</v>
      </c>
      <c r="AI95" s="9" t="n">
        <f aca="false">SUMIF(konwertery!K$2:K$300,A95,Ebookpoint!F$14:F$312)</f>
        <v>0</v>
      </c>
      <c r="AJ95" s="9" t="n">
        <f aca="false">SUMIF(konwertery!K$2:K$300,A95,Ebookpoint!M$14:M$312)</f>
        <v>0</v>
      </c>
      <c r="AL95" s="9" t="n">
        <f aca="false">SUMIF(konwertery!L$2:L$300,A95,Nasbi!F$14:F$312)</f>
        <v>0</v>
      </c>
      <c r="AM95" s="9" t="n">
        <f aca="false">SUMIF(konwertery!L$2:L$300,A95,Nasbi!K$14:K$312)</f>
        <v>0</v>
      </c>
      <c r="AO95" s="9" t="n">
        <f aca="false">SUMIF(StorytelE!C$2:C$300,A95,konwertery!M$2:M$300)+SUMIF(StorytelA!C$2:C$300,A95,konwertery!N$2:N$300)</f>
        <v>0</v>
      </c>
      <c r="AP95" s="9" t="n">
        <f aca="false">SUMIF(StorytelE!C$2:C$300,A95,konwertery!O$2:O$300)+SUMIF(StorytelA!C$2:C$300,A95,konwertery!P$2:P$300)</f>
        <v>0</v>
      </c>
      <c r="AR95" s="9" t="n">
        <f aca="false">SUMIF(konwertery!U$2:U$300,A95,Audioteka!E$4:E$302)</f>
        <v>0</v>
      </c>
      <c r="AS95" s="9" t="n">
        <f aca="false">SUMIF(konwertery!U$2:U$300,A95,Audioteka!O$4:O$302)</f>
        <v>0</v>
      </c>
      <c r="AU95" s="9" t="n">
        <f aca="false">SUMIF(Bookbeat!A$9:A$309,A95,Bookbeat!H$9:H$309)</f>
        <v>0</v>
      </c>
      <c r="AV95" s="10" t="n">
        <f aca="false">SUMIF(Bookbeat!A$9:A$309,A95,Bookbeat!L$9:L$309)</f>
        <v>0</v>
      </c>
    </row>
    <row r="96" customFormat="false" ht="15.75" hidden="false" customHeight="false" outlineLevel="0" collapsed="false">
      <c r="A96" s="11" t="n">
        <v>9788365156686</v>
      </c>
      <c r="B96" s="15" t="s">
        <v>109</v>
      </c>
      <c r="E96" s="3" t="n">
        <f aca="false">H96+K96</f>
        <v>34</v>
      </c>
      <c r="F96" s="4" t="n">
        <f aca="false">I96+L96</f>
        <v>77.3289</v>
      </c>
      <c r="H96" s="9" t="n">
        <f aca="false">SUMIF(konwertery!A$2:A$300,A96,Histmag!C$2:C$300)</f>
        <v>1</v>
      </c>
      <c r="I96" s="10" t="n">
        <f aca="false">SUMIF(konwertery!A$2:A$300,A96,konwertery!B$2:B$300) * 0.97</f>
        <v>7.1489</v>
      </c>
      <c r="K96" s="7" t="n">
        <f aca="false">N96+Q96+T96+W96+Z96+AC96+AF96+AI96+AL96+AO96+AR96+AU96</f>
        <v>33</v>
      </c>
      <c r="L96" s="12" t="n">
        <f aca="false">O96+R96+U96+X96+AA96+AD96+AG96+AJ96+AM96+AP96+AS96+AV96</f>
        <v>70.18</v>
      </c>
      <c r="N96" s="9" t="n">
        <f aca="false">SUMIF(konwertery!C$2:C$300,A96,Virtualo!L$2:L$300)</f>
        <v>0</v>
      </c>
      <c r="O96" s="10" t="n">
        <f aca="false">(SUMIF(konwertery!C$2:C$300,A96,Virtualo!P$2:P$300))</f>
        <v>0</v>
      </c>
      <c r="Q96" s="9" t="n">
        <f aca="false">SUMIF(konwertery!D$2:D$300,A96,Empik!M$2:M$300)</f>
        <v>2</v>
      </c>
      <c r="R96" s="10" t="n">
        <f aca="false">SUMIF(konwertery!D$2:D$300,A96,Empik!N$2:N$300)</f>
        <v>18</v>
      </c>
      <c r="T96" s="13" t="n">
        <f aca="false">SUMIF(konwertery!E$2:E$300,A96,Publio!P$2:P$300)</f>
        <v>0</v>
      </c>
      <c r="U96" s="14" t="n">
        <f aca="false">SUMIF(konwertery!E$2:E$300,A96,konwertery!F$2:F$300)</f>
        <v>0</v>
      </c>
      <c r="W96" s="9" t="n">
        <f aca="false">SUMIF(Legimi!D$2:D$300,A96,Legimi!G$2:G$300)</f>
        <v>0</v>
      </c>
      <c r="X96" s="10" t="n">
        <f aca="false">SUMIF(Legimi!D$2:D$300,A96,Legimi!H$2:H$300)</f>
        <v>0</v>
      </c>
      <c r="Z96" s="9" t="n">
        <f aca="false">SUMIF(konwertery!G$2:G$302,A96,Nexto!J$2:J$283)</f>
        <v>0</v>
      </c>
      <c r="AA96" s="9" t="n">
        <f aca="false">SUMIF(konwertery!G$2:G$302,A96,Nexto!N$2:P$302)</f>
        <v>0</v>
      </c>
      <c r="AC96" s="9" t="n">
        <f aca="false">SUMIF(Woblink!E$9:E$309,A96,Woblink!I$9:I$309)</f>
        <v>0</v>
      </c>
      <c r="AD96" s="10" t="n">
        <f aca="false">SUMIF(Woblink!E$14:E$314,A96,konwertery!R$2:R$300)</f>
        <v>0</v>
      </c>
      <c r="AF96" s="9" t="n">
        <f aca="false">SUM(SUMIF(konwertery!I$2:I$300,A96,Azymut!H$2:H$298),(SUMIF(konwertery!S$2:S$300,A96,AzymutB!H$2:H386)*2))</f>
        <v>0</v>
      </c>
      <c r="AG96" s="8" t="n">
        <f aca="false">SUM(SUMIF(konwertery!I$2:I$300,A96,konwertery!J$2:J$300),SUMIF(konwertery!S$2:S$300,A96,konwertery!T$2:T$300))</f>
        <v>0</v>
      </c>
      <c r="AI96" s="9" t="n">
        <f aca="false">SUMIF(konwertery!K$2:K$300,A96,Ebookpoint!F$14:F$312)</f>
        <v>0</v>
      </c>
      <c r="AJ96" s="9" t="n">
        <f aca="false">SUMIF(konwertery!K$2:K$300,A96,Ebookpoint!M$14:M$312)</f>
        <v>0</v>
      </c>
      <c r="AL96" s="9" t="n">
        <f aca="false">SUMIF(konwertery!L$2:L$300,A96,Nasbi!F$14:F$312)</f>
        <v>0</v>
      </c>
      <c r="AM96" s="9" t="n">
        <f aca="false">SUMIF(konwertery!L$2:L$300,A96,Nasbi!K$14:K$312)</f>
        <v>0</v>
      </c>
      <c r="AO96" s="9" t="n">
        <f aca="false">SUMIF(StorytelE!C$2:C$300,A96,konwertery!M$2:M$300)+SUMIF(StorytelA!C$2:C$300,A96,konwertery!N$2:N$300)</f>
        <v>27</v>
      </c>
      <c r="AP96" s="9" t="n">
        <f aca="false">SUMIF(StorytelE!C$2:C$300,A96,konwertery!O$2:O$300)+SUMIF(StorytelA!C$2:C$300,A96,konwertery!P$2:P$300)</f>
        <v>37.34</v>
      </c>
      <c r="AR96" s="9" t="n">
        <f aca="false">SUMIF(konwertery!U$2:U$300,A96,Audioteka!E$4:E$302)</f>
        <v>1</v>
      </c>
      <c r="AS96" s="9" t="n">
        <f aca="false">SUMIF(konwertery!U$2:U$300,A96,Audioteka!O$4:O$302)</f>
        <v>8.51</v>
      </c>
      <c r="AU96" s="9" t="n">
        <f aca="false">SUMIF(Bookbeat!A$9:A$309,A96,Bookbeat!H$9:H$309)</f>
        <v>3</v>
      </c>
      <c r="AV96" s="10" t="n">
        <f aca="false">SUMIF(Bookbeat!A$9:A$309,A96,Bookbeat!L$9:L$309)</f>
        <v>6.33</v>
      </c>
    </row>
    <row r="97" customFormat="false" ht="15.75" hidden="false" customHeight="false" outlineLevel="0" collapsed="false">
      <c r="A97" s="11" t="n">
        <v>9788365156167</v>
      </c>
      <c r="B97" s="8" t="s">
        <v>110</v>
      </c>
      <c r="E97" s="3" t="n">
        <f aca="false">H97+K97</f>
        <v>0</v>
      </c>
      <c r="F97" s="4" t="n">
        <f aca="false">I97+L97</f>
        <v>0</v>
      </c>
      <c r="H97" s="9" t="n">
        <f aca="false">SUMIF(konwertery!A$2:A$300,A97,Histmag!C$2:C$300)</f>
        <v>0</v>
      </c>
      <c r="I97" s="10" t="n">
        <f aca="false">SUMIF(konwertery!A$2:A$300,A97,konwertery!B$2:B$300) * 0.97</f>
        <v>0</v>
      </c>
      <c r="K97" s="7" t="n">
        <f aca="false">N97+Q97+T97+W97+Z97+AC97+AF97+AI97+AL97+AO97+AR97+AU97</f>
        <v>0</v>
      </c>
      <c r="L97" s="12" t="n">
        <f aca="false">O97+R97+U97+X97+AA97+AD97+AG97+AJ97+AM97+AP97+AS97+AV97</f>
        <v>0</v>
      </c>
      <c r="N97" s="9" t="n">
        <f aca="false">SUMIF(konwertery!C$2:C$300,A97,Virtualo!L$2:L$300)</f>
        <v>0</v>
      </c>
      <c r="O97" s="10" t="n">
        <f aca="false">(SUMIF(konwertery!C$2:C$300,A97,Virtualo!P$2:P$300))</f>
        <v>0</v>
      </c>
      <c r="Q97" s="9" t="n">
        <f aca="false">SUMIF(konwertery!D$2:D$300,A97,Empik!M$2:M$300)</f>
        <v>0</v>
      </c>
      <c r="R97" s="10" t="n">
        <f aca="false">SUMIF(konwertery!D$2:D$300,A97,Empik!N$2:N$300)</f>
        <v>0</v>
      </c>
      <c r="T97" s="13" t="n">
        <f aca="false">SUMIF(konwertery!E$2:E$300,A97,Publio!P$2:P$300)</f>
        <v>0</v>
      </c>
      <c r="U97" s="14" t="n">
        <f aca="false">SUMIF(konwertery!E$2:E$300,A97,konwertery!F$2:F$300)</f>
        <v>0</v>
      </c>
      <c r="W97" s="9" t="n">
        <f aca="false">SUMIF(Legimi!D$2:D$300,A97,Legimi!G$2:G$300)</f>
        <v>0</v>
      </c>
      <c r="X97" s="10" t="n">
        <f aca="false">SUMIF(Legimi!D$2:D$300,A97,Legimi!H$2:H$300)</f>
        <v>0</v>
      </c>
      <c r="Z97" s="9" t="n">
        <f aca="false">SUMIF(konwertery!G$2:G$302,A97,Nexto!J$2:J$283)</f>
        <v>0</v>
      </c>
      <c r="AA97" s="9" t="n">
        <f aca="false">SUMIF(konwertery!G$2:G$302,A97,Nexto!N$2:P$302)</f>
        <v>0</v>
      </c>
      <c r="AC97" s="9" t="n">
        <f aca="false">SUMIF(Woblink!E$9:E$309,A97,Woblink!I$9:I$309)</f>
        <v>0</v>
      </c>
      <c r="AD97" s="10" t="n">
        <f aca="false">SUMIF(Woblink!E$14:E$314,A97,konwertery!R$2:R$300)</f>
        <v>0</v>
      </c>
      <c r="AF97" s="9" t="n">
        <f aca="false">SUM(SUMIF(konwertery!I$2:I$300,A97,Azymut!H$2:H$298),(SUMIF(konwertery!S$2:S$300,A97,AzymutB!H$2:H387)*2))</f>
        <v>0</v>
      </c>
      <c r="AG97" s="8" t="n">
        <f aca="false">SUM(SUMIF(konwertery!I$2:I$300,A97,konwertery!J$2:J$300),SUMIF(konwertery!S$2:S$300,A97,konwertery!T$2:T$300))</f>
        <v>0</v>
      </c>
      <c r="AI97" s="9" t="n">
        <f aca="false">SUMIF(konwertery!K$2:K$300,A97,Ebookpoint!F$14:F$312)</f>
        <v>0</v>
      </c>
      <c r="AJ97" s="9" t="n">
        <f aca="false">SUMIF(konwertery!K$2:K$300,A97,Ebookpoint!M$14:M$312)</f>
        <v>0</v>
      </c>
      <c r="AL97" s="9" t="n">
        <f aca="false">SUMIF(konwertery!L$2:L$300,A97,Nasbi!F$14:F$312)</f>
        <v>0</v>
      </c>
      <c r="AM97" s="9" t="n">
        <f aca="false">SUMIF(konwertery!L$2:L$300,A97,Nasbi!K$14:K$312)</f>
        <v>0</v>
      </c>
      <c r="AO97" s="9" t="n">
        <f aca="false">SUMIF(StorytelE!C$2:C$300,A97,konwertery!M$2:M$300)+SUMIF(StorytelA!C$2:C$300,A97,konwertery!N$2:N$300)</f>
        <v>0</v>
      </c>
      <c r="AP97" s="9" t="n">
        <f aca="false">SUMIF(StorytelE!C$2:C$300,A97,konwertery!O$2:O$300)+SUMIF(StorytelA!C$2:C$300,A97,konwertery!P$2:P$300)</f>
        <v>0</v>
      </c>
      <c r="AR97" s="9" t="n">
        <f aca="false">SUMIF(konwertery!U$2:U$300,A97,Audioteka!E$4:E$302)</f>
        <v>0</v>
      </c>
      <c r="AS97" s="9" t="n">
        <f aca="false">SUMIF(konwertery!U$2:U$300,A97,Audioteka!O$4:O$302)</f>
        <v>0</v>
      </c>
      <c r="AU97" s="9" t="n">
        <f aca="false">SUMIF(Bookbeat!A$9:A$309,A97,Bookbeat!H$9:H$309)</f>
        <v>0</v>
      </c>
      <c r="AV97" s="10" t="n">
        <f aca="false">SUMIF(Bookbeat!A$9:A$309,A97,Bookbeat!L$9:L$309)</f>
        <v>0</v>
      </c>
    </row>
    <row r="98" customFormat="false" ht="15.75" hidden="false" customHeight="false" outlineLevel="0" collapsed="false">
      <c r="A98" s="11" t="n">
        <v>9788365156266</v>
      </c>
      <c r="B98" s="8" t="s">
        <v>111</v>
      </c>
      <c r="E98" s="3" t="n">
        <f aca="false">H98+K98</f>
        <v>1</v>
      </c>
      <c r="F98" s="4" t="n">
        <f aca="false">I98+L98</f>
        <v>8.6</v>
      </c>
      <c r="H98" s="9" t="n">
        <f aca="false">SUMIF(konwertery!A$2:A$300,A98,Histmag!C$2:C$300)</f>
        <v>0</v>
      </c>
      <c r="I98" s="10" t="n">
        <f aca="false">SUMIF(konwertery!A$2:A$300,A98,konwertery!B$2:B$300) * 0.97</f>
        <v>0</v>
      </c>
      <c r="K98" s="7" t="n">
        <f aca="false">N98+Q98+T98+W98+Z98+AC98+AF98+AI98+AL98+AO98+AR98+AU98</f>
        <v>1</v>
      </c>
      <c r="L98" s="12" t="n">
        <f aca="false">O98+R98+U98+X98+AA98+AD98+AG98+AJ98+AM98+AP98+AS98+AV98</f>
        <v>8.6</v>
      </c>
      <c r="N98" s="9" t="n">
        <f aca="false">SUMIF(konwertery!C$2:C$300,A98,Virtualo!L$2:L$300)</f>
        <v>0</v>
      </c>
      <c r="O98" s="10" t="n">
        <f aca="false">(SUMIF(konwertery!C$2:C$300,A98,Virtualo!P$2:P$300))</f>
        <v>0</v>
      </c>
      <c r="Q98" s="9" t="n">
        <f aca="false">SUMIF(konwertery!D$2:D$300,A98,Empik!M$2:M$300)</f>
        <v>0</v>
      </c>
      <c r="R98" s="10" t="n">
        <f aca="false">SUMIF(konwertery!D$2:D$300,A98,Empik!N$2:N$300)</f>
        <v>0</v>
      </c>
      <c r="T98" s="13" t="n">
        <f aca="false">SUMIF(konwertery!E$2:E$300,A98,Publio!P$2:P$300)</f>
        <v>0</v>
      </c>
      <c r="U98" s="14" t="n">
        <f aca="false">SUMIF(konwertery!E$2:E$300,A98,konwertery!F$2:F$300)</f>
        <v>0</v>
      </c>
      <c r="W98" s="9" t="n">
        <f aca="false">SUMIF(Legimi!D$2:D$300,A98,Legimi!G$2:G$300)</f>
        <v>1</v>
      </c>
      <c r="X98" s="10" t="n">
        <f aca="false">SUMIF(Legimi!D$2:D$300,A98,Legimi!H$2:H$300)</f>
        <v>8.6</v>
      </c>
      <c r="Z98" s="9" t="n">
        <f aca="false">SUMIF(konwertery!G$2:G$302,A98,Nexto!J$2:J$283)</f>
        <v>0</v>
      </c>
      <c r="AA98" s="9" t="n">
        <f aca="false">SUMIF(konwertery!G$2:G$302,A98,Nexto!N$2:P$302)</f>
        <v>0</v>
      </c>
      <c r="AC98" s="9" t="n">
        <f aca="false">SUMIF(Woblink!E$9:E$309,A98,Woblink!I$9:I$309)</f>
        <v>0</v>
      </c>
      <c r="AD98" s="10" t="n">
        <f aca="false">SUMIF(Woblink!E$14:E$314,A98,konwertery!R$2:R$300)</f>
        <v>0</v>
      </c>
      <c r="AF98" s="9" t="n">
        <f aca="false">SUM(SUMIF(konwertery!I$2:I$300,A98,Azymut!H$2:H$298),(SUMIF(konwertery!S$2:S$300,A98,AzymutB!H$2:H388)*2))</f>
        <v>0</v>
      </c>
      <c r="AG98" s="8" t="n">
        <f aca="false">SUM(SUMIF(konwertery!I$2:I$300,A98,konwertery!J$2:J$300),SUMIF(konwertery!S$2:S$300,A98,konwertery!T$2:T$300))</f>
        <v>0</v>
      </c>
      <c r="AI98" s="9" t="n">
        <f aca="false">SUMIF(konwertery!K$2:K$300,A98,Ebookpoint!F$14:F$312)</f>
        <v>0</v>
      </c>
      <c r="AJ98" s="9" t="n">
        <f aca="false">SUMIF(konwertery!K$2:K$300,A98,Ebookpoint!M$14:M$312)</f>
        <v>0</v>
      </c>
      <c r="AL98" s="9" t="n">
        <f aca="false">SUMIF(konwertery!L$2:L$300,A98,Nasbi!F$14:F$312)</f>
        <v>0</v>
      </c>
      <c r="AM98" s="9" t="n">
        <f aca="false">SUMIF(konwertery!L$2:L$300,A98,Nasbi!K$14:K$312)</f>
        <v>0</v>
      </c>
      <c r="AO98" s="9" t="n">
        <f aca="false">SUMIF(StorytelE!C$2:C$300,A98,konwertery!M$2:M$300)+SUMIF(StorytelA!C$2:C$300,A98,konwertery!N$2:N$300)</f>
        <v>0</v>
      </c>
      <c r="AP98" s="9" t="n">
        <f aca="false">SUMIF(StorytelE!C$2:C$300,A98,konwertery!O$2:O$300)+SUMIF(StorytelA!C$2:C$300,A98,konwertery!P$2:P$300)</f>
        <v>0</v>
      </c>
      <c r="AR98" s="9" t="n">
        <f aca="false">SUMIF(konwertery!U$2:U$300,A98,Audioteka!E$4:E$302)</f>
        <v>0</v>
      </c>
      <c r="AS98" s="9" t="n">
        <f aca="false">SUMIF(konwertery!U$2:U$300,A98,Audioteka!O$4:O$302)</f>
        <v>0</v>
      </c>
      <c r="AU98" s="9" t="n">
        <f aca="false">SUMIF(Bookbeat!A$9:A$309,A98,Bookbeat!H$9:H$309)</f>
        <v>0</v>
      </c>
      <c r="AV98" s="10" t="n">
        <f aca="false">SUMIF(Bookbeat!A$9:A$309,A98,Bookbeat!L$9:L$309)</f>
        <v>0</v>
      </c>
    </row>
    <row r="99" customFormat="false" ht="15.75" hidden="false" customHeight="false" outlineLevel="0" collapsed="false">
      <c r="A99" s="11" t="n">
        <v>9788393022656</v>
      </c>
      <c r="B99" s="8" t="s">
        <v>112</v>
      </c>
      <c r="E99" s="3" t="n">
        <f aca="false">H99+K99</f>
        <v>0</v>
      </c>
      <c r="F99" s="4" t="n">
        <f aca="false">I99+L99</f>
        <v>0</v>
      </c>
      <c r="H99" s="9" t="n">
        <f aca="false">SUMIF(konwertery!A$2:A$300,A99,Histmag!C$2:C$300)</f>
        <v>0</v>
      </c>
      <c r="I99" s="10" t="n">
        <f aca="false">SUMIF(konwertery!A$2:A$300,A99,konwertery!B$2:B$300) * 0.97</f>
        <v>0</v>
      </c>
      <c r="K99" s="7" t="n">
        <f aca="false">N99+Q99+T99+W99+Z99+AC99+AF99+AI99+AL99+AO99+AR99+AU99</f>
        <v>0</v>
      </c>
      <c r="L99" s="12" t="n">
        <f aca="false">O99+R99+U99+X99+AA99+AD99+AG99+AJ99+AM99+AP99+AS99+AV99</f>
        <v>0</v>
      </c>
      <c r="N99" s="9" t="n">
        <f aca="false">SUMIF(konwertery!C$2:C$300,A99,Virtualo!L$2:L$300)</f>
        <v>0</v>
      </c>
      <c r="O99" s="10" t="n">
        <f aca="false">(SUMIF(konwertery!C$2:C$300,A99,Virtualo!P$2:P$300))</f>
        <v>0</v>
      </c>
      <c r="Q99" s="9" t="n">
        <f aca="false">SUMIF(konwertery!D$2:D$300,A99,Empik!M$2:M$300)</f>
        <v>0</v>
      </c>
      <c r="R99" s="10" t="n">
        <f aca="false">SUMIF(konwertery!D$2:D$300,A99,Empik!N$2:N$300)</f>
        <v>0</v>
      </c>
      <c r="T99" s="13" t="n">
        <f aca="false">SUMIF(konwertery!E$2:E$300,A99,Publio!P$2:P$300)</f>
        <v>0</v>
      </c>
      <c r="U99" s="14" t="n">
        <f aca="false">SUMIF(konwertery!E$2:E$300,A99,konwertery!F$2:F$300)</f>
        <v>0</v>
      </c>
      <c r="W99" s="9" t="n">
        <f aca="false">SUMIF(Legimi!D$2:D$300,A99,Legimi!G$2:G$300)</f>
        <v>0</v>
      </c>
      <c r="X99" s="10" t="n">
        <f aca="false">SUMIF(Legimi!D$2:D$300,A99,Legimi!H$2:H$300)</f>
        <v>0</v>
      </c>
      <c r="Z99" s="9" t="n">
        <f aca="false">SUMIF(konwertery!G$2:G$302,A99,Nexto!J$2:J$283)</f>
        <v>0</v>
      </c>
      <c r="AA99" s="9" t="n">
        <f aca="false">SUMIF(konwertery!G$2:G$302,A99,Nexto!N$2:P$302)</f>
        <v>0</v>
      </c>
      <c r="AC99" s="9" t="n">
        <f aca="false">SUMIF(Woblink!E$9:E$309,A99,Woblink!I$9:I$309)</f>
        <v>0</v>
      </c>
      <c r="AD99" s="10" t="n">
        <f aca="false">SUMIF(Woblink!E$14:E$314,A99,konwertery!R$2:R$300)</f>
        <v>0</v>
      </c>
      <c r="AF99" s="9" t="n">
        <f aca="false">SUM(SUMIF(konwertery!I$2:I$300,A99,Azymut!H$2:H$298),(SUMIF(konwertery!S$2:S$300,A99,AzymutB!H$2:H389)*2))</f>
        <v>0</v>
      </c>
      <c r="AG99" s="8" t="n">
        <f aca="false">SUM(SUMIF(konwertery!I$2:I$300,A99,konwertery!J$2:J$300),SUMIF(konwertery!S$2:S$300,A99,konwertery!T$2:T$300))</f>
        <v>0</v>
      </c>
      <c r="AI99" s="9" t="n">
        <f aca="false">SUMIF(konwertery!K$2:K$300,A99,Ebookpoint!F$14:F$312)</f>
        <v>0</v>
      </c>
      <c r="AJ99" s="9" t="n">
        <f aca="false">SUMIF(konwertery!K$2:K$300,A99,Ebookpoint!M$14:M$312)</f>
        <v>0</v>
      </c>
      <c r="AL99" s="9" t="n">
        <f aca="false">SUMIF(konwertery!L$2:L$300,A99,Nasbi!F$14:F$312)</f>
        <v>0</v>
      </c>
      <c r="AM99" s="9" t="n">
        <f aca="false">SUMIF(konwertery!L$2:L$300,A99,Nasbi!K$14:K$312)</f>
        <v>0</v>
      </c>
      <c r="AO99" s="9" t="n">
        <f aca="false">SUMIF(StorytelE!C$2:C$300,A99,konwertery!M$2:M$300)+SUMIF(StorytelA!C$2:C$300,A99,konwertery!N$2:N$300)</f>
        <v>0</v>
      </c>
      <c r="AP99" s="9" t="n">
        <f aca="false">SUMIF(StorytelE!C$2:C$300,A99,konwertery!O$2:O$300)+SUMIF(StorytelA!C$2:C$300,A99,konwertery!P$2:P$300)</f>
        <v>0</v>
      </c>
      <c r="AR99" s="9" t="n">
        <f aca="false">SUMIF(konwertery!U$2:U$300,A99,Audioteka!E$4:E$302)</f>
        <v>0</v>
      </c>
      <c r="AS99" s="9" t="n">
        <f aca="false">SUMIF(konwertery!U$2:U$300,A99,Audioteka!O$4:O$302)</f>
        <v>0</v>
      </c>
      <c r="AU99" s="9" t="n">
        <f aca="false">SUMIF(Bookbeat!A$9:A$309,A99,Bookbeat!H$9:H$309)</f>
        <v>0</v>
      </c>
      <c r="AV99" s="10" t="n">
        <f aca="false">SUMIF(Bookbeat!A$9:A$309,A99,Bookbeat!L$9:L$309)</f>
        <v>0</v>
      </c>
    </row>
    <row r="100" customFormat="false" ht="15.75" hidden="false" customHeight="false" outlineLevel="0" collapsed="false">
      <c r="A100" s="11" t="n">
        <v>9788393596706</v>
      </c>
      <c r="B100" s="8" t="s">
        <v>113</v>
      </c>
      <c r="E100" s="3" t="n">
        <f aca="false">H100+K100</f>
        <v>0</v>
      </c>
      <c r="F100" s="4" t="n">
        <f aca="false">I100+L100</f>
        <v>0</v>
      </c>
      <c r="H100" s="9" t="n">
        <f aca="false">SUMIF(konwertery!A$2:A$300,A100,Histmag!C$2:C$300)</f>
        <v>0</v>
      </c>
      <c r="I100" s="10" t="n">
        <f aca="false">SUMIF(konwertery!A$2:A$300,A100,konwertery!B$2:B$300) * 0.97</f>
        <v>0</v>
      </c>
      <c r="K100" s="7" t="n">
        <f aca="false">N100+Q100+T100+W100+Z100+AC100+AF100+AI100+AL100+AO100+AR100+AU100</f>
        <v>0</v>
      </c>
      <c r="L100" s="12" t="n">
        <f aca="false">O100+R100+U100+X100+AA100+AD100+AG100+AJ100+AM100+AP100+AS100+AV100</f>
        <v>0</v>
      </c>
      <c r="N100" s="9" t="n">
        <f aca="false">SUMIF(konwertery!C$2:C$300,A100,Virtualo!L$2:L$300)</f>
        <v>0</v>
      </c>
      <c r="O100" s="10" t="n">
        <f aca="false">(SUMIF(konwertery!C$2:C$300,A100,Virtualo!P$2:P$300))</f>
        <v>0</v>
      </c>
      <c r="Q100" s="9" t="n">
        <f aca="false">SUMIF(konwertery!D$2:D$300,A100,Empik!M$2:M$300)</f>
        <v>0</v>
      </c>
      <c r="R100" s="10" t="n">
        <f aca="false">SUMIF(konwertery!D$2:D$300,A100,Empik!N$2:N$300)</f>
        <v>0</v>
      </c>
      <c r="T100" s="13" t="n">
        <f aca="false">SUMIF(konwertery!E$2:E$300,A100,Publio!P$2:P$300)</f>
        <v>0</v>
      </c>
      <c r="U100" s="14" t="n">
        <f aca="false">SUMIF(konwertery!E$2:E$300,A100,konwertery!F$2:F$300)</f>
        <v>0</v>
      </c>
      <c r="W100" s="9" t="n">
        <f aca="false">SUMIF(Legimi!D$2:D$300,A100,Legimi!G$2:G$300)</f>
        <v>0</v>
      </c>
      <c r="X100" s="10" t="n">
        <f aca="false">SUMIF(Legimi!D$2:D$300,A100,Legimi!H$2:H$300)</f>
        <v>0</v>
      </c>
      <c r="Z100" s="9" t="n">
        <f aca="false">SUMIF(konwertery!G$2:G$302,A100,Nexto!J$2:J$283)</f>
        <v>0</v>
      </c>
      <c r="AA100" s="9" t="n">
        <f aca="false">SUMIF(konwertery!G$2:G$302,A100,Nexto!N$2:P$302)</f>
        <v>0</v>
      </c>
      <c r="AC100" s="9" t="n">
        <f aca="false">SUMIF(Woblink!E$9:E$309,A100,Woblink!I$9:I$309)</f>
        <v>0</v>
      </c>
      <c r="AD100" s="10" t="n">
        <f aca="false">SUMIF(Woblink!E$14:E$314,A100,konwertery!R$2:R$300)</f>
        <v>0</v>
      </c>
      <c r="AF100" s="9" t="n">
        <f aca="false">SUM(SUMIF(konwertery!I$2:I$300,A100,Azymut!H$2:H$298),(SUMIF(konwertery!S$2:S$300,A100,AzymutB!H$2:H390)*2))</f>
        <v>0</v>
      </c>
      <c r="AG100" s="8" t="n">
        <f aca="false">SUM(SUMIF(konwertery!I$2:I$300,A100,konwertery!J$2:J$300),SUMIF(konwertery!S$2:S$300,A100,konwertery!T$2:T$300))</f>
        <v>0</v>
      </c>
      <c r="AI100" s="9" t="n">
        <f aca="false">SUMIF(konwertery!K$2:K$300,A100,Ebookpoint!F$14:F$312)</f>
        <v>0</v>
      </c>
      <c r="AJ100" s="9" t="n">
        <f aca="false">SUMIF(konwertery!K$2:K$300,A100,Ebookpoint!M$14:M$312)</f>
        <v>0</v>
      </c>
      <c r="AL100" s="9" t="n">
        <f aca="false">SUMIF(konwertery!L$2:L$300,A100,Nasbi!F$14:F$312)</f>
        <v>0</v>
      </c>
      <c r="AM100" s="9" t="n">
        <f aca="false">SUMIF(konwertery!L$2:L$300,A100,Nasbi!K$14:K$312)</f>
        <v>0</v>
      </c>
      <c r="AO100" s="9" t="n">
        <f aca="false">SUMIF(StorytelE!C$2:C$300,A100,konwertery!M$2:M$300)+SUMIF(StorytelA!C$2:C$300,A100,konwertery!N$2:N$300)</f>
        <v>0</v>
      </c>
      <c r="AP100" s="9" t="n">
        <f aca="false">SUMIF(StorytelE!C$2:C$300,A100,konwertery!O$2:O$300)+SUMIF(StorytelA!C$2:C$300,A100,konwertery!P$2:P$300)</f>
        <v>0</v>
      </c>
      <c r="AR100" s="9" t="n">
        <f aca="false">SUMIF(konwertery!U$2:U$300,A100,Audioteka!E$4:E$302)</f>
        <v>0</v>
      </c>
      <c r="AS100" s="9" t="n">
        <f aca="false">SUMIF(konwertery!U$2:U$300,A100,Audioteka!O$4:O$302)</f>
        <v>0</v>
      </c>
      <c r="AU100" s="9" t="n">
        <f aca="false">SUMIF(Bookbeat!A$9:A$309,A100,Bookbeat!H$9:H$309)</f>
        <v>0</v>
      </c>
      <c r="AV100" s="10" t="n">
        <f aca="false">SUMIF(Bookbeat!A$9:A$309,A100,Bookbeat!L$9:L$309)</f>
        <v>0</v>
      </c>
    </row>
    <row r="101" customFormat="false" ht="15.75" hidden="false" customHeight="false" outlineLevel="0" collapsed="false">
      <c r="A101" s="11" t="n">
        <v>9788365156303</v>
      </c>
      <c r="B101" s="8" t="s">
        <v>114</v>
      </c>
      <c r="E101" s="3" t="n">
        <f aca="false">H101+K101</f>
        <v>1</v>
      </c>
      <c r="F101" s="4" t="n">
        <f aca="false">I101+L101</f>
        <v>10.1462</v>
      </c>
      <c r="H101" s="9" t="n">
        <f aca="false">SUMIF(konwertery!A$2:A$300,A101,Histmag!C$2:C$300)</f>
        <v>1</v>
      </c>
      <c r="I101" s="10" t="n">
        <f aca="false">SUMIF(konwertery!A$2:A$300,A101,konwertery!B$2:B$300) * 0.97</f>
        <v>10.1462</v>
      </c>
      <c r="K101" s="7" t="n">
        <f aca="false">N101+Q101+T101+W101+Z101+AC101+AF101+AI101+AL101+AO101+AR101+AU101</f>
        <v>0</v>
      </c>
      <c r="L101" s="12" t="n">
        <f aca="false">O101+R101+U101+X101+AA101+AD101+AG101+AJ101+AM101+AP101+AS101+AV101</f>
        <v>0</v>
      </c>
      <c r="N101" s="9" t="n">
        <f aca="false">SUMIF(konwertery!C$2:C$300,A101,Virtualo!L$2:L$300)</f>
        <v>0</v>
      </c>
      <c r="O101" s="10" t="n">
        <f aca="false">(SUMIF(konwertery!C$2:C$300,A101,Virtualo!P$2:P$300))</f>
        <v>0</v>
      </c>
      <c r="Q101" s="9" t="n">
        <f aca="false">SUMIF(konwertery!D$2:D$300,A101,Empik!M$2:M$300)</f>
        <v>0</v>
      </c>
      <c r="R101" s="10" t="n">
        <f aca="false">SUMIF(konwertery!D$2:D$300,A101,Empik!N$2:N$300)</f>
        <v>0</v>
      </c>
      <c r="T101" s="13" t="n">
        <f aca="false">SUMIF(konwertery!E$2:E$300,A101,Publio!P$2:P$300)</f>
        <v>0</v>
      </c>
      <c r="U101" s="14" t="n">
        <f aca="false">SUMIF(konwertery!E$2:E$300,A101,konwertery!F$2:F$300)</f>
        <v>0</v>
      </c>
      <c r="W101" s="9" t="n">
        <f aca="false">SUMIF(Legimi!D$2:D$300,A101,Legimi!G$2:G$300)</f>
        <v>0</v>
      </c>
      <c r="X101" s="10" t="n">
        <f aca="false">SUMIF(Legimi!D$2:D$300,A101,Legimi!H$2:H$300)</f>
        <v>0</v>
      </c>
      <c r="Z101" s="9" t="n">
        <f aca="false">SUMIF(konwertery!G$2:G$302,A101,Nexto!J$2:J$283)</f>
        <v>0</v>
      </c>
      <c r="AA101" s="9" t="n">
        <f aca="false">SUMIF(konwertery!G$2:G$302,A101,Nexto!N$2:P$302)</f>
        <v>0</v>
      </c>
      <c r="AC101" s="9" t="n">
        <f aca="false">SUMIF(Woblink!E$9:E$309,A101,Woblink!I$9:I$309)</f>
        <v>0</v>
      </c>
      <c r="AD101" s="10" t="n">
        <f aca="false">SUMIF(Woblink!E$14:E$314,A101,konwertery!R$2:R$300)</f>
        <v>0</v>
      </c>
      <c r="AF101" s="9" t="n">
        <f aca="false">SUM(SUMIF(konwertery!I$2:I$300,A101,Azymut!H$2:H$298),(SUMIF(konwertery!S$2:S$300,A101,AzymutB!H$2:H391)*2))</f>
        <v>0</v>
      </c>
      <c r="AG101" s="8" t="n">
        <f aca="false">SUM(SUMIF(konwertery!I$2:I$300,A101,konwertery!J$2:J$300),SUMIF(konwertery!S$2:S$300,A101,konwertery!T$2:T$300))</f>
        <v>0</v>
      </c>
      <c r="AI101" s="9" t="n">
        <f aca="false">SUMIF(konwertery!K$2:K$300,A101,Ebookpoint!F$14:F$312)</f>
        <v>0</v>
      </c>
      <c r="AJ101" s="9" t="n">
        <f aca="false">SUMIF(konwertery!K$2:K$300,A101,Ebookpoint!M$14:M$312)</f>
        <v>0</v>
      </c>
      <c r="AL101" s="9" t="n">
        <f aca="false">SUMIF(konwertery!L$2:L$300,A101,Nasbi!F$14:F$312)</f>
        <v>0</v>
      </c>
      <c r="AM101" s="9" t="n">
        <f aca="false">SUMIF(konwertery!L$2:L$300,A101,Nasbi!K$14:K$312)</f>
        <v>0</v>
      </c>
      <c r="AO101" s="9" t="n">
        <f aca="false">SUMIF(StorytelE!C$2:C$300,A101,konwertery!M$2:M$300)+SUMIF(StorytelA!C$2:C$300,A101,konwertery!N$2:N$300)</f>
        <v>0</v>
      </c>
      <c r="AP101" s="9" t="n">
        <f aca="false">SUMIF(StorytelE!C$2:C$300,A101,konwertery!O$2:O$300)+SUMIF(StorytelA!C$2:C$300,A101,konwertery!P$2:P$300)</f>
        <v>0</v>
      </c>
      <c r="AR101" s="9" t="n">
        <f aca="false">SUMIF(konwertery!U$2:U$300,A101,Audioteka!E$4:E$302)</f>
        <v>0</v>
      </c>
      <c r="AS101" s="9" t="n">
        <f aca="false">SUMIF(konwertery!U$2:U$300,A101,Audioteka!O$4:O$302)</f>
        <v>0</v>
      </c>
      <c r="AU101" s="9" t="n">
        <f aca="false">SUMIF(Bookbeat!A$9:A$309,A101,Bookbeat!H$9:H$309)</f>
        <v>0</v>
      </c>
      <c r="AV101" s="10" t="n">
        <f aca="false">SUMIF(Bookbeat!A$9:A$309,A101,Bookbeat!L$9:L$309)</f>
        <v>0</v>
      </c>
    </row>
    <row r="102" customFormat="false" ht="15.75" hidden="false" customHeight="false" outlineLevel="0" collapsed="false">
      <c r="A102" s="11" t="n">
        <v>9788365156495</v>
      </c>
      <c r="B102" s="15" t="s">
        <v>115</v>
      </c>
      <c r="E102" s="3" t="n">
        <f aca="false">H102+K102</f>
        <v>10</v>
      </c>
      <c r="F102" s="4" t="n">
        <f aca="false">I102+L102</f>
        <v>54.74</v>
      </c>
      <c r="H102" s="9" t="n">
        <f aca="false">SUMIF(konwertery!A$2:A$300,A102,Histmag!C$2:C$300)</f>
        <v>0</v>
      </c>
      <c r="I102" s="10" t="n">
        <f aca="false">SUMIF(konwertery!A$2:A$300,A102,konwertery!B$2:B$300) * 0.97</f>
        <v>0</v>
      </c>
      <c r="K102" s="7" t="n">
        <f aca="false">N102+Q102+T102+W102+Z102+AC102+AF102+AI102+AL102+AO102+AR102+AU102</f>
        <v>10</v>
      </c>
      <c r="L102" s="12" t="n">
        <f aca="false">O102+R102+U102+X102+AA102+AD102+AG102+AJ102+AM102+AP102+AS102+AV102</f>
        <v>54.74</v>
      </c>
      <c r="N102" s="9" t="n">
        <f aca="false">SUMIF(konwertery!C$2:C$300,A102,Virtualo!L$2:L$300)</f>
        <v>1</v>
      </c>
      <c r="O102" s="10" t="n">
        <f aca="false">(SUMIF(konwertery!C$2:C$300,A102,Virtualo!P$2:P$300))</f>
        <v>12.31</v>
      </c>
      <c r="Q102" s="9" t="n">
        <f aca="false">SUMIF(konwertery!D$2:D$300,A102,Empik!M$2:M$300)</f>
        <v>3</v>
      </c>
      <c r="R102" s="10" t="n">
        <f aca="false">SUMIF(konwertery!D$2:D$300,A102,Empik!N$2:N$300)</f>
        <v>25</v>
      </c>
      <c r="T102" s="13" t="n">
        <f aca="false">SUMIF(konwertery!E$2:E$300,A102,Publio!P$2:P$300)</f>
        <v>0</v>
      </c>
      <c r="U102" s="14" t="n">
        <f aca="false">SUMIF(konwertery!E$2:E$300,A102,konwertery!F$2:F$300)</f>
        <v>0</v>
      </c>
      <c r="W102" s="9" t="n">
        <f aca="false">SUMIF(Legimi!D$2:D$300,A102,Legimi!G$2:G$300)</f>
        <v>0</v>
      </c>
      <c r="X102" s="10" t="n">
        <f aca="false">SUMIF(Legimi!D$2:D$300,A102,Legimi!H$2:H$300)</f>
        <v>0</v>
      </c>
      <c r="Z102" s="9" t="n">
        <f aca="false">SUMIF(konwertery!G$2:G$302,A102,Nexto!J$2:J$283)</f>
        <v>0</v>
      </c>
      <c r="AA102" s="9" t="n">
        <f aca="false">SUMIF(konwertery!G$2:G$302,A102,Nexto!N$2:P$302)</f>
        <v>0</v>
      </c>
      <c r="AC102" s="9" t="n">
        <f aca="false">SUMIF(Woblink!E$9:E$309,A102,Woblink!I$9:I$309)</f>
        <v>0</v>
      </c>
      <c r="AD102" s="10" t="n">
        <f aca="false">SUMIF(Woblink!E$14:E$314,A102,konwertery!R$2:R$300)</f>
        <v>0</v>
      </c>
      <c r="AF102" s="9" t="n">
        <f aca="false">SUM(SUMIF(konwertery!I$2:I$300,A102,Azymut!H$2:H$298),(SUMIF(konwertery!S$2:S$300,A102,AzymutB!H$2:H392)*2))</f>
        <v>0</v>
      </c>
      <c r="AG102" s="8" t="n">
        <f aca="false">SUM(SUMIF(konwertery!I$2:I$300,A102,konwertery!J$2:J$300),SUMIF(konwertery!S$2:S$300,A102,konwertery!T$2:T$300))</f>
        <v>0</v>
      </c>
      <c r="AI102" s="9" t="n">
        <f aca="false">SUMIF(konwertery!K$2:K$300,A102,Ebookpoint!F$14:F$312)</f>
        <v>0</v>
      </c>
      <c r="AJ102" s="9" t="n">
        <f aca="false">SUMIF(konwertery!K$2:K$300,A102,Ebookpoint!M$14:M$312)</f>
        <v>0</v>
      </c>
      <c r="AL102" s="9" t="n">
        <f aca="false">SUMIF(konwertery!L$2:L$300,A102,Nasbi!F$14:F$312)</f>
        <v>0</v>
      </c>
      <c r="AM102" s="9" t="n">
        <f aca="false">SUMIF(konwertery!L$2:L$300,A102,Nasbi!K$14:K$312)</f>
        <v>0</v>
      </c>
      <c r="AO102" s="9" t="n">
        <f aca="false">SUMIF(StorytelE!C$2:C$300,A102,konwertery!M$2:M$300)+SUMIF(StorytelA!C$2:C$300,A102,konwertery!N$2:N$300)</f>
        <v>5</v>
      </c>
      <c r="AP102" s="9" t="n">
        <f aca="false">SUMIF(StorytelE!C$2:C$300,A102,konwertery!O$2:O$300)+SUMIF(StorytelA!C$2:C$300,A102,konwertery!P$2:P$300)</f>
        <v>13.35</v>
      </c>
      <c r="AR102" s="9" t="n">
        <f aca="false">SUMIF(konwertery!U$2:U$300,A102,Audioteka!E$4:E$302)</f>
        <v>0</v>
      </c>
      <c r="AS102" s="9" t="n">
        <f aca="false">SUMIF(konwertery!U$2:U$300,A102,Audioteka!O$4:O$302)</f>
        <v>0</v>
      </c>
      <c r="AU102" s="9" t="n">
        <f aca="false">SUMIF(Bookbeat!A$9:A$309,A102,Bookbeat!H$9:H$309)</f>
        <v>1</v>
      </c>
      <c r="AV102" s="10" t="n">
        <f aca="false">SUMIF(Bookbeat!A$9:A$309,A102,Bookbeat!L$9:L$309)</f>
        <v>4.08</v>
      </c>
    </row>
    <row r="103" customFormat="false" ht="15.75" hidden="false" customHeight="false" outlineLevel="0" collapsed="false">
      <c r="A103" s="11" t="n">
        <v>9788393463046</v>
      </c>
      <c r="B103" s="8" t="s">
        <v>116</v>
      </c>
      <c r="E103" s="3" t="n">
        <f aca="false">H103+K103</f>
        <v>3</v>
      </c>
      <c r="F103" s="4" t="n">
        <f aca="false">I103+L103</f>
        <v>17.1593</v>
      </c>
      <c r="H103" s="9" t="n">
        <f aca="false">SUMIF(konwertery!A$2:A$300,A103,Histmag!C$2:C$300)</f>
        <v>3</v>
      </c>
      <c r="I103" s="10" t="n">
        <f aca="false">SUMIF(konwertery!A$2:A$300,A103,konwertery!B$2:B$300) * 0.97</f>
        <v>17.1593</v>
      </c>
      <c r="K103" s="7" t="n">
        <f aca="false">N103+Q103+T103+W103+Z103+AC103+AF103+AI103+AL103+AO103+AR103+AU103</f>
        <v>0</v>
      </c>
      <c r="L103" s="12" t="n">
        <f aca="false">O103+R103+U103+X103+AA103+AD103+AG103+AJ103+AM103+AP103+AS103+AV103</f>
        <v>0</v>
      </c>
      <c r="N103" s="9" t="n">
        <f aca="false">SUMIF(konwertery!C$2:C$300,A103,Virtualo!L$2:L$300)</f>
        <v>0</v>
      </c>
      <c r="O103" s="10" t="n">
        <f aca="false">(SUMIF(konwertery!C$2:C$300,A103,Virtualo!P$2:P$300))</f>
        <v>0</v>
      </c>
      <c r="Q103" s="9" t="n">
        <f aca="false">SUMIF(konwertery!D$2:D$300,A103,Empik!M$2:M$300)</f>
        <v>0</v>
      </c>
      <c r="R103" s="10" t="n">
        <f aca="false">SUMIF(konwertery!D$2:D$300,A103,Empik!N$2:N$300)</f>
        <v>0</v>
      </c>
      <c r="T103" s="13" t="n">
        <f aca="false">SUMIF(konwertery!E$2:E$300,A103,Publio!P$2:P$300)</f>
        <v>0</v>
      </c>
      <c r="U103" s="14" t="n">
        <f aca="false">SUMIF(konwertery!E$2:E$300,A103,konwertery!F$2:F$300)</f>
        <v>0</v>
      </c>
      <c r="W103" s="9" t="n">
        <f aca="false">SUMIF(Legimi!D$2:D$300,A103,Legimi!G$2:G$300)</f>
        <v>0</v>
      </c>
      <c r="X103" s="10" t="n">
        <f aca="false">SUMIF(Legimi!D$2:D$300,A103,Legimi!H$2:H$300)</f>
        <v>0</v>
      </c>
      <c r="Z103" s="9" t="n">
        <f aca="false">SUMIF(konwertery!G$2:G$302,A103,Nexto!J$2:J$283)</f>
        <v>0</v>
      </c>
      <c r="AA103" s="9" t="n">
        <f aca="false">SUMIF(konwertery!G$2:G$302,A103,Nexto!N$2:P$302)</f>
        <v>0</v>
      </c>
      <c r="AC103" s="9" t="n">
        <f aca="false">SUMIF(Woblink!E$9:E$309,A103,Woblink!I$9:I$309)</f>
        <v>0</v>
      </c>
      <c r="AD103" s="10" t="n">
        <f aca="false">SUMIF(Woblink!E$14:E$314,A103,konwertery!R$2:R$300)</f>
        <v>0</v>
      </c>
      <c r="AF103" s="9" t="n">
        <f aca="false">SUM(SUMIF(konwertery!I$2:I$300,A103,Azymut!H$2:H$298),(SUMIF(konwertery!S$2:S$300,A103,AzymutB!H$2:H393)*2))</f>
        <v>0</v>
      </c>
      <c r="AG103" s="8" t="n">
        <f aca="false">SUM(SUMIF(konwertery!I$2:I$300,A103,konwertery!J$2:J$300),SUMIF(konwertery!S$2:S$300,A103,konwertery!T$2:T$300))</f>
        <v>0</v>
      </c>
      <c r="AI103" s="9" t="n">
        <f aca="false">SUMIF(konwertery!K$2:K$300,A103,Ebookpoint!F$14:F$312)</f>
        <v>0</v>
      </c>
      <c r="AJ103" s="9" t="n">
        <f aca="false">SUMIF(konwertery!K$2:K$300,A103,Ebookpoint!M$14:M$312)</f>
        <v>0</v>
      </c>
      <c r="AL103" s="9" t="n">
        <f aca="false">SUMIF(konwertery!L$2:L$300,A103,Nasbi!F$14:F$312)</f>
        <v>0</v>
      </c>
      <c r="AM103" s="9" t="n">
        <f aca="false">SUMIF(konwertery!L$2:L$300,A103,Nasbi!K$14:K$312)</f>
        <v>0</v>
      </c>
      <c r="AO103" s="9" t="n">
        <f aca="false">SUMIF(StorytelE!C$2:C$300,A103,konwertery!M$2:M$300)+SUMIF(StorytelA!C$2:C$300,A103,konwertery!N$2:N$300)</f>
        <v>0</v>
      </c>
      <c r="AP103" s="9" t="n">
        <f aca="false">SUMIF(StorytelE!C$2:C$300,A103,konwertery!O$2:O$300)+SUMIF(StorytelA!C$2:C$300,A103,konwertery!P$2:P$300)</f>
        <v>0</v>
      </c>
      <c r="AR103" s="9" t="n">
        <f aca="false">SUMIF(konwertery!U$2:U$300,A103,Audioteka!E$4:E$302)</f>
        <v>0</v>
      </c>
      <c r="AS103" s="9" t="n">
        <f aca="false">SUMIF(konwertery!U$2:U$300,A103,Audioteka!O$4:O$302)</f>
        <v>0</v>
      </c>
      <c r="AU103" s="9" t="n">
        <f aca="false">SUMIF(Bookbeat!A$9:A$309,A103,Bookbeat!H$9:H$309)</f>
        <v>0</v>
      </c>
      <c r="AV103" s="10" t="n">
        <f aca="false">SUMIF(Bookbeat!A$9:A$309,A103,Bookbeat!L$9:L$309)</f>
        <v>0</v>
      </c>
    </row>
    <row r="104" customFormat="false" ht="15.75" hidden="false" customHeight="false" outlineLevel="0" collapsed="false">
      <c r="A104" s="11" t="n">
        <v>9788365156334</v>
      </c>
      <c r="B104" s="15" t="s">
        <v>117</v>
      </c>
      <c r="E104" s="3" t="n">
        <f aca="false">H104+K104</f>
        <v>23</v>
      </c>
      <c r="F104" s="4" t="n">
        <f aca="false">I104+L104</f>
        <v>84.613</v>
      </c>
      <c r="H104" s="9" t="n">
        <f aca="false">SUMIF(konwertery!A$2:A$300,A104,Histmag!C$2:C$300)</f>
        <v>1</v>
      </c>
      <c r="I104" s="10" t="n">
        <f aca="false">SUMIF(konwertery!A$2:A$300,A104,konwertery!B$2:B$300) * 0.97</f>
        <v>4.753</v>
      </c>
      <c r="K104" s="7" t="n">
        <f aca="false">N104+Q104+T104+W104+Z104+AC104+AF104+AI104+AL104+AO104+AR104+AU104</f>
        <v>22</v>
      </c>
      <c r="L104" s="12" t="n">
        <f aca="false">O104+R104+U104+X104+AA104+AD104+AG104+AJ104+AM104+AP104+AS104+AV104</f>
        <v>79.86</v>
      </c>
      <c r="N104" s="9" t="n">
        <f aca="false">SUMIF(konwertery!C$2:C$300,A104,Virtualo!L$2:L$300)</f>
        <v>0</v>
      </c>
      <c r="O104" s="10" t="n">
        <f aca="false">(SUMIF(konwertery!C$2:C$300,A104,Virtualo!P$2:P$300))</f>
        <v>0</v>
      </c>
      <c r="Q104" s="9" t="n">
        <f aca="false">SUMIF(konwertery!D$2:D$300,A104,Empik!M$2:M$300)</f>
        <v>5</v>
      </c>
      <c r="R104" s="10" t="n">
        <f aca="false">SUMIF(konwertery!D$2:D$300,A104,Empik!N$2:N$300)</f>
        <v>39</v>
      </c>
      <c r="T104" s="13" t="n">
        <f aca="false">SUMIF(konwertery!E$2:E$300,A104,Publio!P$2:P$300)</f>
        <v>0</v>
      </c>
      <c r="U104" s="14" t="n">
        <f aca="false">SUMIF(konwertery!E$2:E$300,A104,konwertery!F$2:F$300)</f>
        <v>0</v>
      </c>
      <c r="W104" s="9" t="n">
        <f aca="false">SUMIF(Legimi!D$2:D$300,A104,Legimi!G$2:G$300)</f>
        <v>0</v>
      </c>
      <c r="X104" s="10" t="n">
        <f aca="false">SUMIF(Legimi!D$2:D$300,A104,Legimi!H$2:H$300)</f>
        <v>0</v>
      </c>
      <c r="Z104" s="9" t="n">
        <f aca="false">SUMIF(konwertery!G$2:G$302,A104,Nexto!J$2:J$283)</f>
        <v>0</v>
      </c>
      <c r="AA104" s="9" t="n">
        <f aca="false">SUMIF(konwertery!G$2:G$302,A104,Nexto!N$2:P$302)</f>
        <v>0</v>
      </c>
      <c r="AC104" s="9" t="n">
        <f aca="false">SUMIF(Woblink!E$9:E$309,A104,Woblink!I$9:I$309)</f>
        <v>1</v>
      </c>
      <c r="AD104" s="10" t="n">
        <f aca="false">SUMIF(Woblink!E$14:E$314,A104,konwertery!R$2:R$300)</f>
        <v>6.23</v>
      </c>
      <c r="AF104" s="9" t="n">
        <f aca="false">SUM(SUMIF(konwertery!I$2:I$300,A104,Azymut!H$2:H$298),(SUMIF(konwertery!S$2:S$300,A104,AzymutB!H$2:H394)*2))</f>
        <v>0</v>
      </c>
      <c r="AG104" s="8" t="n">
        <f aca="false">SUM(SUMIF(konwertery!I$2:I$300,A104,konwertery!J$2:J$300),SUMIF(konwertery!S$2:S$300,A104,konwertery!T$2:T$300))</f>
        <v>0</v>
      </c>
      <c r="AI104" s="9" t="n">
        <f aca="false">SUMIF(konwertery!K$2:K$300,A104,Ebookpoint!F$14:F$312)</f>
        <v>0</v>
      </c>
      <c r="AJ104" s="9" t="n">
        <f aca="false">SUMIF(konwertery!K$2:K$300,A104,Ebookpoint!M$14:M$312)</f>
        <v>0</v>
      </c>
      <c r="AL104" s="9" t="n">
        <f aca="false">SUMIF(konwertery!L$2:L$300,A104,Nasbi!F$14:F$312)</f>
        <v>0</v>
      </c>
      <c r="AM104" s="9" t="n">
        <f aca="false">SUMIF(konwertery!L$2:L$300,A104,Nasbi!K$14:K$312)</f>
        <v>0</v>
      </c>
      <c r="AO104" s="9" t="n">
        <f aca="false">SUMIF(StorytelE!C$2:C$300,A104,konwertery!M$2:M$300)+SUMIF(StorytelA!C$2:C$300,A104,konwertery!N$2:N$300)</f>
        <v>13</v>
      </c>
      <c r="AP104" s="9" t="n">
        <f aca="false">SUMIF(StorytelE!C$2:C$300,A104,konwertery!O$2:O$300)+SUMIF(StorytelA!C$2:C$300,A104,konwertery!P$2:P$300)</f>
        <v>15.94</v>
      </c>
      <c r="AR104" s="9" t="n">
        <f aca="false">SUMIF(konwertery!U$2:U$300,A104,Audioteka!E$4:E$302)</f>
        <v>3</v>
      </c>
      <c r="AS104" s="9" t="n">
        <f aca="false">SUMIF(konwertery!U$2:U$300,A104,Audioteka!O$4:O$302)</f>
        <v>18.69</v>
      </c>
      <c r="AU104" s="9" t="n">
        <f aca="false">SUMIF(Bookbeat!A$9:A$309,A104,Bookbeat!H$9:H$309)</f>
        <v>0</v>
      </c>
      <c r="AV104" s="10" t="n">
        <f aca="false">SUMIF(Bookbeat!A$9:A$309,A104,Bookbeat!L$9:L$309)</f>
        <v>0</v>
      </c>
    </row>
    <row r="105" customFormat="false" ht="15.75" hidden="false" customHeight="false" outlineLevel="0" collapsed="false">
      <c r="A105" s="11" t="n">
        <v>9788362329991</v>
      </c>
      <c r="B105" s="8" t="s">
        <v>118</v>
      </c>
      <c r="E105" s="3" t="n">
        <f aca="false">H105+K105</f>
        <v>2</v>
      </c>
      <c r="F105" s="4" t="n">
        <f aca="false">I105+L105</f>
        <v>25.7632</v>
      </c>
      <c r="H105" s="9" t="n">
        <f aca="false">SUMIF(konwertery!A$2:A$300,A105,Histmag!C$2:C$300)</f>
        <v>2</v>
      </c>
      <c r="I105" s="10" t="n">
        <f aca="false">SUMIF(konwertery!A$2:A$300,A105,konwertery!B$2:B$300) * 0.97</f>
        <v>25.7632</v>
      </c>
      <c r="K105" s="7" t="n">
        <f aca="false">N105+Q105+T105+W105+Z105+AC105+AF105+AI105+AL105+AO105+AR105+AU105</f>
        <v>0</v>
      </c>
      <c r="L105" s="12" t="n">
        <f aca="false">O105+R105+U105+X105+AA105+AD105+AG105+AJ105+AM105+AP105+AS105+AV105</f>
        <v>0</v>
      </c>
      <c r="N105" s="9" t="n">
        <f aca="false">SUMIF(konwertery!C$2:C$300,A105,Virtualo!L$2:L$300)</f>
        <v>0</v>
      </c>
      <c r="O105" s="10" t="n">
        <f aca="false">(SUMIF(konwertery!C$2:C$300,A105,Virtualo!P$2:P$300))</f>
        <v>0</v>
      </c>
      <c r="Q105" s="9" t="n">
        <f aca="false">SUMIF(konwertery!D$2:D$300,A105,Empik!M$2:M$300)</f>
        <v>0</v>
      </c>
      <c r="R105" s="10" t="n">
        <f aca="false">SUMIF(konwertery!D$2:D$300,A105,Empik!N$2:N$300)</f>
        <v>0</v>
      </c>
      <c r="T105" s="13" t="n">
        <f aca="false">SUMIF(konwertery!E$2:E$300,A105,Publio!P$2:P$300)</f>
        <v>0</v>
      </c>
      <c r="U105" s="14" t="n">
        <f aca="false">SUMIF(konwertery!E$2:E$300,A105,konwertery!F$2:F$300)</f>
        <v>0</v>
      </c>
      <c r="W105" s="9" t="n">
        <f aca="false">SUMIF(Legimi!D$2:D$300,A105,Legimi!G$2:G$300)</f>
        <v>0</v>
      </c>
      <c r="X105" s="10" t="n">
        <f aca="false">SUMIF(Legimi!D$2:D$300,A105,Legimi!H$2:H$300)</f>
        <v>0</v>
      </c>
      <c r="Z105" s="9" t="n">
        <f aca="false">SUMIF(konwertery!G$2:G$302,A105,Nexto!J$2:J$283)</f>
        <v>0</v>
      </c>
      <c r="AA105" s="9" t="n">
        <f aca="false">SUMIF(konwertery!G$2:G$302,A105,Nexto!N$2:P$302)</f>
        <v>0</v>
      </c>
      <c r="AC105" s="9" t="n">
        <f aca="false">SUMIF(Woblink!E$9:E$309,A105,Woblink!I$9:I$309)</f>
        <v>0</v>
      </c>
      <c r="AD105" s="10" t="n">
        <f aca="false">SUMIF(Woblink!E$14:E$314,A105,konwertery!R$2:R$300)</f>
        <v>0</v>
      </c>
      <c r="AF105" s="9" t="n">
        <f aca="false">SUM(SUMIF(konwertery!I$2:I$300,A105,Azymut!H$2:H$298),(SUMIF(konwertery!S$2:S$300,A105,AzymutB!H$2:H395)*2))</f>
        <v>0</v>
      </c>
      <c r="AG105" s="8" t="n">
        <f aca="false">SUM(SUMIF(konwertery!I$2:I$300,A105,konwertery!J$2:J$300),SUMIF(konwertery!S$2:S$300,A105,konwertery!T$2:T$300))</f>
        <v>0</v>
      </c>
      <c r="AI105" s="9" t="n">
        <f aca="false">SUMIF(konwertery!K$2:K$300,A105,Ebookpoint!F$14:F$312)</f>
        <v>0</v>
      </c>
      <c r="AJ105" s="9" t="n">
        <f aca="false">SUMIF(konwertery!K$2:K$300,A105,Ebookpoint!M$14:M$312)</f>
        <v>0</v>
      </c>
      <c r="AL105" s="9" t="n">
        <f aca="false">SUMIF(konwertery!L$2:L$300,A105,Nasbi!F$14:F$312)</f>
        <v>0</v>
      </c>
      <c r="AM105" s="9" t="n">
        <f aca="false">SUMIF(konwertery!L$2:L$300,A105,Nasbi!K$14:K$312)</f>
        <v>0</v>
      </c>
      <c r="AO105" s="9" t="n">
        <f aca="false">SUMIF(StorytelE!C$2:C$300,A105,konwertery!M$2:M$300)+SUMIF(StorytelA!C$2:C$300,A105,konwertery!N$2:N$300)</f>
        <v>0</v>
      </c>
      <c r="AP105" s="9" t="n">
        <f aca="false">SUMIF(StorytelE!C$2:C$300,A105,konwertery!O$2:O$300)+SUMIF(StorytelA!C$2:C$300,A105,konwertery!P$2:P$300)</f>
        <v>0</v>
      </c>
      <c r="AR105" s="9" t="n">
        <f aca="false">SUMIF(konwertery!U$2:U$300,A105,Audioteka!E$4:E$302)</f>
        <v>0</v>
      </c>
      <c r="AS105" s="9" t="n">
        <f aca="false">SUMIF(konwertery!U$2:U$300,A105,Audioteka!O$4:O$302)</f>
        <v>0</v>
      </c>
      <c r="AU105" s="9" t="n">
        <f aca="false">SUMIF(Bookbeat!A$9:A$309,A105,Bookbeat!H$9:H$309)</f>
        <v>0</v>
      </c>
      <c r="AV105" s="10" t="n">
        <f aca="false">SUMIF(Bookbeat!A$9:A$309,A105,Bookbeat!L$9:L$309)</f>
        <v>0</v>
      </c>
    </row>
    <row r="106" customFormat="false" ht="15.75" hidden="false" customHeight="false" outlineLevel="0" collapsed="false">
      <c r="A106" s="7"/>
      <c r="B106" s="8"/>
      <c r="E106" s="3"/>
      <c r="F106" s="3"/>
      <c r="I106" s="10"/>
      <c r="K106" s="7"/>
      <c r="L106" s="7"/>
      <c r="O106" s="10"/>
      <c r="R106" s="10"/>
      <c r="U106" s="16"/>
      <c r="X106" s="10"/>
      <c r="AA106" s="10"/>
      <c r="AD106" s="10"/>
      <c r="AV106" s="10"/>
    </row>
    <row r="107" customFormat="false" ht="15.75" hidden="false" customHeight="false" outlineLevel="0" collapsed="false">
      <c r="A107" s="7"/>
      <c r="B107" s="8" t="s">
        <v>119</v>
      </c>
      <c r="E107" s="3" t="n">
        <f aca="false">SUM(E4:E105)</f>
        <v>1390</v>
      </c>
      <c r="F107" s="4" t="n">
        <f aca="false">SUM(F4:F105)</f>
        <v>5965.7572</v>
      </c>
      <c r="H107" s="9" t="n">
        <f aca="false">SUM(H4:H105)</f>
        <v>115</v>
      </c>
      <c r="I107" s="17" t="n">
        <f aca="false">SUM(I4:I105)</f>
        <v>1125.9372</v>
      </c>
      <c r="K107" s="18" t="n">
        <f aca="false">SUM(K4:K105)</f>
        <v>1275</v>
      </c>
      <c r="L107" s="19" t="n">
        <f aca="false">SUM(L4:L105)</f>
        <v>4839.82</v>
      </c>
      <c r="N107" s="9" t="n">
        <f aca="false">SUM(N4:N105)</f>
        <v>17</v>
      </c>
      <c r="O107" s="10" t="n">
        <f aca="false">SUM(O4:O105)</f>
        <v>177.76</v>
      </c>
      <c r="Q107" s="9" t="n">
        <f aca="false">SUM(Q4:Q105)</f>
        <v>119</v>
      </c>
      <c r="R107" s="10" t="n">
        <f aca="false">SUM(R4:R105)</f>
        <v>915</v>
      </c>
      <c r="T107" s="9" t="n">
        <f aca="false">SUM(T4:T105)</f>
        <v>19</v>
      </c>
      <c r="U107" s="16" t="n">
        <f aca="false">SUM(U4:U105)</f>
        <v>177.73</v>
      </c>
      <c r="W107" s="9" t="n">
        <f aca="false">SUM(W4:W105)</f>
        <v>16</v>
      </c>
      <c r="X107" s="10" t="n">
        <f aca="false">SUM(X4:X105)</f>
        <v>155.59</v>
      </c>
      <c r="Z107" s="9" t="n">
        <f aca="false">SUM(Z4:Z105)</f>
        <v>4</v>
      </c>
      <c r="AA107" s="10" t="n">
        <f aca="false">SUM(AA4:AA105)</f>
        <v>20.87</v>
      </c>
      <c r="AC107" s="9" t="n">
        <f aca="false">SUM(AC4:AC105)</f>
        <v>14</v>
      </c>
      <c r="AD107" s="10" t="n">
        <f aca="false">SUM(AD4:AD105)</f>
        <v>123.75</v>
      </c>
      <c r="AF107" s="9" t="n">
        <f aca="false">SUM(AF4:AF105)</f>
        <v>4</v>
      </c>
      <c r="AG107" s="9" t="n">
        <f aca="false">SUM(AG4:AG105)</f>
        <v>42.62</v>
      </c>
      <c r="AI107" s="9" t="n">
        <f aca="false">SUM(AI4:AI105)</f>
        <v>195</v>
      </c>
      <c r="AJ107" s="9" t="n">
        <f aca="false">SUM(AJ4:AJ105)</f>
        <v>1356.13</v>
      </c>
      <c r="AL107" s="9" t="n">
        <f aca="false">SUM(AL4:AL105)</f>
        <v>2</v>
      </c>
      <c r="AM107" s="9" t="n">
        <f aca="false">SUM(AM4:AM105)</f>
        <v>23.04</v>
      </c>
      <c r="AO107" s="9" t="n">
        <f aca="false">SUM(AO4:AO105)</f>
        <v>799</v>
      </c>
      <c r="AP107" s="9" t="n">
        <f aca="false">SUM(AP4:AP105)</f>
        <v>1251.79</v>
      </c>
      <c r="AR107" s="9" t="n">
        <f aca="false">SUM(AR4:AR105)</f>
        <v>51</v>
      </c>
      <c r="AS107" s="9" t="n">
        <f aca="false">SUM(AS4:AS105)</f>
        <v>501.39</v>
      </c>
      <c r="AU107" s="9" t="n">
        <f aca="false">SUM(AU4:AU105)</f>
        <v>35</v>
      </c>
      <c r="AV107" s="10" t="n">
        <f aca="false">SUM(AV4:AV105)</f>
        <v>94.15</v>
      </c>
    </row>
    <row r="108" customFormat="false" ht="15.75" hidden="false" customHeight="false" outlineLevel="0" collapsed="false">
      <c r="A108" s="20"/>
      <c r="B108" s="21" t="s">
        <v>120</v>
      </c>
      <c r="C108" s="20"/>
      <c r="D108" s="20"/>
      <c r="E108" s="22"/>
      <c r="F108" s="22"/>
      <c r="G108" s="20"/>
      <c r="H108" s="21" t="n">
        <v>39</v>
      </c>
      <c r="I108" s="23" t="n">
        <v>425.32</v>
      </c>
      <c r="J108" s="20"/>
      <c r="K108" s="20" t="n">
        <f aca="false">SUM(K4:K106)</f>
        <v>1275</v>
      </c>
      <c r="L108" s="24" t="n">
        <f aca="false">SUM(L4:L105)</f>
        <v>4839.82</v>
      </c>
      <c r="M108" s="20"/>
      <c r="N108" s="20" t="n">
        <f aca="false">SUM(Virtualo!L:L)/2</f>
        <v>17</v>
      </c>
      <c r="O108" s="24" t="n">
        <f aca="true" t="array" ref="O108:O108">MAX(INDIRECT("Virtualo!P:P"))</f>
        <v>177.76</v>
      </c>
      <c r="P108" s="20"/>
      <c r="Q108" s="20" t="n">
        <f aca="true" t="array" ref="Q108:Q108">MAX(INDIRECT("Empik!M:M"))</f>
        <v>119</v>
      </c>
      <c r="R108" s="24" t="n">
        <f aca="true" t="array" ref="R108:R108">MAX(INDIRECT("Empik!N:N"))</f>
        <v>915</v>
      </c>
      <c r="S108" s="20"/>
      <c r="T108" s="20" t="n">
        <f aca="false">SUM(Publio!P2:P300)</f>
        <v>19</v>
      </c>
      <c r="U108" s="24" t="n">
        <f aca="false">SUM(konwertery!F2:F301)</f>
        <v>177.73</v>
      </c>
      <c r="V108" s="20"/>
      <c r="W108" s="20" t="n">
        <f aca="false">SUM(Legimi!G:G)</f>
        <v>16</v>
      </c>
      <c r="X108" s="24" t="n">
        <f aca="true" t="array" ref="X108:X108">MAX(INDIRECT("Legimi!H:H"))</f>
        <v>155.59</v>
      </c>
      <c r="Y108" s="20"/>
      <c r="Z108" s="20" t="n">
        <f aca="false">(SUMIF(konwertery!G$2:G$302,"*",Nexto!J$7:J$307)/2)</f>
        <v>4</v>
      </c>
      <c r="AA108" s="24" t="n">
        <f aca="false">SUM(Nexto!N$7:N$283)</f>
        <v>20.87</v>
      </c>
      <c r="AB108" s="20"/>
      <c r="AC108" s="20" t="n">
        <f aca="false">SUMIF(Woblink!I$9:I$314,"1")</f>
        <v>14</v>
      </c>
      <c r="AD108" s="24" t="n">
        <f aca="false">SUM(konwertery!R$2:R$300)</f>
        <v>123.75</v>
      </c>
      <c r="AE108" s="20"/>
      <c r="AF108" s="21" t="n">
        <v>0</v>
      </c>
      <c r="AG108" s="20" t="n">
        <f aca="false">AG107</f>
        <v>42.62</v>
      </c>
      <c r="AH108" s="20"/>
      <c r="AI108" s="20" t="n">
        <f aca="true" t="array" ref="AI108:AI108">MAX(INDIRECT("Ebookpoint!F:F"))</f>
        <v>195</v>
      </c>
      <c r="AJ108" s="20" t="n">
        <f aca="true" t="array" ref="AJ108:AJ108">MAX(INDIRECT("Ebookpoint!M:M"))</f>
        <v>1356.13</v>
      </c>
      <c r="AK108" s="20"/>
      <c r="AL108" s="20" t="n">
        <f aca="true" t="array" ref="AL108:AL108">MAX(INDIRECT("Nasbi!F:F"))</f>
        <v>2</v>
      </c>
      <c r="AM108" s="20" t="n">
        <f aca="true" t="array" ref="AM108:AM108">MAX(INDIRECT("Nasbi!K:K"))</f>
        <v>23.04</v>
      </c>
      <c r="AN108" s="20"/>
      <c r="AO108" s="20" t="n">
        <f aca="false">AO107</f>
        <v>799</v>
      </c>
      <c r="AP108" s="20" t="n">
        <f aca="false">AP107</f>
        <v>1251.79</v>
      </c>
      <c r="AQ108" s="20"/>
      <c r="AR108" s="20" t="n">
        <f aca="true" t="array" ref="AR108:AR108">MAX(INDIRECT("Audioteka!E:E"))</f>
        <v>51</v>
      </c>
      <c r="AS108" s="20" t="n">
        <f aca="true" t="array" ref="AS108:AS108">MAX(INDIRECT("Audioteka!O:O"))</f>
        <v>501.39</v>
      </c>
      <c r="AT108" s="20"/>
      <c r="AU108" s="20" t="n">
        <f aca="false">AU107</f>
        <v>35</v>
      </c>
      <c r="AV108" s="24" t="n">
        <f aca="false">Bookbeat!D5</f>
        <v>94.15</v>
      </c>
      <c r="AW108" s="20"/>
      <c r="AX108" s="20"/>
      <c r="AY108" s="20"/>
      <c r="AZ108" s="20"/>
    </row>
    <row r="109" customFormat="false" ht="15.75" hidden="false" customHeight="false" outlineLevel="0" collapsed="false">
      <c r="A109" s="7"/>
      <c r="B109" s="8"/>
      <c r="E109" s="3"/>
      <c r="F109" s="3"/>
      <c r="I109" s="10"/>
      <c r="K109" s="7"/>
      <c r="L109" s="7"/>
      <c r="O109" s="10"/>
      <c r="R109" s="10"/>
      <c r="U109" s="16"/>
      <c r="X109" s="10"/>
      <c r="AA109" s="10"/>
      <c r="AD109" s="10"/>
    </row>
    <row r="110" customFormat="false" ht="15.75" hidden="false" customHeight="false" outlineLevel="0" collapsed="false">
      <c r="A110" s="7"/>
      <c r="B110" s="8"/>
      <c r="E110" s="3"/>
      <c r="F110" s="3"/>
      <c r="I110" s="10"/>
      <c r="K110" s="7"/>
      <c r="L110" s="7"/>
      <c r="O110" s="10"/>
      <c r="R110" s="10"/>
      <c r="U110" s="16"/>
      <c r="X110" s="10"/>
      <c r="AA110" s="10"/>
      <c r="AD110" s="10"/>
    </row>
    <row r="111" customFormat="false" ht="15.75" hidden="false" customHeight="false" outlineLevel="0" collapsed="false">
      <c r="A111" s="7"/>
      <c r="B111" s="8"/>
      <c r="E111" s="3"/>
      <c r="F111" s="3"/>
      <c r="I111" s="10"/>
      <c r="K111" s="7"/>
      <c r="L111" s="7"/>
      <c r="O111" s="10"/>
      <c r="R111" s="10"/>
      <c r="U111" s="16"/>
      <c r="X111" s="10"/>
      <c r="AA111" s="10"/>
      <c r="AD111" s="10"/>
    </row>
    <row r="112" customFormat="false" ht="15.75" hidden="false" customHeight="false" outlineLevel="0" collapsed="false">
      <c r="A112" s="7"/>
      <c r="B112" s="8"/>
      <c r="E112" s="3"/>
      <c r="F112" s="3"/>
      <c r="I112" s="10"/>
      <c r="K112" s="7"/>
      <c r="L112" s="7"/>
      <c r="O112" s="10"/>
      <c r="R112" s="10"/>
      <c r="U112" s="16"/>
      <c r="X112" s="10"/>
      <c r="AA112" s="10"/>
      <c r="AD112" s="10"/>
    </row>
    <row r="113" customFormat="false" ht="15.75" hidden="false" customHeight="false" outlineLevel="0" collapsed="false">
      <c r="A113" s="7"/>
      <c r="B113" s="8"/>
      <c r="E113" s="3"/>
      <c r="F113" s="3"/>
      <c r="I113" s="10"/>
      <c r="K113" s="7"/>
      <c r="L113" s="7"/>
      <c r="O113" s="10"/>
      <c r="R113" s="10"/>
      <c r="U113" s="16"/>
      <c r="X113" s="10"/>
      <c r="AA113" s="10"/>
      <c r="AD113" s="10"/>
    </row>
    <row r="114" customFormat="false" ht="15.75" hidden="false" customHeight="false" outlineLevel="0" collapsed="false">
      <c r="A114" s="7"/>
      <c r="B114" s="25"/>
      <c r="E114" s="3"/>
      <c r="F114" s="3"/>
      <c r="I114" s="6"/>
      <c r="J114" s="26"/>
      <c r="K114" s="27"/>
      <c r="L114" s="27"/>
      <c r="M114" s="26"/>
      <c r="N114" s="26"/>
      <c r="O114" s="10"/>
      <c r="R114" s="10"/>
      <c r="U114" s="16"/>
      <c r="X114" s="10"/>
      <c r="AA114" s="10"/>
      <c r="AD114" s="10"/>
    </row>
    <row r="115" customFormat="false" ht="15.75" hidden="false" customHeight="false" outlineLevel="0" collapsed="false">
      <c r="A115" s="7"/>
      <c r="B115" s="8"/>
      <c r="E115" s="3"/>
      <c r="F115" s="3"/>
      <c r="I115" s="10"/>
      <c r="K115" s="7"/>
      <c r="L115" s="7"/>
      <c r="O115" s="10"/>
      <c r="R115" s="10"/>
      <c r="U115" s="16"/>
      <c r="X115" s="10"/>
      <c r="AA115" s="10"/>
      <c r="AD115" s="10"/>
    </row>
    <row r="116" customFormat="false" ht="15.75" hidden="false" customHeight="false" outlineLevel="0" collapsed="false">
      <c r="A116" s="7"/>
      <c r="B116" s="8"/>
      <c r="E116" s="3"/>
      <c r="F116" s="3"/>
      <c r="I116" s="10"/>
      <c r="K116" s="7"/>
      <c r="L116" s="7"/>
      <c r="O116" s="10"/>
      <c r="R116" s="10"/>
      <c r="U116" s="16"/>
      <c r="X116" s="10"/>
      <c r="AA116" s="10"/>
      <c r="AD116" s="10"/>
    </row>
    <row r="117" customFormat="false" ht="15.75" hidden="false" customHeight="false" outlineLevel="0" collapsed="false">
      <c r="A117" s="7"/>
      <c r="B117" s="8"/>
      <c r="E117" s="3"/>
      <c r="F117" s="3"/>
      <c r="I117" s="10"/>
      <c r="K117" s="7"/>
      <c r="L117" s="7"/>
      <c r="O117" s="10"/>
      <c r="R117" s="10"/>
      <c r="U117" s="16"/>
      <c r="X117" s="10"/>
      <c r="AA117" s="10"/>
      <c r="AD117" s="10"/>
    </row>
    <row r="118" customFormat="false" ht="15.75" hidden="false" customHeight="false" outlineLevel="0" collapsed="false">
      <c r="A118" s="7"/>
      <c r="B118" s="8"/>
      <c r="E118" s="3"/>
      <c r="F118" s="3"/>
      <c r="I118" s="10"/>
      <c r="K118" s="7"/>
      <c r="L118" s="7"/>
      <c r="O118" s="10"/>
      <c r="R118" s="10"/>
      <c r="U118" s="16"/>
      <c r="X118" s="10"/>
      <c r="AA118" s="10"/>
      <c r="AD118" s="10"/>
    </row>
    <row r="119" customFormat="false" ht="15.75" hidden="false" customHeight="false" outlineLevel="0" collapsed="false">
      <c r="A119" s="7"/>
      <c r="B119" s="8"/>
      <c r="E119" s="3"/>
      <c r="F119" s="3"/>
      <c r="I119" s="10"/>
      <c r="K119" s="7"/>
      <c r="L119" s="7"/>
      <c r="O119" s="10"/>
      <c r="R119" s="10"/>
      <c r="U119" s="16"/>
      <c r="X119" s="10"/>
      <c r="AA119" s="10"/>
      <c r="AD119" s="10"/>
    </row>
    <row r="120" customFormat="false" ht="15.75" hidden="false" customHeight="false" outlineLevel="0" collapsed="false">
      <c r="A120" s="7"/>
      <c r="B120" s="8"/>
      <c r="E120" s="3"/>
      <c r="F120" s="3"/>
      <c r="I120" s="10"/>
      <c r="K120" s="7"/>
      <c r="L120" s="7"/>
      <c r="O120" s="10"/>
      <c r="R120" s="10"/>
      <c r="U120" s="16"/>
      <c r="X120" s="10"/>
      <c r="AA120" s="10"/>
      <c r="AD120" s="10"/>
    </row>
    <row r="121" customFormat="false" ht="15.75" hidden="false" customHeight="false" outlineLevel="0" collapsed="false">
      <c r="A121" s="7"/>
      <c r="B121" s="8"/>
      <c r="E121" s="3"/>
      <c r="F121" s="3"/>
      <c r="I121" s="10"/>
      <c r="K121" s="7"/>
      <c r="L121" s="7"/>
      <c r="O121" s="10"/>
      <c r="R121" s="10"/>
      <c r="U121" s="16"/>
      <c r="X121" s="10"/>
      <c r="AA121" s="10"/>
      <c r="AD121" s="10"/>
    </row>
    <row r="122" customFormat="false" ht="15.75" hidden="false" customHeight="false" outlineLevel="0" collapsed="false">
      <c r="A122" s="7"/>
      <c r="B122" s="8"/>
      <c r="E122" s="3"/>
      <c r="F122" s="3"/>
      <c r="I122" s="10"/>
      <c r="K122" s="7"/>
      <c r="L122" s="7"/>
      <c r="O122" s="10"/>
      <c r="R122" s="10"/>
      <c r="U122" s="16"/>
      <c r="X122" s="10"/>
      <c r="AA122" s="10"/>
      <c r="AD122" s="10"/>
    </row>
    <row r="123" customFormat="false" ht="15.75" hidden="false" customHeight="false" outlineLevel="0" collapsed="false">
      <c r="A123" s="7"/>
      <c r="B123" s="8"/>
      <c r="E123" s="3"/>
      <c r="F123" s="3"/>
      <c r="I123" s="10"/>
      <c r="K123" s="7"/>
      <c r="L123" s="7"/>
      <c r="O123" s="10"/>
      <c r="R123" s="10"/>
      <c r="U123" s="16"/>
      <c r="X123" s="10"/>
      <c r="AA123" s="10"/>
      <c r="AD123" s="10"/>
    </row>
    <row r="124" customFormat="false" ht="15.75" hidden="false" customHeight="false" outlineLevel="0" collapsed="false">
      <c r="A124" s="7"/>
      <c r="B124" s="8"/>
      <c r="E124" s="3"/>
      <c r="F124" s="3"/>
      <c r="I124" s="10"/>
      <c r="K124" s="7"/>
      <c r="L124" s="7"/>
      <c r="O124" s="10"/>
      <c r="R124" s="10"/>
      <c r="U124" s="16"/>
      <c r="X124" s="10"/>
      <c r="AA124" s="10"/>
      <c r="AD124" s="10"/>
    </row>
    <row r="125" customFormat="false" ht="15.75" hidden="false" customHeight="false" outlineLevel="0" collapsed="false">
      <c r="A125" s="7"/>
      <c r="B125" s="8"/>
      <c r="E125" s="3"/>
      <c r="F125" s="3"/>
      <c r="I125" s="10"/>
      <c r="K125" s="7"/>
      <c r="L125" s="7"/>
      <c r="O125" s="10"/>
      <c r="R125" s="10"/>
      <c r="U125" s="16"/>
      <c r="X125" s="10"/>
      <c r="AA125" s="10"/>
      <c r="AD125" s="10"/>
    </row>
    <row r="126" customFormat="false" ht="15.75" hidden="false" customHeight="false" outlineLevel="0" collapsed="false">
      <c r="A126" s="7"/>
      <c r="B126" s="8"/>
      <c r="E126" s="3"/>
      <c r="F126" s="3"/>
      <c r="I126" s="10"/>
      <c r="K126" s="7"/>
      <c r="L126" s="7"/>
      <c r="O126" s="10"/>
      <c r="R126" s="10"/>
      <c r="U126" s="16"/>
      <c r="X126" s="10"/>
      <c r="AA126" s="10"/>
      <c r="AD126" s="10"/>
    </row>
    <row r="127" customFormat="false" ht="15.75" hidden="false" customHeight="false" outlineLevel="0" collapsed="false">
      <c r="A127" s="7"/>
      <c r="B127" s="8"/>
      <c r="E127" s="3"/>
      <c r="F127" s="3"/>
      <c r="I127" s="10"/>
      <c r="K127" s="7"/>
      <c r="L127" s="7"/>
      <c r="O127" s="10"/>
      <c r="R127" s="10"/>
      <c r="U127" s="16"/>
      <c r="X127" s="10"/>
      <c r="AA127" s="10"/>
      <c r="AD127" s="10"/>
    </row>
    <row r="128" customFormat="false" ht="15.75" hidden="false" customHeight="false" outlineLevel="0" collapsed="false">
      <c r="A128" s="7"/>
      <c r="B128" s="8"/>
      <c r="E128" s="3"/>
      <c r="F128" s="3"/>
      <c r="I128" s="10"/>
      <c r="K128" s="7"/>
      <c r="L128" s="7"/>
      <c r="O128" s="10"/>
      <c r="R128" s="10"/>
      <c r="U128" s="16"/>
      <c r="X128" s="10"/>
      <c r="AA128" s="10"/>
      <c r="AD128" s="10"/>
    </row>
    <row r="129" customFormat="false" ht="15.75" hidden="false" customHeight="false" outlineLevel="0" collapsed="false">
      <c r="A129" s="7"/>
      <c r="B129" s="8"/>
      <c r="E129" s="3"/>
      <c r="F129" s="3"/>
      <c r="I129" s="10"/>
      <c r="K129" s="7"/>
      <c r="L129" s="7"/>
      <c r="O129" s="10"/>
      <c r="R129" s="10"/>
      <c r="U129" s="16"/>
      <c r="X129" s="10"/>
      <c r="AA129" s="10"/>
      <c r="AD129" s="10"/>
    </row>
    <row r="130" customFormat="false" ht="15.75" hidden="false" customHeight="false" outlineLevel="0" collapsed="false">
      <c r="A130" s="7"/>
      <c r="B130" s="8"/>
      <c r="E130" s="3"/>
      <c r="F130" s="3"/>
      <c r="I130" s="10"/>
      <c r="K130" s="7"/>
      <c r="L130" s="7"/>
      <c r="O130" s="10"/>
      <c r="R130" s="10"/>
      <c r="U130" s="16"/>
      <c r="X130" s="10"/>
      <c r="AA130" s="10"/>
      <c r="AD130" s="10"/>
    </row>
    <row r="131" customFormat="false" ht="15.75" hidden="false" customHeight="false" outlineLevel="0" collapsed="false">
      <c r="A131" s="7"/>
      <c r="B131" s="8"/>
      <c r="E131" s="3"/>
      <c r="F131" s="3"/>
      <c r="I131" s="10"/>
      <c r="K131" s="7"/>
      <c r="L131" s="7"/>
      <c r="O131" s="10"/>
      <c r="R131" s="10"/>
      <c r="U131" s="16"/>
      <c r="X131" s="10"/>
      <c r="AA131" s="10"/>
      <c r="AD131" s="10"/>
    </row>
    <row r="132" customFormat="false" ht="15.75" hidden="false" customHeight="false" outlineLevel="0" collapsed="false">
      <c r="A132" s="7"/>
      <c r="B132" s="8"/>
      <c r="E132" s="3"/>
      <c r="F132" s="3"/>
      <c r="I132" s="10"/>
      <c r="K132" s="7"/>
      <c r="L132" s="7"/>
      <c r="O132" s="10"/>
      <c r="R132" s="10"/>
      <c r="U132" s="16"/>
      <c r="X132" s="10"/>
      <c r="AA132" s="10"/>
      <c r="AD132" s="10"/>
    </row>
    <row r="133" customFormat="false" ht="15.75" hidden="false" customHeight="false" outlineLevel="0" collapsed="false">
      <c r="A133" s="7"/>
      <c r="B133" s="8"/>
      <c r="E133" s="3"/>
      <c r="F133" s="3"/>
      <c r="I133" s="10"/>
      <c r="K133" s="7"/>
      <c r="L133" s="7"/>
      <c r="O133" s="10"/>
      <c r="R133" s="10"/>
      <c r="U133" s="16"/>
      <c r="X133" s="10"/>
      <c r="AA133" s="10"/>
      <c r="AD133" s="10"/>
    </row>
    <row r="134" customFormat="false" ht="15.75" hidden="false" customHeight="false" outlineLevel="0" collapsed="false">
      <c r="A134" s="7"/>
      <c r="B134" s="8"/>
      <c r="E134" s="3"/>
      <c r="F134" s="3"/>
      <c r="I134" s="10"/>
      <c r="K134" s="7"/>
      <c r="L134" s="7"/>
      <c r="O134" s="10"/>
      <c r="R134" s="10"/>
      <c r="U134" s="16"/>
      <c r="X134" s="10"/>
      <c r="AA134" s="10"/>
      <c r="AD134" s="10"/>
    </row>
    <row r="135" customFormat="false" ht="15.75" hidden="false" customHeight="false" outlineLevel="0" collapsed="false">
      <c r="A135" s="7"/>
      <c r="B135" s="8"/>
      <c r="E135" s="3"/>
      <c r="F135" s="3"/>
      <c r="I135" s="10"/>
      <c r="K135" s="7"/>
      <c r="L135" s="7"/>
      <c r="O135" s="10"/>
      <c r="R135" s="10"/>
      <c r="U135" s="16"/>
      <c r="X135" s="10"/>
      <c r="AA135" s="10"/>
      <c r="AD135" s="10"/>
    </row>
    <row r="136" customFormat="false" ht="15.75" hidden="false" customHeight="false" outlineLevel="0" collapsed="false">
      <c r="A136" s="7"/>
      <c r="B136" s="8"/>
      <c r="E136" s="3"/>
      <c r="F136" s="3"/>
      <c r="I136" s="10"/>
      <c r="K136" s="7"/>
      <c r="L136" s="7"/>
      <c r="O136" s="10"/>
      <c r="R136" s="10"/>
      <c r="U136" s="16"/>
      <c r="X136" s="10"/>
      <c r="AA136" s="10"/>
      <c r="AD136" s="10"/>
    </row>
    <row r="137" customFormat="false" ht="15.75" hidden="false" customHeight="false" outlineLevel="0" collapsed="false">
      <c r="A137" s="7"/>
      <c r="B137" s="8"/>
      <c r="E137" s="3"/>
      <c r="F137" s="3"/>
      <c r="I137" s="10"/>
      <c r="K137" s="7"/>
      <c r="L137" s="7"/>
      <c r="O137" s="10"/>
      <c r="R137" s="10"/>
      <c r="U137" s="16"/>
      <c r="X137" s="10"/>
      <c r="AA137" s="10"/>
      <c r="AD137" s="10"/>
    </row>
    <row r="138" customFormat="false" ht="15.75" hidden="false" customHeight="false" outlineLevel="0" collapsed="false">
      <c r="A138" s="7"/>
      <c r="B138" s="8"/>
      <c r="E138" s="3"/>
      <c r="F138" s="3"/>
      <c r="I138" s="10"/>
      <c r="K138" s="7"/>
      <c r="L138" s="7"/>
      <c r="O138" s="10"/>
      <c r="R138" s="10"/>
      <c r="U138" s="16"/>
      <c r="X138" s="10"/>
      <c r="AA138" s="10"/>
      <c r="AD138" s="10"/>
    </row>
    <row r="139" customFormat="false" ht="15.75" hidden="false" customHeight="false" outlineLevel="0" collapsed="false">
      <c r="A139" s="7"/>
      <c r="B139" s="8"/>
      <c r="E139" s="3"/>
      <c r="F139" s="3"/>
      <c r="I139" s="10"/>
      <c r="K139" s="7"/>
      <c r="L139" s="7"/>
      <c r="O139" s="10"/>
      <c r="R139" s="10"/>
      <c r="U139" s="16"/>
      <c r="X139" s="10"/>
      <c r="AA139" s="10"/>
      <c r="AD139" s="10"/>
    </row>
    <row r="140" customFormat="false" ht="15.75" hidden="false" customHeight="false" outlineLevel="0" collapsed="false">
      <c r="A140" s="7"/>
      <c r="B140" s="8"/>
      <c r="E140" s="3"/>
      <c r="F140" s="3"/>
      <c r="I140" s="10"/>
      <c r="K140" s="7"/>
      <c r="L140" s="7"/>
      <c r="O140" s="10"/>
      <c r="R140" s="10"/>
      <c r="U140" s="16"/>
      <c r="X140" s="10"/>
      <c r="AA140" s="10"/>
      <c r="AD140" s="10"/>
    </row>
    <row r="141" customFormat="false" ht="15.75" hidden="false" customHeight="false" outlineLevel="0" collapsed="false">
      <c r="A141" s="7"/>
      <c r="B141" s="8"/>
      <c r="E141" s="3"/>
      <c r="F141" s="3"/>
      <c r="I141" s="10"/>
      <c r="K141" s="7"/>
      <c r="L141" s="7"/>
      <c r="O141" s="10"/>
      <c r="R141" s="10"/>
      <c r="U141" s="16"/>
      <c r="X141" s="10"/>
      <c r="AA141" s="10"/>
      <c r="AD141" s="10"/>
    </row>
    <row r="142" customFormat="false" ht="15.75" hidden="false" customHeight="false" outlineLevel="0" collapsed="false">
      <c r="A142" s="7"/>
      <c r="B142" s="8"/>
      <c r="E142" s="3"/>
      <c r="F142" s="3"/>
      <c r="I142" s="10"/>
      <c r="K142" s="7"/>
      <c r="L142" s="7"/>
      <c r="O142" s="10"/>
      <c r="R142" s="10"/>
      <c r="U142" s="16"/>
      <c r="X142" s="10"/>
      <c r="AA142" s="10"/>
      <c r="AD142" s="10"/>
    </row>
    <row r="143" customFormat="false" ht="15.75" hidden="false" customHeight="false" outlineLevel="0" collapsed="false">
      <c r="A143" s="7"/>
      <c r="B143" s="8"/>
      <c r="E143" s="3"/>
      <c r="F143" s="3"/>
      <c r="I143" s="10"/>
      <c r="K143" s="7"/>
      <c r="L143" s="7"/>
      <c r="O143" s="10"/>
      <c r="R143" s="10"/>
      <c r="U143" s="16"/>
      <c r="X143" s="10"/>
      <c r="AA143" s="10"/>
      <c r="AD143" s="10"/>
    </row>
    <row r="144" customFormat="false" ht="15.75" hidden="false" customHeight="false" outlineLevel="0" collapsed="false">
      <c r="A144" s="7"/>
      <c r="B144" s="8"/>
      <c r="E144" s="3"/>
      <c r="F144" s="3"/>
      <c r="I144" s="10"/>
      <c r="K144" s="7"/>
      <c r="L144" s="7"/>
      <c r="O144" s="10"/>
      <c r="R144" s="10"/>
      <c r="U144" s="16"/>
      <c r="X144" s="10"/>
      <c r="AA144" s="10"/>
      <c r="AD144" s="10"/>
    </row>
    <row r="145" customFormat="false" ht="15.75" hidden="false" customHeight="false" outlineLevel="0" collapsed="false">
      <c r="A145" s="7"/>
      <c r="B145" s="8"/>
      <c r="E145" s="3"/>
      <c r="F145" s="3"/>
      <c r="I145" s="10"/>
      <c r="K145" s="7"/>
      <c r="L145" s="7"/>
      <c r="O145" s="10"/>
      <c r="R145" s="10"/>
      <c r="U145" s="16"/>
      <c r="X145" s="10"/>
      <c r="AA145" s="10"/>
      <c r="AD145" s="10"/>
    </row>
    <row r="146" customFormat="false" ht="15.75" hidden="false" customHeight="false" outlineLevel="0" collapsed="false">
      <c r="A146" s="7"/>
      <c r="B146" s="8"/>
      <c r="E146" s="3"/>
      <c r="F146" s="3"/>
      <c r="I146" s="10"/>
      <c r="K146" s="7"/>
      <c r="L146" s="7"/>
      <c r="O146" s="10"/>
      <c r="R146" s="10"/>
      <c r="U146" s="16"/>
      <c r="X146" s="10"/>
      <c r="AA146" s="10"/>
      <c r="AD146" s="10"/>
    </row>
    <row r="147" customFormat="false" ht="15.75" hidden="false" customHeight="false" outlineLevel="0" collapsed="false">
      <c r="A147" s="7"/>
      <c r="B147" s="8"/>
      <c r="E147" s="3"/>
      <c r="F147" s="3"/>
      <c r="I147" s="10"/>
      <c r="K147" s="7"/>
      <c r="L147" s="7"/>
      <c r="O147" s="10"/>
      <c r="R147" s="10"/>
      <c r="U147" s="16"/>
      <c r="X147" s="10"/>
      <c r="AA147" s="10"/>
      <c r="AD147" s="10"/>
    </row>
    <row r="148" customFormat="false" ht="15.75" hidden="false" customHeight="false" outlineLevel="0" collapsed="false">
      <c r="A148" s="7"/>
      <c r="B148" s="8"/>
      <c r="E148" s="3"/>
      <c r="F148" s="3"/>
      <c r="I148" s="10"/>
      <c r="K148" s="7"/>
      <c r="L148" s="7"/>
      <c r="O148" s="10"/>
      <c r="R148" s="10"/>
      <c r="U148" s="16"/>
      <c r="X148" s="10"/>
      <c r="AA148" s="10"/>
      <c r="AD148" s="10"/>
    </row>
    <row r="149" customFormat="false" ht="15.75" hidden="false" customHeight="false" outlineLevel="0" collapsed="false">
      <c r="A149" s="7"/>
      <c r="B149" s="8"/>
      <c r="E149" s="3"/>
      <c r="F149" s="3"/>
      <c r="I149" s="10"/>
      <c r="K149" s="7"/>
      <c r="L149" s="7"/>
      <c r="O149" s="10"/>
      <c r="R149" s="10"/>
      <c r="U149" s="16"/>
      <c r="X149" s="10"/>
      <c r="AA149" s="10"/>
      <c r="AD149" s="10"/>
    </row>
    <row r="150" customFormat="false" ht="15.75" hidden="false" customHeight="false" outlineLevel="0" collapsed="false">
      <c r="A150" s="7"/>
      <c r="B150" s="8"/>
      <c r="E150" s="3"/>
      <c r="F150" s="3"/>
      <c r="I150" s="10"/>
      <c r="K150" s="7"/>
      <c r="L150" s="7"/>
      <c r="O150" s="10"/>
      <c r="R150" s="10"/>
      <c r="U150" s="16"/>
      <c r="X150" s="10"/>
      <c r="AA150" s="10"/>
      <c r="AD150" s="10"/>
    </row>
    <row r="151" customFormat="false" ht="15.75" hidden="false" customHeight="false" outlineLevel="0" collapsed="false">
      <c r="A151" s="7"/>
      <c r="B151" s="8"/>
      <c r="E151" s="3"/>
      <c r="F151" s="3"/>
      <c r="I151" s="10"/>
      <c r="K151" s="7"/>
      <c r="L151" s="7"/>
      <c r="O151" s="10"/>
      <c r="R151" s="10"/>
      <c r="U151" s="16"/>
      <c r="X151" s="10"/>
      <c r="AA151" s="10"/>
      <c r="AD151" s="10"/>
    </row>
    <row r="152" customFormat="false" ht="15.75" hidden="false" customHeight="false" outlineLevel="0" collapsed="false">
      <c r="A152" s="7"/>
      <c r="B152" s="8"/>
      <c r="E152" s="3"/>
      <c r="F152" s="3"/>
      <c r="I152" s="10"/>
      <c r="K152" s="7"/>
      <c r="L152" s="7"/>
      <c r="O152" s="10"/>
      <c r="R152" s="10"/>
      <c r="U152" s="16"/>
      <c r="X152" s="10"/>
      <c r="AA152" s="10"/>
      <c r="AD152" s="10"/>
    </row>
    <row r="153" customFormat="false" ht="15.75" hidden="false" customHeight="false" outlineLevel="0" collapsed="false">
      <c r="A153" s="7"/>
      <c r="B153" s="8"/>
      <c r="E153" s="3"/>
      <c r="F153" s="3"/>
      <c r="I153" s="10"/>
      <c r="K153" s="7"/>
      <c r="L153" s="7"/>
      <c r="O153" s="10"/>
      <c r="R153" s="10"/>
      <c r="U153" s="16"/>
      <c r="X153" s="10"/>
      <c r="AA153" s="10"/>
      <c r="AD153" s="10"/>
    </row>
    <row r="154" customFormat="false" ht="15.75" hidden="false" customHeight="false" outlineLevel="0" collapsed="false">
      <c r="A154" s="7"/>
      <c r="B154" s="8"/>
      <c r="E154" s="3"/>
      <c r="F154" s="3"/>
      <c r="I154" s="10"/>
      <c r="K154" s="7"/>
      <c r="L154" s="7"/>
      <c r="O154" s="10"/>
      <c r="R154" s="10"/>
      <c r="U154" s="16"/>
      <c r="X154" s="10"/>
      <c r="AA154" s="10"/>
      <c r="AD154" s="10"/>
    </row>
    <row r="155" customFormat="false" ht="15.75" hidden="false" customHeight="false" outlineLevel="0" collapsed="false">
      <c r="A155" s="7"/>
      <c r="B155" s="8"/>
      <c r="E155" s="3"/>
      <c r="F155" s="3"/>
      <c r="I155" s="10"/>
      <c r="K155" s="7"/>
      <c r="L155" s="7"/>
      <c r="O155" s="10"/>
      <c r="R155" s="10"/>
      <c r="U155" s="16"/>
      <c r="X155" s="10"/>
      <c r="AA155" s="10"/>
      <c r="AD155" s="10"/>
    </row>
    <row r="156" customFormat="false" ht="15.75" hidden="false" customHeight="false" outlineLevel="0" collapsed="false">
      <c r="A156" s="7"/>
      <c r="B156" s="8"/>
      <c r="E156" s="3"/>
      <c r="F156" s="3"/>
      <c r="I156" s="10"/>
      <c r="K156" s="7"/>
      <c r="L156" s="7"/>
      <c r="O156" s="10"/>
      <c r="R156" s="10"/>
      <c r="U156" s="16"/>
      <c r="X156" s="10"/>
      <c r="AA156" s="10"/>
      <c r="AD156" s="10"/>
    </row>
    <row r="157" customFormat="false" ht="15.75" hidden="false" customHeight="false" outlineLevel="0" collapsed="false">
      <c r="A157" s="7"/>
      <c r="B157" s="8"/>
      <c r="E157" s="3"/>
      <c r="F157" s="3"/>
      <c r="I157" s="10"/>
      <c r="K157" s="7"/>
      <c r="L157" s="7"/>
      <c r="O157" s="10"/>
      <c r="R157" s="10"/>
      <c r="U157" s="16"/>
      <c r="X157" s="10"/>
      <c r="AA157" s="10"/>
      <c r="AD157" s="10"/>
    </row>
    <row r="158" customFormat="false" ht="15.75" hidden="false" customHeight="false" outlineLevel="0" collapsed="false">
      <c r="A158" s="7"/>
      <c r="B158" s="8"/>
      <c r="E158" s="3"/>
      <c r="F158" s="3"/>
      <c r="I158" s="10"/>
      <c r="K158" s="7"/>
      <c r="L158" s="7"/>
      <c r="O158" s="10"/>
      <c r="R158" s="10"/>
      <c r="U158" s="16"/>
      <c r="X158" s="10"/>
      <c r="AA158" s="10"/>
      <c r="AD158" s="10"/>
    </row>
    <row r="159" customFormat="false" ht="15.75" hidden="false" customHeight="false" outlineLevel="0" collapsed="false">
      <c r="A159" s="7"/>
      <c r="B159" s="8"/>
      <c r="E159" s="3"/>
      <c r="F159" s="3"/>
      <c r="I159" s="10"/>
      <c r="K159" s="7"/>
      <c r="L159" s="7"/>
      <c r="O159" s="10"/>
      <c r="R159" s="10"/>
      <c r="U159" s="16"/>
      <c r="X159" s="10"/>
      <c r="AA159" s="10"/>
      <c r="AD159" s="10"/>
    </row>
    <row r="160" customFormat="false" ht="15.75" hidden="false" customHeight="false" outlineLevel="0" collapsed="false">
      <c r="A160" s="7"/>
      <c r="B160" s="8"/>
      <c r="E160" s="3"/>
      <c r="F160" s="3"/>
      <c r="I160" s="10"/>
      <c r="K160" s="7"/>
      <c r="L160" s="7"/>
      <c r="O160" s="10"/>
      <c r="R160" s="10"/>
      <c r="U160" s="16"/>
      <c r="X160" s="10"/>
      <c r="AA160" s="10"/>
      <c r="AD160" s="10"/>
    </row>
    <row r="161" customFormat="false" ht="15.75" hidden="false" customHeight="false" outlineLevel="0" collapsed="false">
      <c r="A161" s="7"/>
      <c r="B161" s="8"/>
      <c r="E161" s="3"/>
      <c r="F161" s="3"/>
      <c r="I161" s="10"/>
      <c r="K161" s="7"/>
      <c r="L161" s="7"/>
      <c r="O161" s="10"/>
      <c r="R161" s="10"/>
      <c r="U161" s="16"/>
      <c r="X161" s="10"/>
      <c r="AA161" s="10"/>
      <c r="AD161" s="10"/>
    </row>
    <row r="162" customFormat="false" ht="15.75" hidden="false" customHeight="false" outlineLevel="0" collapsed="false">
      <c r="A162" s="7"/>
      <c r="B162" s="8"/>
      <c r="E162" s="3"/>
      <c r="F162" s="3"/>
      <c r="I162" s="10"/>
      <c r="K162" s="7"/>
      <c r="L162" s="7"/>
      <c r="O162" s="10"/>
      <c r="R162" s="10"/>
      <c r="U162" s="16"/>
      <c r="X162" s="10"/>
      <c r="AA162" s="10"/>
      <c r="AD162" s="10"/>
    </row>
    <row r="163" customFormat="false" ht="15.75" hidden="false" customHeight="false" outlineLevel="0" collapsed="false">
      <c r="A163" s="7"/>
      <c r="B163" s="8"/>
      <c r="E163" s="3"/>
      <c r="F163" s="3"/>
      <c r="I163" s="10"/>
      <c r="K163" s="7"/>
      <c r="L163" s="7"/>
      <c r="O163" s="10"/>
      <c r="R163" s="10"/>
      <c r="U163" s="16"/>
      <c r="X163" s="10"/>
      <c r="AA163" s="10"/>
      <c r="AD163" s="10"/>
    </row>
    <row r="164" customFormat="false" ht="15.75" hidden="false" customHeight="false" outlineLevel="0" collapsed="false">
      <c r="A164" s="7"/>
      <c r="B164" s="8"/>
      <c r="E164" s="3"/>
      <c r="F164" s="3"/>
      <c r="I164" s="10"/>
      <c r="K164" s="7"/>
      <c r="L164" s="7"/>
      <c r="O164" s="10"/>
      <c r="R164" s="10"/>
      <c r="U164" s="16"/>
      <c r="X164" s="10"/>
      <c r="AA164" s="10"/>
      <c r="AD164" s="10"/>
    </row>
    <row r="165" customFormat="false" ht="15.75" hidden="false" customHeight="false" outlineLevel="0" collapsed="false">
      <c r="A165" s="7"/>
      <c r="B165" s="8"/>
      <c r="E165" s="3"/>
      <c r="F165" s="3"/>
      <c r="I165" s="10"/>
      <c r="K165" s="7"/>
      <c r="L165" s="7"/>
      <c r="O165" s="10"/>
      <c r="R165" s="10"/>
      <c r="U165" s="16"/>
      <c r="X165" s="10"/>
      <c r="AA165" s="10"/>
      <c r="AD165" s="10"/>
    </row>
    <row r="166" customFormat="false" ht="15.75" hidden="false" customHeight="false" outlineLevel="0" collapsed="false">
      <c r="A166" s="7"/>
      <c r="B166" s="8"/>
      <c r="E166" s="3"/>
      <c r="F166" s="3"/>
      <c r="I166" s="10"/>
      <c r="K166" s="7"/>
      <c r="L166" s="7"/>
      <c r="O166" s="10"/>
      <c r="R166" s="10"/>
      <c r="U166" s="16"/>
      <c r="X166" s="10"/>
      <c r="AA166" s="10"/>
      <c r="AD166" s="10"/>
    </row>
    <row r="167" customFormat="false" ht="15.75" hidden="false" customHeight="false" outlineLevel="0" collapsed="false">
      <c r="A167" s="7"/>
      <c r="B167" s="8"/>
      <c r="E167" s="3"/>
      <c r="F167" s="3"/>
      <c r="I167" s="10"/>
      <c r="K167" s="7"/>
      <c r="L167" s="7"/>
      <c r="O167" s="10"/>
      <c r="R167" s="10"/>
      <c r="U167" s="16"/>
      <c r="X167" s="10"/>
      <c r="AA167" s="10"/>
      <c r="AD167" s="10"/>
    </row>
    <row r="168" customFormat="false" ht="15.75" hidden="false" customHeight="false" outlineLevel="0" collapsed="false">
      <c r="A168" s="7"/>
      <c r="B168" s="8"/>
      <c r="E168" s="3"/>
      <c r="F168" s="3"/>
      <c r="I168" s="10"/>
      <c r="K168" s="7"/>
      <c r="L168" s="7"/>
      <c r="O168" s="10"/>
      <c r="R168" s="10"/>
      <c r="U168" s="16"/>
      <c r="X168" s="10"/>
      <c r="AA168" s="10"/>
      <c r="AD168" s="10"/>
    </row>
    <row r="169" customFormat="false" ht="15.75" hidden="false" customHeight="false" outlineLevel="0" collapsed="false">
      <c r="A169" s="7"/>
      <c r="B169" s="8"/>
      <c r="E169" s="3"/>
      <c r="F169" s="3"/>
      <c r="I169" s="10"/>
      <c r="K169" s="7"/>
      <c r="L169" s="7"/>
      <c r="O169" s="10"/>
      <c r="R169" s="10"/>
      <c r="U169" s="16"/>
      <c r="X169" s="10"/>
      <c r="AA169" s="10"/>
      <c r="AD169" s="10"/>
    </row>
    <row r="170" customFormat="false" ht="15.75" hidden="false" customHeight="false" outlineLevel="0" collapsed="false">
      <c r="A170" s="7"/>
      <c r="B170" s="8"/>
      <c r="E170" s="3"/>
      <c r="F170" s="3"/>
      <c r="I170" s="10"/>
      <c r="K170" s="7"/>
      <c r="L170" s="7"/>
      <c r="O170" s="10"/>
      <c r="R170" s="10"/>
      <c r="U170" s="16"/>
      <c r="X170" s="10"/>
      <c r="AA170" s="10"/>
      <c r="AD170" s="10"/>
    </row>
    <row r="171" customFormat="false" ht="15.75" hidden="false" customHeight="false" outlineLevel="0" collapsed="false">
      <c r="A171" s="7"/>
      <c r="B171" s="8"/>
      <c r="E171" s="3"/>
      <c r="F171" s="3"/>
      <c r="I171" s="10"/>
      <c r="K171" s="7"/>
      <c r="L171" s="7"/>
      <c r="O171" s="10"/>
      <c r="R171" s="10"/>
      <c r="U171" s="16"/>
      <c r="X171" s="10"/>
      <c r="AA171" s="10"/>
      <c r="AD171" s="10"/>
    </row>
    <row r="172" customFormat="false" ht="15.75" hidden="false" customHeight="false" outlineLevel="0" collapsed="false">
      <c r="A172" s="7"/>
      <c r="B172" s="8"/>
      <c r="E172" s="3"/>
      <c r="F172" s="3"/>
      <c r="I172" s="10"/>
      <c r="K172" s="7"/>
      <c r="L172" s="7"/>
      <c r="O172" s="10"/>
      <c r="R172" s="10"/>
      <c r="U172" s="16"/>
      <c r="X172" s="10"/>
      <c r="AA172" s="10"/>
      <c r="AD172" s="10"/>
    </row>
    <row r="173" customFormat="false" ht="15.75" hidden="false" customHeight="false" outlineLevel="0" collapsed="false">
      <c r="A173" s="7"/>
      <c r="B173" s="8"/>
      <c r="E173" s="3"/>
      <c r="F173" s="3"/>
      <c r="I173" s="10"/>
      <c r="K173" s="7"/>
      <c r="L173" s="7"/>
      <c r="O173" s="10"/>
      <c r="R173" s="10"/>
      <c r="U173" s="16"/>
      <c r="X173" s="10"/>
      <c r="AA173" s="10"/>
      <c r="AD173" s="10"/>
    </row>
    <row r="174" customFormat="false" ht="15.75" hidden="false" customHeight="false" outlineLevel="0" collapsed="false">
      <c r="A174" s="7"/>
      <c r="B174" s="8"/>
      <c r="E174" s="3"/>
      <c r="F174" s="3"/>
      <c r="I174" s="10"/>
      <c r="K174" s="7"/>
      <c r="L174" s="7"/>
      <c r="O174" s="10"/>
      <c r="R174" s="10"/>
      <c r="U174" s="16"/>
      <c r="X174" s="10"/>
      <c r="AA174" s="10"/>
      <c r="AD174" s="10"/>
    </row>
    <row r="175" customFormat="false" ht="15.75" hidden="false" customHeight="false" outlineLevel="0" collapsed="false">
      <c r="A175" s="7"/>
      <c r="B175" s="8"/>
      <c r="E175" s="3"/>
      <c r="F175" s="3"/>
      <c r="I175" s="10"/>
      <c r="K175" s="7"/>
      <c r="L175" s="7"/>
      <c r="O175" s="10"/>
      <c r="R175" s="10"/>
      <c r="U175" s="16"/>
      <c r="X175" s="10"/>
      <c r="AA175" s="10"/>
      <c r="AD175" s="10"/>
    </row>
    <row r="176" customFormat="false" ht="15.75" hidden="false" customHeight="false" outlineLevel="0" collapsed="false">
      <c r="A176" s="7"/>
      <c r="B176" s="8"/>
      <c r="E176" s="3"/>
      <c r="F176" s="3"/>
      <c r="I176" s="10"/>
      <c r="K176" s="7"/>
      <c r="L176" s="7"/>
      <c r="O176" s="10"/>
      <c r="R176" s="10"/>
      <c r="U176" s="16"/>
      <c r="X176" s="10"/>
      <c r="AA176" s="10"/>
      <c r="AD176" s="10"/>
    </row>
    <row r="177" customFormat="false" ht="15.75" hidden="false" customHeight="false" outlineLevel="0" collapsed="false">
      <c r="A177" s="7"/>
      <c r="B177" s="8"/>
      <c r="E177" s="3"/>
      <c r="F177" s="3"/>
      <c r="I177" s="10"/>
      <c r="K177" s="7"/>
      <c r="L177" s="7"/>
      <c r="O177" s="10"/>
      <c r="R177" s="10"/>
      <c r="U177" s="16"/>
      <c r="X177" s="10"/>
      <c r="AA177" s="10"/>
      <c r="AD177" s="10"/>
    </row>
    <row r="178" customFormat="false" ht="15.75" hidden="false" customHeight="false" outlineLevel="0" collapsed="false">
      <c r="A178" s="7"/>
      <c r="B178" s="8"/>
      <c r="E178" s="3"/>
      <c r="F178" s="3"/>
      <c r="I178" s="10"/>
      <c r="K178" s="7"/>
      <c r="L178" s="7"/>
      <c r="O178" s="10"/>
      <c r="R178" s="10"/>
      <c r="U178" s="16"/>
      <c r="X178" s="10"/>
      <c r="AA178" s="10"/>
      <c r="AD178" s="10"/>
    </row>
    <row r="179" customFormat="false" ht="15.75" hidden="false" customHeight="false" outlineLevel="0" collapsed="false">
      <c r="A179" s="7"/>
      <c r="B179" s="8"/>
      <c r="E179" s="3"/>
      <c r="F179" s="3"/>
      <c r="I179" s="10"/>
      <c r="K179" s="7"/>
      <c r="L179" s="7"/>
      <c r="O179" s="10"/>
      <c r="R179" s="10"/>
      <c r="U179" s="16"/>
      <c r="X179" s="10"/>
      <c r="AA179" s="10"/>
      <c r="AD179" s="10"/>
    </row>
    <row r="180" customFormat="false" ht="15.75" hidden="false" customHeight="false" outlineLevel="0" collapsed="false">
      <c r="A180" s="7"/>
      <c r="B180" s="8"/>
      <c r="E180" s="3"/>
      <c r="F180" s="3"/>
      <c r="I180" s="10"/>
      <c r="K180" s="7"/>
      <c r="L180" s="7"/>
      <c r="O180" s="10"/>
      <c r="R180" s="10"/>
      <c r="U180" s="16"/>
      <c r="X180" s="10"/>
      <c r="AA180" s="10"/>
      <c r="AD180" s="10"/>
    </row>
    <row r="181" customFormat="false" ht="15.75" hidden="false" customHeight="false" outlineLevel="0" collapsed="false">
      <c r="A181" s="7"/>
      <c r="B181" s="8"/>
      <c r="E181" s="3"/>
      <c r="F181" s="3"/>
      <c r="I181" s="10"/>
      <c r="K181" s="7"/>
      <c r="L181" s="7"/>
      <c r="O181" s="10"/>
      <c r="R181" s="10"/>
      <c r="U181" s="16"/>
      <c r="X181" s="10"/>
      <c r="AA181" s="10"/>
      <c r="AD181" s="10"/>
    </row>
    <row r="182" customFormat="false" ht="15.75" hidden="false" customHeight="false" outlineLevel="0" collapsed="false">
      <c r="A182" s="7"/>
      <c r="B182" s="8"/>
      <c r="E182" s="3"/>
      <c r="F182" s="3"/>
      <c r="I182" s="10"/>
      <c r="K182" s="7"/>
      <c r="L182" s="7"/>
      <c r="O182" s="10"/>
      <c r="R182" s="10"/>
      <c r="U182" s="16"/>
      <c r="X182" s="10"/>
      <c r="AA182" s="10"/>
      <c r="AD182" s="10"/>
    </row>
    <row r="183" customFormat="false" ht="15.75" hidden="false" customHeight="false" outlineLevel="0" collapsed="false">
      <c r="A183" s="7"/>
      <c r="B183" s="8"/>
      <c r="E183" s="3"/>
      <c r="F183" s="3"/>
      <c r="I183" s="10"/>
      <c r="K183" s="7"/>
      <c r="L183" s="7"/>
      <c r="O183" s="10"/>
      <c r="R183" s="10"/>
      <c r="U183" s="16"/>
      <c r="X183" s="10"/>
      <c r="AA183" s="10"/>
      <c r="AD183" s="10"/>
    </row>
    <row r="184" customFormat="false" ht="15.75" hidden="false" customHeight="false" outlineLevel="0" collapsed="false">
      <c r="A184" s="7"/>
      <c r="B184" s="8"/>
      <c r="E184" s="3"/>
      <c r="F184" s="3"/>
      <c r="I184" s="10"/>
      <c r="K184" s="7"/>
      <c r="L184" s="7"/>
      <c r="O184" s="10"/>
      <c r="R184" s="10"/>
      <c r="U184" s="16"/>
      <c r="X184" s="10"/>
      <c r="AA184" s="10"/>
      <c r="AD184" s="10"/>
    </row>
    <row r="185" customFormat="false" ht="15.75" hidden="false" customHeight="false" outlineLevel="0" collapsed="false">
      <c r="A185" s="7"/>
      <c r="B185" s="8"/>
      <c r="E185" s="3"/>
      <c r="F185" s="3"/>
      <c r="I185" s="10"/>
      <c r="K185" s="7"/>
      <c r="L185" s="7"/>
      <c r="O185" s="10"/>
      <c r="R185" s="10"/>
      <c r="U185" s="16"/>
      <c r="X185" s="10"/>
      <c r="AA185" s="10"/>
      <c r="AD185" s="10"/>
    </row>
    <row r="186" customFormat="false" ht="15.75" hidden="false" customHeight="false" outlineLevel="0" collapsed="false">
      <c r="A186" s="7"/>
      <c r="B186" s="8"/>
      <c r="E186" s="3"/>
      <c r="F186" s="3"/>
      <c r="I186" s="10"/>
      <c r="K186" s="7"/>
      <c r="L186" s="7"/>
      <c r="O186" s="10"/>
      <c r="R186" s="10"/>
      <c r="U186" s="16"/>
      <c r="X186" s="10"/>
      <c r="AA186" s="10"/>
      <c r="AD186" s="10"/>
    </row>
    <row r="187" customFormat="false" ht="15.75" hidden="false" customHeight="false" outlineLevel="0" collapsed="false">
      <c r="A187" s="7"/>
      <c r="B187" s="8"/>
      <c r="E187" s="3"/>
      <c r="F187" s="3"/>
      <c r="I187" s="10"/>
      <c r="K187" s="7"/>
      <c r="L187" s="7"/>
      <c r="O187" s="10"/>
      <c r="R187" s="10"/>
      <c r="U187" s="16"/>
      <c r="X187" s="10"/>
      <c r="AA187" s="10"/>
      <c r="AD187" s="10"/>
    </row>
    <row r="188" customFormat="false" ht="15.75" hidden="false" customHeight="false" outlineLevel="0" collapsed="false">
      <c r="A188" s="7"/>
      <c r="B188" s="8"/>
      <c r="E188" s="3"/>
      <c r="F188" s="3"/>
      <c r="I188" s="10"/>
      <c r="K188" s="7"/>
      <c r="L188" s="7"/>
      <c r="O188" s="10"/>
      <c r="R188" s="10"/>
      <c r="U188" s="16"/>
      <c r="X188" s="10"/>
      <c r="AA188" s="10"/>
      <c r="AD188" s="10"/>
    </row>
    <row r="189" customFormat="false" ht="15.75" hidden="false" customHeight="false" outlineLevel="0" collapsed="false">
      <c r="A189" s="7"/>
      <c r="B189" s="8"/>
      <c r="E189" s="3"/>
      <c r="F189" s="3"/>
      <c r="I189" s="10"/>
      <c r="K189" s="7"/>
      <c r="L189" s="7"/>
      <c r="O189" s="10"/>
      <c r="R189" s="10"/>
      <c r="U189" s="16"/>
      <c r="X189" s="10"/>
      <c r="AA189" s="10"/>
      <c r="AD189" s="10"/>
    </row>
    <row r="190" customFormat="false" ht="15.75" hidden="false" customHeight="false" outlineLevel="0" collapsed="false">
      <c r="A190" s="7"/>
      <c r="B190" s="8"/>
      <c r="E190" s="3"/>
      <c r="F190" s="3"/>
      <c r="I190" s="10"/>
      <c r="K190" s="7"/>
      <c r="L190" s="7"/>
      <c r="O190" s="10"/>
      <c r="R190" s="10"/>
      <c r="U190" s="16"/>
      <c r="X190" s="10"/>
      <c r="AA190" s="10"/>
      <c r="AD190" s="10"/>
    </row>
    <row r="191" customFormat="false" ht="15.75" hidden="false" customHeight="false" outlineLevel="0" collapsed="false">
      <c r="A191" s="7"/>
      <c r="B191" s="8"/>
      <c r="E191" s="3"/>
      <c r="F191" s="3"/>
      <c r="I191" s="10"/>
      <c r="K191" s="7"/>
      <c r="L191" s="7"/>
      <c r="O191" s="10"/>
      <c r="R191" s="10"/>
      <c r="U191" s="16"/>
      <c r="X191" s="10"/>
      <c r="AA191" s="10"/>
      <c r="AD191" s="10"/>
    </row>
    <row r="192" customFormat="false" ht="15.75" hidden="false" customHeight="false" outlineLevel="0" collapsed="false">
      <c r="A192" s="7"/>
      <c r="B192" s="8"/>
      <c r="E192" s="3"/>
      <c r="F192" s="3"/>
      <c r="I192" s="10"/>
      <c r="K192" s="7"/>
      <c r="L192" s="7"/>
      <c r="O192" s="10"/>
      <c r="R192" s="10"/>
      <c r="U192" s="16"/>
      <c r="X192" s="10"/>
      <c r="AA192" s="10"/>
      <c r="AD192" s="10"/>
    </row>
    <row r="193" customFormat="false" ht="15.75" hidden="false" customHeight="false" outlineLevel="0" collapsed="false">
      <c r="A193" s="7"/>
      <c r="B193" s="8"/>
      <c r="E193" s="3"/>
      <c r="F193" s="3"/>
      <c r="I193" s="10"/>
      <c r="K193" s="7"/>
      <c r="L193" s="7"/>
      <c r="O193" s="10"/>
      <c r="R193" s="10"/>
      <c r="U193" s="16"/>
      <c r="X193" s="10"/>
      <c r="AA193" s="10"/>
      <c r="AD193" s="10"/>
    </row>
    <row r="194" customFormat="false" ht="15.75" hidden="false" customHeight="false" outlineLevel="0" collapsed="false">
      <c r="A194" s="7"/>
      <c r="B194" s="8"/>
      <c r="E194" s="3"/>
      <c r="F194" s="3"/>
      <c r="I194" s="10"/>
      <c r="K194" s="7"/>
      <c r="L194" s="7"/>
      <c r="O194" s="10"/>
      <c r="R194" s="10"/>
      <c r="U194" s="16"/>
      <c r="X194" s="10"/>
      <c r="AA194" s="10"/>
      <c r="AD194" s="10"/>
    </row>
    <row r="195" customFormat="false" ht="15.75" hidden="false" customHeight="false" outlineLevel="0" collapsed="false">
      <c r="A195" s="7"/>
      <c r="B195" s="8"/>
      <c r="E195" s="3"/>
      <c r="F195" s="3"/>
      <c r="I195" s="10"/>
      <c r="K195" s="7"/>
      <c r="L195" s="7"/>
      <c r="O195" s="10"/>
      <c r="R195" s="10"/>
      <c r="U195" s="16"/>
      <c r="X195" s="10"/>
      <c r="AA195" s="10"/>
      <c r="AD195" s="10"/>
    </row>
    <row r="196" customFormat="false" ht="15.75" hidden="false" customHeight="false" outlineLevel="0" collapsed="false">
      <c r="A196" s="7"/>
      <c r="B196" s="8"/>
      <c r="E196" s="3"/>
      <c r="F196" s="3"/>
      <c r="I196" s="10"/>
      <c r="K196" s="7"/>
      <c r="L196" s="7"/>
      <c r="O196" s="10"/>
      <c r="R196" s="10"/>
      <c r="U196" s="16"/>
      <c r="X196" s="10"/>
      <c r="AA196" s="10"/>
      <c r="AD196" s="10"/>
    </row>
    <row r="197" customFormat="false" ht="15.75" hidden="false" customHeight="false" outlineLevel="0" collapsed="false">
      <c r="A197" s="7"/>
      <c r="B197" s="8"/>
      <c r="E197" s="3"/>
      <c r="F197" s="3"/>
      <c r="I197" s="10"/>
      <c r="K197" s="7"/>
      <c r="L197" s="7"/>
      <c r="O197" s="10"/>
      <c r="R197" s="10"/>
      <c r="U197" s="16"/>
      <c r="X197" s="10"/>
      <c r="AA197" s="10"/>
      <c r="AD197" s="10"/>
    </row>
    <row r="198" customFormat="false" ht="15.75" hidden="false" customHeight="false" outlineLevel="0" collapsed="false">
      <c r="A198" s="7"/>
      <c r="B198" s="8"/>
      <c r="E198" s="3"/>
      <c r="F198" s="3"/>
      <c r="I198" s="10"/>
      <c r="K198" s="7"/>
      <c r="L198" s="7"/>
      <c r="O198" s="10"/>
      <c r="R198" s="10"/>
      <c r="U198" s="16"/>
      <c r="X198" s="10"/>
      <c r="AA198" s="10"/>
      <c r="AD198" s="10"/>
    </row>
    <row r="199" customFormat="false" ht="15.75" hidden="false" customHeight="false" outlineLevel="0" collapsed="false">
      <c r="A199" s="7"/>
      <c r="B199" s="8"/>
      <c r="E199" s="3"/>
      <c r="F199" s="3"/>
      <c r="I199" s="10"/>
      <c r="K199" s="7"/>
      <c r="L199" s="7"/>
      <c r="O199" s="10"/>
      <c r="R199" s="10"/>
      <c r="U199" s="16"/>
      <c r="X199" s="10"/>
      <c r="AA199" s="10"/>
      <c r="AD199" s="10"/>
    </row>
    <row r="200" customFormat="false" ht="15.75" hidden="false" customHeight="false" outlineLevel="0" collapsed="false">
      <c r="A200" s="7"/>
      <c r="B200" s="8"/>
      <c r="E200" s="3"/>
      <c r="F200" s="3"/>
      <c r="I200" s="10"/>
      <c r="K200" s="7"/>
      <c r="L200" s="7"/>
      <c r="O200" s="10"/>
      <c r="R200" s="10"/>
      <c r="U200" s="16"/>
      <c r="X200" s="10"/>
      <c r="AA200" s="10"/>
      <c r="AD200" s="10"/>
    </row>
    <row r="201" customFormat="false" ht="15.75" hidden="false" customHeight="false" outlineLevel="0" collapsed="false">
      <c r="A201" s="7"/>
      <c r="B201" s="8"/>
      <c r="E201" s="3"/>
      <c r="F201" s="3"/>
      <c r="I201" s="10"/>
      <c r="K201" s="7"/>
      <c r="L201" s="7"/>
      <c r="O201" s="10"/>
      <c r="R201" s="10"/>
      <c r="U201" s="16"/>
      <c r="X201" s="10"/>
      <c r="AA201" s="10"/>
      <c r="AD201" s="10"/>
    </row>
    <row r="202" customFormat="false" ht="15.75" hidden="false" customHeight="false" outlineLevel="0" collapsed="false">
      <c r="A202" s="7"/>
      <c r="B202" s="8"/>
      <c r="E202" s="3"/>
      <c r="F202" s="3"/>
      <c r="I202" s="10"/>
      <c r="K202" s="7"/>
      <c r="L202" s="7"/>
      <c r="O202" s="10"/>
      <c r="R202" s="10"/>
      <c r="U202" s="16"/>
      <c r="X202" s="10"/>
      <c r="AA202" s="10"/>
      <c r="AD202" s="10"/>
    </row>
    <row r="203" customFormat="false" ht="15.75" hidden="false" customHeight="false" outlineLevel="0" collapsed="false">
      <c r="A203" s="7"/>
      <c r="B203" s="8"/>
      <c r="E203" s="3"/>
      <c r="F203" s="3"/>
      <c r="I203" s="10"/>
      <c r="K203" s="7"/>
      <c r="L203" s="7"/>
      <c r="O203" s="10"/>
      <c r="R203" s="10"/>
      <c r="U203" s="16"/>
      <c r="X203" s="10"/>
      <c r="AA203" s="10"/>
      <c r="AD203" s="10"/>
    </row>
    <row r="204" customFormat="false" ht="15.75" hidden="false" customHeight="false" outlineLevel="0" collapsed="false">
      <c r="A204" s="7"/>
      <c r="B204" s="8"/>
      <c r="E204" s="3"/>
      <c r="F204" s="3"/>
      <c r="I204" s="10"/>
      <c r="K204" s="7"/>
      <c r="L204" s="7"/>
      <c r="O204" s="10"/>
      <c r="R204" s="10"/>
      <c r="U204" s="16"/>
      <c r="X204" s="10"/>
      <c r="AA204" s="10"/>
      <c r="AD204" s="10"/>
    </row>
    <row r="205" customFormat="false" ht="15.75" hidden="false" customHeight="false" outlineLevel="0" collapsed="false">
      <c r="A205" s="7"/>
      <c r="B205" s="8"/>
      <c r="E205" s="3"/>
      <c r="F205" s="3"/>
      <c r="I205" s="10"/>
      <c r="K205" s="7"/>
      <c r="L205" s="7"/>
      <c r="O205" s="10"/>
      <c r="R205" s="10"/>
      <c r="U205" s="16"/>
      <c r="X205" s="10"/>
      <c r="AA205" s="10"/>
      <c r="AD205" s="10"/>
    </row>
    <row r="206" customFormat="false" ht="15.75" hidden="false" customHeight="false" outlineLevel="0" collapsed="false">
      <c r="A206" s="7"/>
      <c r="B206" s="8"/>
      <c r="E206" s="3"/>
      <c r="F206" s="3"/>
      <c r="I206" s="10"/>
      <c r="K206" s="7"/>
      <c r="L206" s="7"/>
      <c r="O206" s="10"/>
      <c r="R206" s="10"/>
      <c r="U206" s="16"/>
      <c r="X206" s="10"/>
      <c r="AA206" s="10"/>
      <c r="AD206" s="10"/>
    </row>
    <row r="207" customFormat="false" ht="15.75" hidden="false" customHeight="false" outlineLevel="0" collapsed="false">
      <c r="A207" s="7"/>
      <c r="B207" s="8"/>
      <c r="E207" s="3"/>
      <c r="F207" s="3"/>
      <c r="I207" s="10"/>
      <c r="K207" s="7"/>
      <c r="L207" s="7"/>
      <c r="O207" s="10"/>
      <c r="R207" s="10"/>
      <c r="U207" s="16"/>
      <c r="X207" s="10"/>
      <c r="AA207" s="10"/>
      <c r="AD207" s="10"/>
    </row>
    <row r="208" customFormat="false" ht="15.75" hidden="false" customHeight="false" outlineLevel="0" collapsed="false">
      <c r="A208" s="7"/>
      <c r="B208" s="8"/>
      <c r="E208" s="3"/>
      <c r="F208" s="3"/>
      <c r="I208" s="10"/>
      <c r="K208" s="7"/>
      <c r="L208" s="7"/>
      <c r="O208" s="10"/>
      <c r="R208" s="10"/>
      <c r="U208" s="16"/>
      <c r="X208" s="10"/>
      <c r="AA208" s="10"/>
      <c r="AD208" s="10"/>
    </row>
    <row r="209" customFormat="false" ht="15.75" hidden="false" customHeight="false" outlineLevel="0" collapsed="false">
      <c r="A209" s="7"/>
      <c r="B209" s="8"/>
      <c r="E209" s="3"/>
      <c r="F209" s="3"/>
      <c r="I209" s="10"/>
      <c r="K209" s="7"/>
      <c r="L209" s="7"/>
      <c r="O209" s="10"/>
      <c r="R209" s="10"/>
      <c r="U209" s="16"/>
      <c r="X209" s="10"/>
      <c r="AA209" s="10"/>
      <c r="AD209" s="10"/>
    </row>
    <row r="210" customFormat="false" ht="15.75" hidden="false" customHeight="false" outlineLevel="0" collapsed="false">
      <c r="A210" s="7"/>
      <c r="B210" s="8"/>
      <c r="E210" s="3"/>
      <c r="F210" s="3"/>
      <c r="I210" s="10"/>
      <c r="K210" s="7"/>
      <c r="L210" s="7"/>
      <c r="O210" s="10"/>
      <c r="R210" s="10"/>
      <c r="U210" s="16"/>
      <c r="X210" s="10"/>
      <c r="AA210" s="10"/>
      <c r="AD210" s="10"/>
    </row>
    <row r="211" customFormat="false" ht="15.75" hidden="false" customHeight="false" outlineLevel="0" collapsed="false">
      <c r="A211" s="7"/>
      <c r="B211" s="8"/>
      <c r="E211" s="3"/>
      <c r="F211" s="3"/>
      <c r="I211" s="10"/>
      <c r="K211" s="7"/>
      <c r="L211" s="7"/>
      <c r="O211" s="10"/>
      <c r="R211" s="10"/>
      <c r="U211" s="16"/>
      <c r="X211" s="10"/>
      <c r="AA211" s="10"/>
      <c r="AD211" s="10"/>
    </row>
    <row r="212" customFormat="false" ht="15.75" hidden="false" customHeight="false" outlineLevel="0" collapsed="false">
      <c r="A212" s="7"/>
      <c r="B212" s="8"/>
      <c r="E212" s="3"/>
      <c r="F212" s="3"/>
      <c r="I212" s="10"/>
      <c r="K212" s="7"/>
      <c r="L212" s="7"/>
      <c r="O212" s="10"/>
      <c r="R212" s="10"/>
      <c r="U212" s="16"/>
      <c r="X212" s="10"/>
      <c r="AA212" s="10"/>
      <c r="AD212" s="10"/>
    </row>
    <row r="213" customFormat="false" ht="15.75" hidden="false" customHeight="false" outlineLevel="0" collapsed="false">
      <c r="A213" s="7"/>
      <c r="B213" s="8"/>
      <c r="E213" s="3"/>
      <c r="F213" s="3"/>
      <c r="I213" s="10"/>
      <c r="K213" s="7"/>
      <c r="L213" s="7"/>
      <c r="O213" s="10"/>
      <c r="R213" s="10"/>
      <c r="U213" s="16"/>
      <c r="X213" s="10"/>
      <c r="AA213" s="10"/>
      <c r="AD213" s="10"/>
    </row>
    <row r="214" customFormat="false" ht="15.75" hidden="false" customHeight="false" outlineLevel="0" collapsed="false">
      <c r="A214" s="7"/>
      <c r="B214" s="8"/>
      <c r="E214" s="3"/>
      <c r="F214" s="3"/>
      <c r="I214" s="10"/>
      <c r="K214" s="7"/>
      <c r="L214" s="7"/>
      <c r="O214" s="10"/>
      <c r="R214" s="10"/>
      <c r="U214" s="16"/>
      <c r="X214" s="10"/>
      <c r="AA214" s="10"/>
      <c r="AD214" s="10"/>
    </row>
    <row r="215" customFormat="false" ht="15.75" hidden="false" customHeight="false" outlineLevel="0" collapsed="false">
      <c r="A215" s="7"/>
      <c r="B215" s="8"/>
      <c r="E215" s="3"/>
      <c r="F215" s="3"/>
      <c r="I215" s="10"/>
      <c r="K215" s="7"/>
      <c r="L215" s="7"/>
      <c r="O215" s="10"/>
      <c r="R215" s="10"/>
      <c r="U215" s="16"/>
      <c r="X215" s="10"/>
      <c r="AA215" s="10"/>
      <c r="AD215" s="10"/>
    </row>
    <row r="216" customFormat="false" ht="15.75" hidden="false" customHeight="false" outlineLevel="0" collapsed="false">
      <c r="A216" s="7"/>
      <c r="B216" s="8"/>
      <c r="E216" s="3"/>
      <c r="F216" s="3"/>
      <c r="I216" s="10"/>
      <c r="K216" s="7"/>
      <c r="L216" s="7"/>
      <c r="O216" s="10"/>
      <c r="R216" s="10"/>
      <c r="U216" s="16"/>
      <c r="X216" s="10"/>
      <c r="AA216" s="10"/>
      <c r="AD216" s="10"/>
    </row>
    <row r="217" customFormat="false" ht="15.75" hidden="false" customHeight="false" outlineLevel="0" collapsed="false">
      <c r="A217" s="7"/>
      <c r="B217" s="8"/>
      <c r="E217" s="3"/>
      <c r="F217" s="3"/>
      <c r="I217" s="10"/>
      <c r="K217" s="7"/>
      <c r="L217" s="7"/>
      <c r="O217" s="10"/>
      <c r="R217" s="10"/>
      <c r="U217" s="16"/>
      <c r="X217" s="10"/>
      <c r="AA217" s="10"/>
      <c r="AD217" s="10"/>
    </row>
    <row r="218" customFormat="false" ht="15.75" hidden="false" customHeight="false" outlineLevel="0" collapsed="false">
      <c r="A218" s="7"/>
      <c r="B218" s="8"/>
      <c r="E218" s="3"/>
      <c r="F218" s="3"/>
      <c r="I218" s="10"/>
      <c r="K218" s="7"/>
      <c r="L218" s="7"/>
      <c r="O218" s="10"/>
      <c r="R218" s="10"/>
      <c r="U218" s="16"/>
      <c r="X218" s="10"/>
      <c r="AA218" s="10"/>
      <c r="AD218" s="10"/>
    </row>
    <row r="219" customFormat="false" ht="15.75" hidden="false" customHeight="false" outlineLevel="0" collapsed="false">
      <c r="A219" s="7"/>
      <c r="B219" s="8"/>
      <c r="E219" s="3"/>
      <c r="F219" s="3"/>
      <c r="I219" s="10"/>
      <c r="K219" s="7"/>
      <c r="L219" s="7"/>
      <c r="O219" s="10"/>
      <c r="R219" s="10"/>
      <c r="U219" s="16"/>
      <c r="X219" s="10"/>
      <c r="AA219" s="10"/>
      <c r="AD219" s="10"/>
    </row>
    <row r="220" customFormat="false" ht="15.75" hidden="false" customHeight="false" outlineLevel="0" collapsed="false">
      <c r="A220" s="7"/>
      <c r="B220" s="8"/>
      <c r="E220" s="3"/>
      <c r="F220" s="3"/>
      <c r="I220" s="10"/>
      <c r="K220" s="7"/>
      <c r="L220" s="7"/>
      <c r="O220" s="10"/>
      <c r="R220" s="10"/>
      <c r="U220" s="16"/>
      <c r="X220" s="10"/>
      <c r="AA220" s="10"/>
      <c r="AD220" s="10"/>
    </row>
    <row r="221" customFormat="false" ht="15.75" hidden="false" customHeight="false" outlineLevel="0" collapsed="false">
      <c r="A221" s="7"/>
      <c r="B221" s="8"/>
      <c r="E221" s="3"/>
      <c r="F221" s="3"/>
      <c r="I221" s="10"/>
      <c r="K221" s="7"/>
      <c r="L221" s="7"/>
      <c r="O221" s="10"/>
      <c r="R221" s="10"/>
      <c r="U221" s="16"/>
      <c r="X221" s="10"/>
      <c r="AA221" s="10"/>
      <c r="AD221" s="10"/>
    </row>
    <row r="222" customFormat="false" ht="15.75" hidden="false" customHeight="false" outlineLevel="0" collapsed="false">
      <c r="A222" s="7"/>
      <c r="B222" s="8"/>
      <c r="E222" s="3"/>
      <c r="F222" s="3"/>
      <c r="I222" s="10"/>
      <c r="K222" s="7"/>
      <c r="L222" s="7"/>
      <c r="O222" s="10"/>
      <c r="R222" s="10"/>
      <c r="U222" s="16"/>
      <c r="X222" s="10"/>
      <c r="AA222" s="10"/>
      <c r="AD222" s="10"/>
    </row>
    <row r="223" customFormat="false" ht="15.75" hidden="false" customHeight="false" outlineLevel="0" collapsed="false">
      <c r="A223" s="7"/>
      <c r="B223" s="8"/>
      <c r="E223" s="3"/>
      <c r="F223" s="3"/>
      <c r="I223" s="10"/>
      <c r="K223" s="7"/>
      <c r="L223" s="7"/>
      <c r="O223" s="10"/>
      <c r="R223" s="10"/>
      <c r="U223" s="16"/>
      <c r="X223" s="10"/>
      <c r="AA223" s="10"/>
      <c r="AD223" s="10"/>
    </row>
    <row r="224" customFormat="false" ht="15.75" hidden="false" customHeight="false" outlineLevel="0" collapsed="false">
      <c r="A224" s="7"/>
      <c r="B224" s="8"/>
      <c r="E224" s="3"/>
      <c r="F224" s="3"/>
      <c r="I224" s="10"/>
      <c r="K224" s="7"/>
      <c r="L224" s="7"/>
      <c r="O224" s="10"/>
      <c r="R224" s="10"/>
      <c r="U224" s="16"/>
      <c r="X224" s="10"/>
      <c r="AA224" s="10"/>
      <c r="AD224" s="10"/>
    </row>
    <row r="225" customFormat="false" ht="15.75" hidden="false" customHeight="false" outlineLevel="0" collapsed="false">
      <c r="A225" s="7"/>
      <c r="B225" s="8"/>
      <c r="E225" s="3"/>
      <c r="F225" s="3"/>
      <c r="I225" s="10"/>
      <c r="K225" s="7"/>
      <c r="L225" s="7"/>
      <c r="O225" s="10"/>
      <c r="R225" s="10"/>
      <c r="U225" s="16"/>
      <c r="X225" s="10"/>
      <c r="AA225" s="10"/>
      <c r="AD225" s="10"/>
    </row>
    <row r="226" customFormat="false" ht="15.75" hidden="false" customHeight="false" outlineLevel="0" collapsed="false">
      <c r="A226" s="7"/>
      <c r="B226" s="8"/>
      <c r="E226" s="3"/>
      <c r="F226" s="3"/>
      <c r="I226" s="10"/>
      <c r="K226" s="7"/>
      <c r="L226" s="7"/>
      <c r="O226" s="10"/>
      <c r="R226" s="10"/>
      <c r="U226" s="16"/>
      <c r="X226" s="10"/>
      <c r="AA226" s="10"/>
      <c r="AD226" s="10"/>
    </row>
    <row r="227" customFormat="false" ht="15.75" hidden="false" customHeight="false" outlineLevel="0" collapsed="false">
      <c r="A227" s="7"/>
      <c r="B227" s="8"/>
      <c r="E227" s="3"/>
      <c r="F227" s="3"/>
      <c r="I227" s="10"/>
      <c r="K227" s="7"/>
      <c r="L227" s="7"/>
      <c r="O227" s="10"/>
      <c r="R227" s="10"/>
      <c r="U227" s="16"/>
      <c r="X227" s="10"/>
      <c r="AA227" s="10"/>
      <c r="AD227" s="10"/>
    </row>
    <row r="228" customFormat="false" ht="15.75" hidden="false" customHeight="false" outlineLevel="0" collapsed="false">
      <c r="A228" s="7"/>
      <c r="B228" s="8"/>
      <c r="E228" s="3"/>
      <c r="F228" s="3"/>
      <c r="I228" s="10"/>
      <c r="K228" s="7"/>
      <c r="L228" s="7"/>
      <c r="O228" s="10"/>
      <c r="R228" s="10"/>
      <c r="U228" s="16"/>
      <c r="X228" s="10"/>
      <c r="AA228" s="10"/>
      <c r="AD228" s="10"/>
    </row>
    <row r="229" customFormat="false" ht="15.75" hidden="false" customHeight="false" outlineLevel="0" collapsed="false">
      <c r="A229" s="7"/>
      <c r="B229" s="8"/>
      <c r="E229" s="3"/>
      <c r="F229" s="3"/>
      <c r="I229" s="10"/>
      <c r="K229" s="7"/>
      <c r="L229" s="7"/>
      <c r="O229" s="10"/>
      <c r="R229" s="10"/>
      <c r="U229" s="16"/>
      <c r="X229" s="10"/>
      <c r="AA229" s="10"/>
      <c r="AD229" s="10"/>
    </row>
    <row r="230" customFormat="false" ht="15.75" hidden="false" customHeight="false" outlineLevel="0" collapsed="false">
      <c r="A230" s="7"/>
      <c r="B230" s="8"/>
      <c r="E230" s="3"/>
      <c r="F230" s="3"/>
      <c r="I230" s="10"/>
      <c r="K230" s="7"/>
      <c r="L230" s="7"/>
      <c r="O230" s="10"/>
      <c r="R230" s="10"/>
      <c r="U230" s="16"/>
      <c r="X230" s="10"/>
      <c r="AA230" s="10"/>
      <c r="AD230" s="10"/>
    </row>
    <row r="231" customFormat="false" ht="15.75" hidden="false" customHeight="false" outlineLevel="0" collapsed="false">
      <c r="A231" s="7"/>
      <c r="B231" s="8"/>
      <c r="E231" s="3"/>
      <c r="F231" s="3"/>
      <c r="I231" s="10"/>
      <c r="K231" s="7"/>
      <c r="L231" s="7"/>
      <c r="O231" s="10"/>
      <c r="R231" s="10"/>
      <c r="U231" s="16"/>
      <c r="X231" s="10"/>
      <c r="AA231" s="10"/>
      <c r="AD231" s="10"/>
    </row>
    <row r="232" customFormat="false" ht="15.75" hidden="false" customHeight="false" outlineLevel="0" collapsed="false">
      <c r="A232" s="7"/>
      <c r="B232" s="8"/>
      <c r="E232" s="3"/>
      <c r="F232" s="3"/>
      <c r="I232" s="10"/>
      <c r="K232" s="7"/>
      <c r="L232" s="7"/>
      <c r="O232" s="10"/>
      <c r="R232" s="10"/>
      <c r="U232" s="16"/>
      <c r="X232" s="10"/>
      <c r="AA232" s="10"/>
      <c r="AD232" s="10"/>
    </row>
    <row r="233" customFormat="false" ht="15.75" hidden="false" customHeight="false" outlineLevel="0" collapsed="false">
      <c r="A233" s="7"/>
      <c r="B233" s="8"/>
      <c r="E233" s="3"/>
      <c r="F233" s="3"/>
      <c r="I233" s="10"/>
      <c r="K233" s="7"/>
      <c r="L233" s="7"/>
      <c r="O233" s="10"/>
      <c r="R233" s="10"/>
      <c r="U233" s="16"/>
      <c r="X233" s="10"/>
      <c r="AA233" s="10"/>
      <c r="AD233" s="10"/>
    </row>
    <row r="234" customFormat="false" ht="15.75" hidden="false" customHeight="false" outlineLevel="0" collapsed="false">
      <c r="A234" s="7"/>
      <c r="B234" s="8"/>
      <c r="E234" s="3"/>
      <c r="F234" s="3"/>
      <c r="I234" s="10"/>
      <c r="K234" s="7"/>
      <c r="L234" s="7"/>
      <c r="O234" s="10"/>
      <c r="R234" s="10"/>
      <c r="U234" s="16"/>
      <c r="X234" s="10"/>
      <c r="AA234" s="10"/>
      <c r="AD234" s="10"/>
    </row>
    <row r="235" customFormat="false" ht="15.75" hidden="false" customHeight="false" outlineLevel="0" collapsed="false">
      <c r="A235" s="7"/>
      <c r="B235" s="8"/>
      <c r="E235" s="3"/>
      <c r="F235" s="3"/>
      <c r="I235" s="10"/>
      <c r="K235" s="7"/>
      <c r="L235" s="7"/>
      <c r="O235" s="10"/>
      <c r="R235" s="10"/>
      <c r="U235" s="16"/>
      <c r="X235" s="10"/>
      <c r="AA235" s="10"/>
      <c r="AD235" s="10"/>
    </row>
    <row r="236" customFormat="false" ht="15.75" hidden="false" customHeight="false" outlineLevel="0" collapsed="false">
      <c r="A236" s="7"/>
      <c r="B236" s="8"/>
      <c r="E236" s="3"/>
      <c r="F236" s="3"/>
      <c r="I236" s="10"/>
      <c r="K236" s="7"/>
      <c r="L236" s="7"/>
      <c r="O236" s="10"/>
      <c r="R236" s="10"/>
      <c r="U236" s="16"/>
      <c r="X236" s="10"/>
      <c r="AA236" s="10"/>
      <c r="AD236" s="10"/>
    </row>
    <row r="237" customFormat="false" ht="15.75" hidden="false" customHeight="false" outlineLevel="0" collapsed="false">
      <c r="A237" s="7"/>
      <c r="B237" s="8"/>
      <c r="E237" s="3"/>
      <c r="F237" s="3"/>
      <c r="I237" s="10"/>
      <c r="K237" s="7"/>
      <c r="L237" s="7"/>
      <c r="O237" s="10"/>
      <c r="R237" s="10"/>
      <c r="U237" s="16"/>
      <c r="X237" s="10"/>
      <c r="AA237" s="10"/>
      <c r="AD237" s="10"/>
    </row>
    <row r="238" customFormat="false" ht="15.75" hidden="false" customHeight="false" outlineLevel="0" collapsed="false">
      <c r="A238" s="7"/>
      <c r="B238" s="8"/>
      <c r="E238" s="3"/>
      <c r="F238" s="3"/>
      <c r="I238" s="10"/>
      <c r="K238" s="7"/>
      <c r="L238" s="7"/>
      <c r="O238" s="10"/>
      <c r="R238" s="10"/>
      <c r="U238" s="16"/>
      <c r="X238" s="10"/>
      <c r="AA238" s="10"/>
      <c r="AD238" s="10"/>
    </row>
    <row r="239" customFormat="false" ht="15.75" hidden="false" customHeight="false" outlineLevel="0" collapsed="false">
      <c r="A239" s="7"/>
      <c r="B239" s="8"/>
      <c r="E239" s="3"/>
      <c r="F239" s="3"/>
      <c r="I239" s="10"/>
      <c r="K239" s="7"/>
      <c r="L239" s="7"/>
      <c r="O239" s="10"/>
      <c r="R239" s="10"/>
      <c r="U239" s="16"/>
      <c r="X239" s="10"/>
      <c r="AA239" s="10"/>
      <c r="AD239" s="10"/>
    </row>
    <row r="240" customFormat="false" ht="15.75" hidden="false" customHeight="false" outlineLevel="0" collapsed="false">
      <c r="A240" s="7"/>
      <c r="B240" s="8"/>
      <c r="E240" s="3"/>
      <c r="F240" s="3"/>
      <c r="I240" s="10"/>
      <c r="K240" s="7"/>
      <c r="L240" s="7"/>
      <c r="O240" s="10"/>
      <c r="R240" s="10"/>
      <c r="U240" s="16"/>
      <c r="X240" s="10"/>
      <c r="AA240" s="10"/>
      <c r="AD240" s="10"/>
    </row>
    <row r="241" customFormat="false" ht="15.75" hidden="false" customHeight="false" outlineLevel="0" collapsed="false">
      <c r="A241" s="7"/>
      <c r="B241" s="8"/>
      <c r="E241" s="3"/>
      <c r="F241" s="3"/>
      <c r="I241" s="10"/>
      <c r="K241" s="7"/>
      <c r="L241" s="7"/>
      <c r="O241" s="10"/>
      <c r="R241" s="10"/>
      <c r="U241" s="16"/>
      <c r="X241" s="10"/>
      <c r="AA241" s="10"/>
      <c r="AD241" s="10"/>
    </row>
    <row r="242" customFormat="false" ht="15.75" hidden="false" customHeight="false" outlineLevel="0" collapsed="false">
      <c r="A242" s="7"/>
      <c r="B242" s="8"/>
      <c r="E242" s="3"/>
      <c r="F242" s="3"/>
      <c r="I242" s="10"/>
      <c r="K242" s="7"/>
      <c r="L242" s="7"/>
      <c r="O242" s="10"/>
      <c r="R242" s="10"/>
      <c r="U242" s="16"/>
      <c r="X242" s="10"/>
      <c r="AA242" s="10"/>
      <c r="AD242" s="10"/>
    </row>
    <row r="243" customFormat="false" ht="15.75" hidden="false" customHeight="false" outlineLevel="0" collapsed="false">
      <c r="A243" s="7"/>
      <c r="B243" s="8"/>
      <c r="E243" s="3"/>
      <c r="F243" s="3"/>
      <c r="I243" s="10"/>
      <c r="K243" s="7"/>
      <c r="L243" s="7"/>
      <c r="O243" s="10"/>
      <c r="R243" s="10"/>
      <c r="U243" s="16"/>
      <c r="X243" s="10"/>
      <c r="AA243" s="10"/>
      <c r="AD243" s="10"/>
    </row>
    <row r="244" customFormat="false" ht="15.75" hidden="false" customHeight="false" outlineLevel="0" collapsed="false">
      <c r="A244" s="7"/>
      <c r="B244" s="8"/>
      <c r="E244" s="3"/>
      <c r="F244" s="3"/>
      <c r="I244" s="10"/>
      <c r="K244" s="7"/>
      <c r="L244" s="7"/>
      <c r="O244" s="10"/>
      <c r="R244" s="10"/>
      <c r="U244" s="16"/>
      <c r="X244" s="10"/>
      <c r="AA244" s="10"/>
      <c r="AD244" s="10"/>
    </row>
    <row r="245" customFormat="false" ht="15.75" hidden="false" customHeight="false" outlineLevel="0" collapsed="false">
      <c r="A245" s="7"/>
      <c r="B245" s="8"/>
      <c r="E245" s="3"/>
      <c r="F245" s="3"/>
      <c r="I245" s="10"/>
      <c r="K245" s="7"/>
      <c r="L245" s="7"/>
      <c r="O245" s="10"/>
      <c r="R245" s="10"/>
      <c r="U245" s="16"/>
      <c r="X245" s="10"/>
      <c r="AA245" s="10"/>
      <c r="AD245" s="10"/>
    </row>
    <row r="246" customFormat="false" ht="15.75" hidden="false" customHeight="false" outlineLevel="0" collapsed="false">
      <c r="A246" s="7"/>
      <c r="B246" s="8"/>
      <c r="E246" s="3"/>
      <c r="F246" s="3"/>
      <c r="I246" s="10"/>
      <c r="K246" s="7"/>
      <c r="L246" s="7"/>
      <c r="O246" s="10"/>
      <c r="R246" s="10"/>
      <c r="U246" s="16"/>
      <c r="X246" s="10"/>
      <c r="AA246" s="10"/>
      <c r="AD246" s="10"/>
    </row>
    <row r="247" customFormat="false" ht="15.75" hidden="false" customHeight="false" outlineLevel="0" collapsed="false">
      <c r="A247" s="7"/>
      <c r="B247" s="8"/>
      <c r="E247" s="3"/>
      <c r="F247" s="3"/>
      <c r="I247" s="10"/>
      <c r="K247" s="7"/>
      <c r="L247" s="7"/>
      <c r="O247" s="10"/>
      <c r="R247" s="10"/>
      <c r="U247" s="16"/>
      <c r="X247" s="10"/>
      <c r="AA247" s="10"/>
      <c r="AD247" s="10"/>
    </row>
    <row r="248" customFormat="false" ht="15.75" hidden="false" customHeight="false" outlineLevel="0" collapsed="false">
      <c r="A248" s="7"/>
      <c r="B248" s="8"/>
      <c r="E248" s="3"/>
      <c r="F248" s="3"/>
      <c r="I248" s="10"/>
      <c r="K248" s="7"/>
      <c r="L248" s="7"/>
      <c r="O248" s="10"/>
      <c r="R248" s="10"/>
      <c r="U248" s="16"/>
      <c r="X248" s="10"/>
      <c r="AA248" s="10"/>
      <c r="AD248" s="10"/>
    </row>
    <row r="249" customFormat="false" ht="15.75" hidden="false" customHeight="false" outlineLevel="0" collapsed="false">
      <c r="A249" s="7"/>
      <c r="B249" s="8"/>
      <c r="E249" s="3"/>
      <c r="F249" s="3"/>
      <c r="I249" s="10"/>
      <c r="K249" s="7"/>
      <c r="L249" s="7"/>
      <c r="O249" s="10"/>
      <c r="R249" s="10"/>
      <c r="U249" s="16"/>
      <c r="X249" s="10"/>
      <c r="AA249" s="10"/>
      <c r="AD249" s="10"/>
    </row>
    <row r="250" customFormat="false" ht="15.75" hidden="false" customHeight="false" outlineLevel="0" collapsed="false">
      <c r="A250" s="7"/>
      <c r="B250" s="8"/>
      <c r="E250" s="3"/>
      <c r="F250" s="3"/>
      <c r="I250" s="10"/>
      <c r="K250" s="7"/>
      <c r="L250" s="7"/>
      <c r="O250" s="10"/>
      <c r="R250" s="10"/>
      <c r="U250" s="16"/>
      <c r="X250" s="10"/>
      <c r="AA250" s="10"/>
      <c r="AD250" s="10"/>
    </row>
    <row r="251" customFormat="false" ht="15.75" hidden="false" customHeight="false" outlineLevel="0" collapsed="false">
      <c r="A251" s="7"/>
      <c r="B251" s="8"/>
      <c r="E251" s="3"/>
      <c r="F251" s="3"/>
      <c r="I251" s="10"/>
      <c r="K251" s="7"/>
      <c r="L251" s="7"/>
      <c r="O251" s="10"/>
      <c r="R251" s="10"/>
      <c r="U251" s="16"/>
      <c r="X251" s="10"/>
      <c r="AA251" s="10"/>
      <c r="AD251" s="10"/>
    </row>
    <row r="252" customFormat="false" ht="15.75" hidden="false" customHeight="false" outlineLevel="0" collapsed="false">
      <c r="A252" s="7"/>
      <c r="B252" s="8"/>
      <c r="E252" s="3"/>
      <c r="F252" s="3"/>
      <c r="I252" s="10"/>
      <c r="K252" s="7"/>
      <c r="L252" s="7"/>
      <c r="O252" s="10"/>
      <c r="R252" s="10"/>
      <c r="U252" s="16"/>
      <c r="X252" s="10"/>
      <c r="AA252" s="10"/>
      <c r="AD252" s="10"/>
    </row>
    <row r="253" customFormat="false" ht="15.75" hidden="false" customHeight="false" outlineLevel="0" collapsed="false">
      <c r="A253" s="7"/>
      <c r="B253" s="8"/>
      <c r="E253" s="3"/>
      <c r="F253" s="3"/>
      <c r="I253" s="10"/>
      <c r="K253" s="7"/>
      <c r="L253" s="7"/>
      <c r="O253" s="10"/>
      <c r="R253" s="10"/>
      <c r="U253" s="16"/>
      <c r="X253" s="10"/>
      <c r="AA253" s="10"/>
      <c r="AD253" s="10"/>
    </row>
    <row r="254" customFormat="false" ht="15.75" hidden="false" customHeight="false" outlineLevel="0" collapsed="false">
      <c r="A254" s="7"/>
      <c r="B254" s="8"/>
      <c r="E254" s="3"/>
      <c r="F254" s="3"/>
      <c r="I254" s="10"/>
      <c r="K254" s="7"/>
      <c r="L254" s="7"/>
      <c r="O254" s="10"/>
      <c r="R254" s="10"/>
      <c r="U254" s="16"/>
      <c r="X254" s="10"/>
      <c r="AA254" s="10"/>
      <c r="AD254" s="10"/>
    </row>
    <row r="255" customFormat="false" ht="15.75" hidden="false" customHeight="false" outlineLevel="0" collapsed="false">
      <c r="A255" s="7"/>
      <c r="B255" s="8"/>
      <c r="E255" s="3"/>
      <c r="F255" s="3"/>
      <c r="I255" s="10"/>
      <c r="K255" s="7"/>
      <c r="L255" s="7"/>
      <c r="O255" s="10"/>
      <c r="R255" s="10"/>
      <c r="U255" s="16"/>
      <c r="X255" s="10"/>
      <c r="AA255" s="10"/>
      <c r="AD255" s="10"/>
    </row>
    <row r="256" customFormat="false" ht="15.75" hidden="false" customHeight="false" outlineLevel="0" collapsed="false">
      <c r="A256" s="7"/>
      <c r="B256" s="8"/>
      <c r="E256" s="3"/>
      <c r="F256" s="3"/>
      <c r="I256" s="10"/>
      <c r="K256" s="7"/>
      <c r="L256" s="7"/>
      <c r="O256" s="10"/>
      <c r="R256" s="10"/>
      <c r="U256" s="16"/>
      <c r="X256" s="10"/>
      <c r="AA256" s="10"/>
      <c r="AD256" s="10"/>
    </row>
    <row r="257" customFormat="false" ht="15.75" hidden="false" customHeight="false" outlineLevel="0" collapsed="false">
      <c r="A257" s="7"/>
      <c r="B257" s="8"/>
      <c r="E257" s="3"/>
      <c r="F257" s="3"/>
      <c r="I257" s="10"/>
      <c r="K257" s="7"/>
      <c r="L257" s="7"/>
      <c r="O257" s="10"/>
      <c r="R257" s="10"/>
      <c r="U257" s="16"/>
      <c r="X257" s="10"/>
      <c r="AA257" s="10"/>
      <c r="AD257" s="10"/>
    </row>
    <row r="258" customFormat="false" ht="15.75" hidden="false" customHeight="false" outlineLevel="0" collapsed="false">
      <c r="A258" s="7"/>
      <c r="B258" s="8"/>
      <c r="E258" s="3"/>
      <c r="F258" s="3"/>
      <c r="I258" s="10"/>
      <c r="K258" s="7"/>
      <c r="L258" s="7"/>
      <c r="O258" s="10"/>
      <c r="R258" s="10"/>
      <c r="U258" s="16"/>
      <c r="X258" s="10"/>
      <c r="AA258" s="10"/>
      <c r="AD258" s="10"/>
    </row>
    <row r="259" customFormat="false" ht="15.75" hidden="false" customHeight="false" outlineLevel="0" collapsed="false">
      <c r="A259" s="7"/>
      <c r="B259" s="8"/>
      <c r="E259" s="3"/>
      <c r="F259" s="3"/>
      <c r="I259" s="10"/>
      <c r="K259" s="7"/>
      <c r="L259" s="7"/>
      <c r="O259" s="10"/>
      <c r="R259" s="10"/>
      <c r="U259" s="16"/>
      <c r="X259" s="10"/>
      <c r="AA259" s="10"/>
      <c r="AD259" s="10"/>
    </row>
    <row r="260" customFormat="false" ht="15.75" hidden="false" customHeight="false" outlineLevel="0" collapsed="false">
      <c r="A260" s="7"/>
      <c r="B260" s="8"/>
      <c r="E260" s="3"/>
      <c r="F260" s="3"/>
      <c r="I260" s="10"/>
      <c r="K260" s="7"/>
      <c r="L260" s="7"/>
      <c r="O260" s="10"/>
      <c r="R260" s="10"/>
      <c r="U260" s="16"/>
      <c r="X260" s="10"/>
      <c r="AA260" s="10"/>
      <c r="AD260" s="10"/>
    </row>
    <row r="261" customFormat="false" ht="15.75" hidden="false" customHeight="false" outlineLevel="0" collapsed="false">
      <c r="A261" s="7"/>
      <c r="B261" s="8"/>
      <c r="E261" s="3"/>
      <c r="F261" s="3"/>
      <c r="I261" s="10"/>
      <c r="K261" s="7"/>
      <c r="L261" s="7"/>
      <c r="O261" s="10"/>
      <c r="R261" s="10"/>
      <c r="U261" s="16"/>
      <c r="X261" s="10"/>
      <c r="AA261" s="10"/>
      <c r="AD261" s="10"/>
    </row>
    <row r="262" customFormat="false" ht="15.75" hidden="false" customHeight="false" outlineLevel="0" collapsed="false">
      <c r="A262" s="7"/>
      <c r="B262" s="8"/>
      <c r="E262" s="3"/>
      <c r="F262" s="3"/>
      <c r="I262" s="10"/>
      <c r="K262" s="7"/>
      <c r="L262" s="7"/>
      <c r="O262" s="10"/>
      <c r="R262" s="10"/>
      <c r="U262" s="16"/>
      <c r="X262" s="10"/>
      <c r="AA262" s="10"/>
      <c r="AD262" s="10"/>
    </row>
    <row r="263" customFormat="false" ht="15.75" hidden="false" customHeight="false" outlineLevel="0" collapsed="false">
      <c r="A263" s="7"/>
      <c r="B263" s="8"/>
      <c r="E263" s="3"/>
      <c r="F263" s="3"/>
      <c r="I263" s="10"/>
      <c r="K263" s="7"/>
      <c r="L263" s="7"/>
      <c r="O263" s="10"/>
      <c r="R263" s="10"/>
      <c r="U263" s="16"/>
      <c r="X263" s="10"/>
      <c r="AA263" s="10"/>
      <c r="AD263" s="10"/>
    </row>
    <row r="264" customFormat="false" ht="15.75" hidden="false" customHeight="false" outlineLevel="0" collapsed="false">
      <c r="A264" s="7"/>
      <c r="B264" s="8"/>
      <c r="E264" s="3"/>
      <c r="F264" s="3"/>
      <c r="I264" s="10"/>
      <c r="K264" s="7"/>
      <c r="L264" s="7"/>
      <c r="O264" s="10"/>
      <c r="R264" s="10"/>
      <c r="U264" s="16"/>
      <c r="X264" s="10"/>
      <c r="AA264" s="10"/>
      <c r="AD264" s="10"/>
    </row>
    <row r="265" customFormat="false" ht="15.75" hidden="false" customHeight="false" outlineLevel="0" collapsed="false">
      <c r="A265" s="7"/>
      <c r="B265" s="8"/>
      <c r="E265" s="3"/>
      <c r="F265" s="3"/>
      <c r="I265" s="10"/>
      <c r="K265" s="7"/>
      <c r="L265" s="7"/>
      <c r="O265" s="10"/>
      <c r="R265" s="10"/>
      <c r="U265" s="16"/>
      <c r="X265" s="10"/>
      <c r="AA265" s="10"/>
      <c r="AD265" s="10"/>
    </row>
    <row r="266" customFormat="false" ht="15.75" hidden="false" customHeight="false" outlineLevel="0" collapsed="false">
      <c r="A266" s="7"/>
      <c r="B266" s="8"/>
      <c r="E266" s="3"/>
      <c r="F266" s="3"/>
      <c r="I266" s="10"/>
      <c r="K266" s="7"/>
      <c r="L266" s="7"/>
      <c r="O266" s="10"/>
      <c r="R266" s="10"/>
      <c r="U266" s="16"/>
      <c r="X266" s="10"/>
      <c r="AA266" s="10"/>
      <c r="AD266" s="10"/>
    </row>
    <row r="267" customFormat="false" ht="15.75" hidden="false" customHeight="false" outlineLevel="0" collapsed="false">
      <c r="A267" s="7"/>
      <c r="B267" s="8"/>
      <c r="E267" s="3"/>
      <c r="F267" s="3"/>
      <c r="I267" s="10"/>
      <c r="K267" s="7"/>
      <c r="L267" s="7"/>
      <c r="O267" s="10"/>
      <c r="R267" s="10"/>
      <c r="U267" s="16"/>
      <c r="X267" s="10"/>
      <c r="AA267" s="10"/>
      <c r="AD267" s="10"/>
    </row>
    <row r="268" customFormat="false" ht="15.75" hidden="false" customHeight="false" outlineLevel="0" collapsed="false">
      <c r="A268" s="7"/>
      <c r="B268" s="8"/>
      <c r="E268" s="3"/>
      <c r="F268" s="3"/>
      <c r="I268" s="10"/>
      <c r="K268" s="7"/>
      <c r="L268" s="7"/>
      <c r="O268" s="10"/>
      <c r="R268" s="10"/>
      <c r="U268" s="16"/>
      <c r="X268" s="10"/>
      <c r="AA268" s="10"/>
      <c r="AD268" s="10"/>
    </row>
    <row r="269" customFormat="false" ht="15.75" hidden="false" customHeight="false" outlineLevel="0" collapsed="false">
      <c r="A269" s="7"/>
      <c r="B269" s="8"/>
      <c r="E269" s="3"/>
      <c r="F269" s="3"/>
      <c r="I269" s="10"/>
      <c r="K269" s="7"/>
      <c r="L269" s="7"/>
      <c r="O269" s="10"/>
      <c r="R269" s="10"/>
      <c r="U269" s="16"/>
      <c r="X269" s="10"/>
      <c r="AA269" s="10"/>
      <c r="AD269" s="10"/>
    </row>
    <row r="270" customFormat="false" ht="15.75" hidden="false" customHeight="false" outlineLevel="0" collapsed="false">
      <c r="A270" s="7"/>
      <c r="B270" s="8"/>
      <c r="E270" s="3"/>
      <c r="F270" s="3"/>
      <c r="I270" s="10"/>
      <c r="K270" s="7"/>
      <c r="L270" s="7"/>
      <c r="O270" s="10"/>
      <c r="R270" s="10"/>
      <c r="U270" s="16"/>
      <c r="X270" s="10"/>
      <c r="AA270" s="10"/>
      <c r="AD270" s="10"/>
    </row>
    <row r="271" customFormat="false" ht="15.75" hidden="false" customHeight="false" outlineLevel="0" collapsed="false">
      <c r="A271" s="7"/>
      <c r="B271" s="8"/>
      <c r="E271" s="3"/>
      <c r="F271" s="3"/>
      <c r="I271" s="10"/>
      <c r="K271" s="7"/>
      <c r="L271" s="7"/>
      <c r="O271" s="10"/>
      <c r="R271" s="10"/>
      <c r="U271" s="16"/>
      <c r="X271" s="10"/>
      <c r="AA271" s="10"/>
      <c r="AD271" s="10"/>
    </row>
    <row r="272" customFormat="false" ht="15.75" hidden="false" customHeight="false" outlineLevel="0" collapsed="false">
      <c r="A272" s="7"/>
      <c r="B272" s="8"/>
      <c r="E272" s="3"/>
      <c r="F272" s="3"/>
      <c r="I272" s="10"/>
      <c r="K272" s="7"/>
      <c r="L272" s="7"/>
      <c r="O272" s="10"/>
      <c r="R272" s="10"/>
      <c r="U272" s="16"/>
      <c r="X272" s="10"/>
      <c r="AA272" s="10"/>
      <c r="AD272" s="10"/>
    </row>
    <row r="273" customFormat="false" ht="15.75" hidden="false" customHeight="false" outlineLevel="0" collapsed="false">
      <c r="A273" s="7"/>
      <c r="B273" s="8"/>
      <c r="E273" s="3"/>
      <c r="F273" s="3"/>
      <c r="I273" s="10"/>
      <c r="K273" s="7"/>
      <c r="L273" s="7"/>
      <c r="O273" s="10"/>
      <c r="R273" s="10"/>
      <c r="U273" s="16"/>
      <c r="X273" s="10"/>
      <c r="AA273" s="10"/>
      <c r="AD273" s="10"/>
    </row>
    <row r="274" customFormat="false" ht="15.75" hidden="false" customHeight="false" outlineLevel="0" collapsed="false">
      <c r="A274" s="7"/>
      <c r="B274" s="8"/>
      <c r="E274" s="3"/>
      <c r="F274" s="3"/>
      <c r="I274" s="10"/>
      <c r="K274" s="7"/>
      <c r="L274" s="7"/>
      <c r="O274" s="10"/>
      <c r="R274" s="10"/>
      <c r="U274" s="16"/>
      <c r="X274" s="10"/>
      <c r="AA274" s="10"/>
      <c r="AD274" s="10"/>
    </row>
    <row r="275" customFormat="false" ht="15.75" hidden="false" customHeight="false" outlineLevel="0" collapsed="false">
      <c r="A275" s="7"/>
      <c r="B275" s="8"/>
      <c r="E275" s="3"/>
      <c r="F275" s="3"/>
      <c r="I275" s="10"/>
      <c r="K275" s="7"/>
      <c r="L275" s="7"/>
      <c r="O275" s="10"/>
      <c r="R275" s="10"/>
      <c r="U275" s="16"/>
      <c r="X275" s="10"/>
      <c r="AA275" s="10"/>
      <c r="AD275" s="10"/>
    </row>
    <row r="276" customFormat="false" ht="15.75" hidden="false" customHeight="false" outlineLevel="0" collapsed="false">
      <c r="A276" s="7"/>
      <c r="B276" s="8"/>
      <c r="E276" s="3"/>
      <c r="F276" s="3"/>
      <c r="I276" s="10"/>
      <c r="K276" s="7"/>
      <c r="L276" s="7"/>
      <c r="O276" s="10"/>
      <c r="R276" s="10"/>
      <c r="U276" s="16"/>
      <c r="X276" s="10"/>
      <c r="AA276" s="10"/>
      <c r="AD276" s="10"/>
    </row>
    <row r="277" customFormat="false" ht="15.75" hidden="false" customHeight="false" outlineLevel="0" collapsed="false">
      <c r="A277" s="7"/>
      <c r="B277" s="8"/>
      <c r="E277" s="3"/>
      <c r="F277" s="3"/>
      <c r="I277" s="10"/>
      <c r="K277" s="7"/>
      <c r="L277" s="7"/>
      <c r="O277" s="10"/>
      <c r="R277" s="10"/>
      <c r="U277" s="16"/>
      <c r="X277" s="10"/>
      <c r="AA277" s="10"/>
      <c r="AD277" s="10"/>
    </row>
    <row r="278" customFormat="false" ht="15.75" hidden="false" customHeight="false" outlineLevel="0" collapsed="false">
      <c r="A278" s="7"/>
      <c r="B278" s="8"/>
      <c r="E278" s="3"/>
      <c r="F278" s="3"/>
      <c r="I278" s="10"/>
      <c r="K278" s="7"/>
      <c r="L278" s="7"/>
      <c r="O278" s="10"/>
      <c r="R278" s="10"/>
      <c r="U278" s="16"/>
      <c r="X278" s="10"/>
      <c r="AA278" s="10"/>
      <c r="AD278" s="10"/>
    </row>
    <row r="279" customFormat="false" ht="15.75" hidden="false" customHeight="false" outlineLevel="0" collapsed="false">
      <c r="A279" s="7"/>
      <c r="B279" s="8"/>
      <c r="E279" s="3"/>
      <c r="F279" s="3"/>
      <c r="I279" s="10"/>
      <c r="K279" s="7"/>
      <c r="L279" s="7"/>
      <c r="O279" s="10"/>
      <c r="R279" s="10"/>
      <c r="U279" s="16"/>
      <c r="X279" s="10"/>
      <c r="AA279" s="10"/>
      <c r="AD279" s="10"/>
    </row>
    <row r="280" customFormat="false" ht="15.75" hidden="false" customHeight="false" outlineLevel="0" collapsed="false">
      <c r="A280" s="7"/>
      <c r="B280" s="8"/>
      <c r="E280" s="3"/>
      <c r="F280" s="3"/>
      <c r="I280" s="10"/>
      <c r="K280" s="7"/>
      <c r="L280" s="7"/>
      <c r="O280" s="10"/>
      <c r="R280" s="10"/>
      <c r="U280" s="16"/>
      <c r="X280" s="10"/>
      <c r="AA280" s="10"/>
      <c r="AD280" s="10"/>
    </row>
    <row r="281" customFormat="false" ht="15.75" hidden="false" customHeight="false" outlineLevel="0" collapsed="false">
      <c r="A281" s="7"/>
      <c r="B281" s="8"/>
      <c r="E281" s="3"/>
      <c r="F281" s="3"/>
      <c r="I281" s="10"/>
      <c r="K281" s="7"/>
      <c r="L281" s="7"/>
      <c r="O281" s="10"/>
      <c r="R281" s="10"/>
      <c r="U281" s="16"/>
      <c r="X281" s="10"/>
      <c r="AA281" s="10"/>
      <c r="AD281" s="10"/>
    </row>
    <row r="282" customFormat="false" ht="15.75" hidden="false" customHeight="false" outlineLevel="0" collapsed="false">
      <c r="A282" s="7"/>
      <c r="B282" s="8"/>
      <c r="E282" s="3"/>
      <c r="F282" s="3"/>
      <c r="I282" s="10"/>
      <c r="K282" s="7"/>
      <c r="L282" s="7"/>
      <c r="O282" s="10"/>
      <c r="R282" s="10"/>
      <c r="U282" s="16"/>
      <c r="X282" s="10"/>
      <c r="AA282" s="10"/>
      <c r="AD282" s="10"/>
    </row>
    <row r="283" customFormat="false" ht="15.75" hidden="false" customHeight="false" outlineLevel="0" collapsed="false">
      <c r="A283" s="7"/>
      <c r="B283" s="8"/>
      <c r="E283" s="3"/>
      <c r="F283" s="3"/>
      <c r="I283" s="10"/>
      <c r="K283" s="7"/>
      <c r="L283" s="7"/>
      <c r="O283" s="10"/>
      <c r="R283" s="10"/>
      <c r="U283" s="16"/>
      <c r="X283" s="10"/>
      <c r="AA283" s="10"/>
      <c r="AD283" s="10"/>
    </row>
    <row r="284" customFormat="false" ht="15.75" hidden="false" customHeight="false" outlineLevel="0" collapsed="false">
      <c r="A284" s="7"/>
      <c r="B284" s="8"/>
      <c r="E284" s="3"/>
      <c r="F284" s="3"/>
      <c r="I284" s="10"/>
      <c r="K284" s="7"/>
      <c r="L284" s="7"/>
      <c r="O284" s="10"/>
      <c r="R284" s="10"/>
      <c r="U284" s="16"/>
      <c r="X284" s="10"/>
      <c r="AA284" s="10"/>
      <c r="AD284" s="10"/>
    </row>
    <row r="285" customFormat="false" ht="15.75" hidden="false" customHeight="false" outlineLevel="0" collapsed="false">
      <c r="A285" s="7"/>
      <c r="B285" s="8"/>
      <c r="E285" s="3"/>
      <c r="F285" s="3"/>
      <c r="I285" s="10"/>
      <c r="K285" s="7"/>
      <c r="L285" s="7"/>
      <c r="O285" s="10"/>
      <c r="R285" s="10"/>
      <c r="U285" s="16"/>
      <c r="X285" s="10"/>
      <c r="AA285" s="10"/>
      <c r="AD285" s="10"/>
    </row>
    <row r="286" customFormat="false" ht="15.75" hidden="false" customHeight="false" outlineLevel="0" collapsed="false">
      <c r="A286" s="7"/>
      <c r="B286" s="8"/>
      <c r="E286" s="3"/>
      <c r="F286" s="3"/>
      <c r="I286" s="10"/>
      <c r="K286" s="7"/>
      <c r="L286" s="7"/>
      <c r="O286" s="10"/>
      <c r="R286" s="10"/>
      <c r="U286" s="16"/>
      <c r="X286" s="10"/>
      <c r="AA286" s="10"/>
      <c r="AD286" s="10"/>
    </row>
    <row r="287" customFormat="false" ht="15.75" hidden="false" customHeight="false" outlineLevel="0" collapsed="false">
      <c r="A287" s="7"/>
      <c r="B287" s="8"/>
      <c r="E287" s="3"/>
      <c r="F287" s="3"/>
      <c r="I287" s="10"/>
      <c r="K287" s="7"/>
      <c r="L287" s="7"/>
      <c r="O287" s="10"/>
      <c r="R287" s="10"/>
      <c r="U287" s="16"/>
      <c r="X287" s="10"/>
      <c r="AA287" s="10"/>
      <c r="AD287" s="10"/>
    </row>
    <row r="288" customFormat="false" ht="15.75" hidden="false" customHeight="false" outlineLevel="0" collapsed="false">
      <c r="A288" s="7"/>
      <c r="B288" s="8"/>
      <c r="E288" s="3"/>
      <c r="F288" s="3"/>
      <c r="I288" s="10"/>
      <c r="K288" s="7"/>
      <c r="L288" s="7"/>
      <c r="O288" s="10"/>
      <c r="R288" s="10"/>
      <c r="U288" s="16"/>
      <c r="X288" s="10"/>
      <c r="AA288" s="10"/>
      <c r="AD288" s="10"/>
    </row>
    <row r="289" customFormat="false" ht="15.75" hidden="false" customHeight="false" outlineLevel="0" collapsed="false">
      <c r="A289" s="7"/>
      <c r="B289" s="8"/>
      <c r="E289" s="3"/>
      <c r="F289" s="3"/>
      <c r="I289" s="10"/>
      <c r="K289" s="7"/>
      <c r="L289" s="7"/>
      <c r="O289" s="10"/>
      <c r="R289" s="10"/>
      <c r="U289" s="16"/>
      <c r="X289" s="10"/>
      <c r="AA289" s="10"/>
      <c r="AD289" s="10"/>
    </row>
    <row r="290" customFormat="false" ht="15.75" hidden="false" customHeight="false" outlineLevel="0" collapsed="false">
      <c r="A290" s="7"/>
      <c r="B290" s="8"/>
      <c r="E290" s="3"/>
      <c r="F290" s="3"/>
      <c r="I290" s="10"/>
      <c r="K290" s="7"/>
      <c r="L290" s="7"/>
      <c r="O290" s="10"/>
      <c r="R290" s="10"/>
      <c r="U290" s="16"/>
      <c r="X290" s="10"/>
      <c r="AA290" s="10"/>
      <c r="AD290" s="10"/>
    </row>
    <row r="291" customFormat="false" ht="15.75" hidden="false" customHeight="false" outlineLevel="0" collapsed="false">
      <c r="A291" s="7"/>
      <c r="B291" s="8"/>
      <c r="E291" s="3"/>
      <c r="F291" s="3"/>
      <c r="I291" s="10"/>
      <c r="K291" s="7"/>
      <c r="L291" s="7"/>
      <c r="O291" s="10"/>
      <c r="R291" s="10"/>
      <c r="U291" s="16"/>
      <c r="X291" s="10"/>
      <c r="AA291" s="10"/>
      <c r="AD291" s="10"/>
    </row>
    <row r="292" customFormat="false" ht="15.75" hidden="false" customHeight="false" outlineLevel="0" collapsed="false">
      <c r="A292" s="7"/>
      <c r="B292" s="8"/>
      <c r="E292" s="3"/>
      <c r="F292" s="3"/>
      <c r="I292" s="10"/>
      <c r="K292" s="7"/>
      <c r="L292" s="7"/>
      <c r="O292" s="10"/>
      <c r="R292" s="10"/>
      <c r="U292" s="16"/>
      <c r="X292" s="10"/>
      <c r="AA292" s="10"/>
      <c r="AD292" s="10"/>
    </row>
    <row r="293" customFormat="false" ht="15.75" hidden="false" customHeight="false" outlineLevel="0" collapsed="false">
      <c r="A293" s="7"/>
      <c r="B293" s="8"/>
      <c r="E293" s="3"/>
      <c r="F293" s="3"/>
      <c r="I293" s="10"/>
      <c r="K293" s="7"/>
      <c r="L293" s="7"/>
      <c r="O293" s="10"/>
      <c r="R293" s="10"/>
      <c r="U293" s="16"/>
      <c r="X293" s="10"/>
      <c r="AA293" s="10"/>
      <c r="AD293" s="10"/>
    </row>
    <row r="294" customFormat="false" ht="15.75" hidden="false" customHeight="false" outlineLevel="0" collapsed="false">
      <c r="A294" s="7"/>
      <c r="B294" s="8"/>
      <c r="E294" s="3"/>
      <c r="F294" s="3"/>
      <c r="I294" s="10"/>
      <c r="K294" s="7"/>
      <c r="L294" s="7"/>
      <c r="O294" s="10"/>
      <c r="R294" s="10"/>
      <c r="U294" s="16"/>
      <c r="X294" s="10"/>
      <c r="AA294" s="10"/>
      <c r="AD294" s="10"/>
    </row>
    <row r="295" customFormat="false" ht="15.75" hidden="false" customHeight="false" outlineLevel="0" collapsed="false">
      <c r="A295" s="7"/>
      <c r="B295" s="8"/>
      <c r="E295" s="3"/>
      <c r="F295" s="3"/>
      <c r="I295" s="10"/>
      <c r="K295" s="7"/>
      <c r="L295" s="7"/>
      <c r="O295" s="10"/>
      <c r="R295" s="10"/>
      <c r="U295" s="16"/>
      <c r="X295" s="10"/>
      <c r="AA295" s="10"/>
      <c r="AD295" s="10"/>
    </row>
    <row r="296" customFormat="false" ht="15.75" hidden="false" customHeight="false" outlineLevel="0" collapsed="false">
      <c r="A296" s="7"/>
      <c r="B296" s="8"/>
      <c r="E296" s="3"/>
      <c r="F296" s="3"/>
      <c r="I296" s="10"/>
      <c r="K296" s="7"/>
      <c r="L296" s="7"/>
      <c r="O296" s="10"/>
      <c r="R296" s="10"/>
      <c r="U296" s="16"/>
      <c r="X296" s="10"/>
      <c r="AA296" s="10"/>
      <c r="AD296" s="10"/>
    </row>
    <row r="297" customFormat="false" ht="15.75" hidden="false" customHeight="false" outlineLevel="0" collapsed="false">
      <c r="A297" s="7"/>
      <c r="B297" s="8"/>
      <c r="E297" s="3"/>
      <c r="F297" s="3"/>
      <c r="I297" s="10"/>
      <c r="K297" s="7"/>
      <c r="L297" s="7"/>
      <c r="O297" s="10"/>
      <c r="R297" s="10"/>
      <c r="U297" s="16"/>
      <c r="X297" s="10"/>
      <c r="AA297" s="10"/>
      <c r="AD297" s="10"/>
    </row>
    <row r="298" customFormat="false" ht="15.75" hidden="false" customHeight="false" outlineLevel="0" collapsed="false">
      <c r="A298" s="7"/>
      <c r="B298" s="8"/>
      <c r="E298" s="3"/>
      <c r="F298" s="3"/>
      <c r="I298" s="10"/>
      <c r="K298" s="7"/>
      <c r="L298" s="7"/>
      <c r="O298" s="10"/>
      <c r="R298" s="10"/>
      <c r="U298" s="16"/>
      <c r="X298" s="10"/>
      <c r="AA298" s="10"/>
      <c r="AD298" s="10"/>
    </row>
    <row r="299" customFormat="false" ht="15.75" hidden="false" customHeight="false" outlineLevel="0" collapsed="false">
      <c r="A299" s="7"/>
      <c r="B299" s="8"/>
      <c r="E299" s="3"/>
      <c r="F299" s="3"/>
      <c r="I299" s="10"/>
      <c r="K299" s="7"/>
      <c r="L299" s="7"/>
      <c r="O299" s="10"/>
      <c r="R299" s="10"/>
      <c r="U299" s="16"/>
      <c r="X299" s="10"/>
      <c r="AA299" s="10"/>
      <c r="AD299" s="10"/>
    </row>
    <row r="300" customFormat="false" ht="15.75" hidden="false" customHeight="false" outlineLevel="0" collapsed="false">
      <c r="A300" s="7"/>
      <c r="B300" s="8"/>
      <c r="E300" s="3"/>
      <c r="F300" s="3"/>
      <c r="I300" s="10"/>
      <c r="K300" s="7"/>
      <c r="L300" s="7"/>
      <c r="O300" s="10"/>
      <c r="R300" s="10"/>
      <c r="U300" s="16"/>
      <c r="X300" s="10"/>
      <c r="AA300" s="10"/>
      <c r="AD300" s="10"/>
    </row>
    <row r="301" customFormat="false" ht="15.75" hidden="false" customHeight="false" outlineLevel="0" collapsed="false">
      <c r="A301" s="7"/>
      <c r="B301" s="8"/>
      <c r="E301" s="3"/>
      <c r="F301" s="3"/>
      <c r="I301" s="10"/>
      <c r="K301" s="7"/>
      <c r="L301" s="7"/>
      <c r="O301" s="10"/>
      <c r="R301" s="10"/>
      <c r="U301" s="16"/>
      <c r="X301" s="10"/>
      <c r="AA301" s="10"/>
      <c r="AD301" s="10"/>
    </row>
    <row r="302" customFormat="false" ht="15.75" hidden="false" customHeight="false" outlineLevel="0" collapsed="false">
      <c r="A302" s="7"/>
      <c r="B302" s="8"/>
      <c r="E302" s="3"/>
      <c r="F302" s="3"/>
      <c r="I302" s="10"/>
      <c r="K302" s="7"/>
      <c r="L302" s="7"/>
      <c r="O302" s="10"/>
      <c r="R302" s="10"/>
      <c r="U302" s="16"/>
      <c r="X302" s="10"/>
      <c r="AA302" s="10"/>
      <c r="AD302" s="10"/>
    </row>
    <row r="303" customFormat="false" ht="15.75" hidden="false" customHeight="false" outlineLevel="0" collapsed="false">
      <c r="A303" s="7"/>
      <c r="B303" s="8"/>
      <c r="E303" s="3"/>
      <c r="F303" s="3"/>
      <c r="I303" s="10"/>
      <c r="K303" s="7"/>
      <c r="L303" s="7"/>
      <c r="O303" s="10"/>
      <c r="R303" s="10"/>
      <c r="U303" s="16"/>
      <c r="X303" s="10"/>
      <c r="AA303" s="10"/>
      <c r="AD303" s="10"/>
    </row>
    <row r="304" customFormat="false" ht="15.75" hidden="false" customHeight="false" outlineLevel="0" collapsed="false">
      <c r="A304" s="7"/>
      <c r="B304" s="8"/>
      <c r="E304" s="3"/>
      <c r="F304" s="3"/>
      <c r="I304" s="10"/>
      <c r="K304" s="7"/>
      <c r="L304" s="7"/>
      <c r="O304" s="10"/>
      <c r="R304" s="10"/>
      <c r="U304" s="16"/>
      <c r="X304" s="10"/>
      <c r="AA304" s="10"/>
      <c r="AD304" s="10"/>
    </row>
    <row r="305" customFormat="false" ht="15.75" hidden="false" customHeight="false" outlineLevel="0" collapsed="false">
      <c r="A305" s="7"/>
      <c r="B305" s="8"/>
      <c r="E305" s="3"/>
      <c r="F305" s="3"/>
      <c r="I305" s="10"/>
      <c r="K305" s="7"/>
      <c r="L305" s="7"/>
      <c r="O305" s="10"/>
      <c r="R305" s="10"/>
      <c r="U305" s="16"/>
      <c r="X305" s="10"/>
      <c r="AA305" s="10"/>
      <c r="AD305" s="10"/>
    </row>
    <row r="306" customFormat="false" ht="15.75" hidden="false" customHeight="false" outlineLevel="0" collapsed="false">
      <c r="A306" s="7"/>
      <c r="B306" s="8"/>
      <c r="E306" s="3"/>
      <c r="F306" s="3"/>
      <c r="I306" s="10"/>
      <c r="K306" s="7"/>
      <c r="L306" s="7"/>
      <c r="O306" s="10"/>
      <c r="R306" s="10"/>
      <c r="U306" s="16"/>
      <c r="X306" s="10"/>
      <c r="AA306" s="10"/>
      <c r="AD306" s="10"/>
    </row>
    <row r="307" customFormat="false" ht="15.75" hidden="false" customHeight="false" outlineLevel="0" collapsed="false">
      <c r="A307" s="7"/>
      <c r="B307" s="8"/>
      <c r="E307" s="3"/>
      <c r="F307" s="3"/>
      <c r="I307" s="10"/>
      <c r="K307" s="7"/>
      <c r="L307" s="7"/>
      <c r="O307" s="10"/>
      <c r="R307" s="10"/>
      <c r="U307" s="16"/>
      <c r="X307" s="10"/>
      <c r="AA307" s="10"/>
      <c r="AD307" s="10"/>
    </row>
    <row r="308" customFormat="false" ht="15.75" hidden="false" customHeight="false" outlineLevel="0" collapsed="false">
      <c r="A308" s="7"/>
      <c r="B308" s="8"/>
      <c r="E308" s="3"/>
      <c r="F308" s="3"/>
      <c r="I308" s="10"/>
      <c r="K308" s="7"/>
      <c r="L308" s="7"/>
      <c r="O308" s="10"/>
      <c r="R308" s="10"/>
      <c r="U308" s="16"/>
      <c r="X308" s="10"/>
      <c r="AA308" s="10"/>
      <c r="AD308" s="10"/>
    </row>
    <row r="309" customFormat="false" ht="15.75" hidden="false" customHeight="false" outlineLevel="0" collapsed="false">
      <c r="A309" s="7"/>
      <c r="B309" s="8"/>
      <c r="E309" s="3"/>
      <c r="F309" s="3"/>
      <c r="I309" s="10"/>
      <c r="K309" s="7"/>
      <c r="L309" s="7"/>
      <c r="O309" s="10"/>
      <c r="R309" s="10"/>
      <c r="U309" s="16"/>
      <c r="X309" s="10"/>
      <c r="AA309" s="10"/>
      <c r="AD309" s="10"/>
    </row>
    <row r="310" customFormat="false" ht="15.75" hidden="false" customHeight="false" outlineLevel="0" collapsed="false">
      <c r="A310" s="7"/>
      <c r="B310" s="8"/>
      <c r="E310" s="3"/>
      <c r="F310" s="3"/>
      <c r="I310" s="10"/>
      <c r="K310" s="7"/>
      <c r="L310" s="7"/>
      <c r="O310" s="10"/>
      <c r="R310" s="10"/>
      <c r="U310" s="16"/>
      <c r="X310" s="10"/>
      <c r="AA310" s="10"/>
      <c r="AD310" s="10"/>
    </row>
    <row r="311" customFormat="false" ht="15.75" hidden="false" customHeight="false" outlineLevel="0" collapsed="false">
      <c r="A311" s="7"/>
      <c r="B311" s="8"/>
      <c r="E311" s="3"/>
      <c r="F311" s="3"/>
      <c r="I311" s="10"/>
      <c r="K311" s="7"/>
      <c r="L311" s="7"/>
      <c r="O311" s="10"/>
      <c r="R311" s="10"/>
      <c r="U311" s="16"/>
      <c r="X311" s="10"/>
      <c r="AA311" s="10"/>
      <c r="AD311" s="10"/>
    </row>
    <row r="312" customFormat="false" ht="15.75" hidden="false" customHeight="false" outlineLevel="0" collapsed="false">
      <c r="A312" s="7"/>
      <c r="B312" s="8"/>
      <c r="E312" s="3"/>
      <c r="F312" s="3"/>
      <c r="I312" s="10"/>
      <c r="K312" s="7"/>
      <c r="L312" s="7"/>
      <c r="O312" s="10"/>
      <c r="R312" s="10"/>
      <c r="U312" s="16"/>
      <c r="X312" s="10"/>
      <c r="AA312" s="10"/>
      <c r="AD312" s="10"/>
    </row>
    <row r="313" customFormat="false" ht="15.75" hidden="false" customHeight="false" outlineLevel="0" collapsed="false">
      <c r="A313" s="7"/>
      <c r="B313" s="8"/>
      <c r="E313" s="3"/>
      <c r="F313" s="3"/>
      <c r="I313" s="10"/>
      <c r="K313" s="7"/>
      <c r="L313" s="7"/>
      <c r="O313" s="10"/>
      <c r="R313" s="10"/>
      <c r="U313" s="16"/>
      <c r="X313" s="10"/>
      <c r="AA313" s="10"/>
      <c r="AD313" s="10"/>
    </row>
    <row r="314" customFormat="false" ht="15.75" hidden="false" customHeight="false" outlineLevel="0" collapsed="false">
      <c r="A314" s="7"/>
      <c r="B314" s="8"/>
      <c r="E314" s="3"/>
      <c r="F314" s="3"/>
      <c r="I314" s="10"/>
      <c r="K314" s="7"/>
      <c r="L314" s="7"/>
      <c r="O314" s="10"/>
      <c r="R314" s="10"/>
      <c r="U314" s="16"/>
      <c r="X314" s="10"/>
      <c r="AA314" s="10"/>
      <c r="AD314" s="10"/>
    </row>
    <row r="315" customFormat="false" ht="15.75" hidden="false" customHeight="false" outlineLevel="0" collapsed="false">
      <c r="A315" s="7"/>
      <c r="B315" s="8"/>
      <c r="E315" s="3"/>
      <c r="F315" s="3"/>
      <c r="I315" s="10"/>
      <c r="K315" s="7"/>
      <c r="L315" s="7"/>
      <c r="O315" s="10"/>
      <c r="R315" s="10"/>
      <c r="U315" s="16"/>
      <c r="X315" s="10"/>
      <c r="AA315" s="10"/>
      <c r="AD315" s="10"/>
    </row>
    <row r="316" customFormat="false" ht="15.75" hidden="false" customHeight="false" outlineLevel="0" collapsed="false">
      <c r="A316" s="7"/>
      <c r="B316" s="8"/>
      <c r="E316" s="3"/>
      <c r="F316" s="3"/>
      <c r="I316" s="10"/>
      <c r="K316" s="7"/>
      <c r="L316" s="7"/>
      <c r="O316" s="10"/>
      <c r="R316" s="10"/>
      <c r="U316" s="16"/>
      <c r="X316" s="10"/>
      <c r="AA316" s="10"/>
      <c r="AD316" s="10"/>
    </row>
    <row r="317" customFormat="false" ht="15.75" hidden="false" customHeight="false" outlineLevel="0" collapsed="false">
      <c r="A317" s="7"/>
      <c r="B317" s="8"/>
      <c r="E317" s="3"/>
      <c r="F317" s="3"/>
      <c r="I317" s="10"/>
      <c r="K317" s="7"/>
      <c r="L317" s="7"/>
      <c r="O317" s="10"/>
      <c r="R317" s="10"/>
      <c r="U317" s="16"/>
      <c r="X317" s="10"/>
      <c r="AA317" s="10"/>
      <c r="AD317" s="10"/>
    </row>
    <row r="318" customFormat="false" ht="15.75" hidden="false" customHeight="false" outlineLevel="0" collapsed="false">
      <c r="A318" s="7"/>
      <c r="B318" s="8"/>
      <c r="E318" s="3"/>
      <c r="F318" s="3"/>
      <c r="I318" s="10"/>
      <c r="K318" s="7"/>
      <c r="L318" s="7"/>
      <c r="O318" s="10"/>
      <c r="R318" s="10"/>
      <c r="U318" s="16"/>
      <c r="X318" s="10"/>
      <c r="AA318" s="10"/>
      <c r="AD318" s="10"/>
    </row>
    <row r="319" customFormat="false" ht="15.75" hidden="false" customHeight="false" outlineLevel="0" collapsed="false">
      <c r="A319" s="7"/>
      <c r="B319" s="8"/>
      <c r="E319" s="3"/>
      <c r="F319" s="3"/>
      <c r="I319" s="10"/>
      <c r="K319" s="7"/>
      <c r="L319" s="7"/>
      <c r="O319" s="10"/>
      <c r="R319" s="10"/>
      <c r="U319" s="16"/>
      <c r="X319" s="10"/>
      <c r="AA319" s="10"/>
      <c r="AD319" s="10"/>
    </row>
    <row r="320" customFormat="false" ht="15.75" hidden="false" customHeight="false" outlineLevel="0" collapsed="false">
      <c r="A320" s="7"/>
      <c r="B320" s="8"/>
      <c r="E320" s="3"/>
      <c r="F320" s="3"/>
      <c r="I320" s="10"/>
      <c r="K320" s="7"/>
      <c r="L320" s="7"/>
      <c r="O320" s="10"/>
      <c r="R320" s="10"/>
      <c r="U320" s="16"/>
      <c r="X320" s="10"/>
      <c r="AA320" s="10"/>
      <c r="AD320" s="10"/>
    </row>
    <row r="321" customFormat="false" ht="15.75" hidden="false" customHeight="false" outlineLevel="0" collapsed="false">
      <c r="A321" s="7"/>
      <c r="B321" s="8"/>
      <c r="E321" s="3"/>
      <c r="F321" s="3"/>
      <c r="I321" s="10"/>
      <c r="K321" s="7"/>
      <c r="L321" s="7"/>
      <c r="O321" s="10"/>
      <c r="R321" s="10"/>
      <c r="U321" s="16"/>
      <c r="X321" s="10"/>
      <c r="AA321" s="10"/>
      <c r="AD321" s="10"/>
    </row>
    <row r="322" customFormat="false" ht="15.75" hidden="false" customHeight="false" outlineLevel="0" collapsed="false">
      <c r="A322" s="7"/>
      <c r="B322" s="8"/>
      <c r="E322" s="3"/>
      <c r="F322" s="3"/>
      <c r="I322" s="10"/>
      <c r="K322" s="7"/>
      <c r="L322" s="7"/>
      <c r="O322" s="10"/>
      <c r="R322" s="10"/>
      <c r="U322" s="16"/>
      <c r="X322" s="10"/>
      <c r="AA322" s="10"/>
      <c r="AD322" s="10"/>
    </row>
    <row r="323" customFormat="false" ht="15.75" hidden="false" customHeight="false" outlineLevel="0" collapsed="false">
      <c r="A323" s="7"/>
      <c r="B323" s="8"/>
      <c r="E323" s="3"/>
      <c r="F323" s="3"/>
      <c r="I323" s="10"/>
      <c r="K323" s="7"/>
      <c r="L323" s="7"/>
      <c r="O323" s="10"/>
      <c r="R323" s="10"/>
      <c r="U323" s="16"/>
      <c r="X323" s="10"/>
      <c r="AA323" s="10"/>
      <c r="AD323" s="10"/>
    </row>
    <row r="324" customFormat="false" ht="15.75" hidden="false" customHeight="false" outlineLevel="0" collapsed="false">
      <c r="A324" s="7"/>
      <c r="B324" s="8"/>
      <c r="E324" s="3"/>
      <c r="F324" s="3"/>
      <c r="I324" s="10"/>
      <c r="K324" s="7"/>
      <c r="L324" s="7"/>
      <c r="O324" s="10"/>
      <c r="R324" s="10"/>
      <c r="U324" s="16"/>
      <c r="X324" s="10"/>
      <c r="AA324" s="10"/>
      <c r="AD324" s="10"/>
    </row>
    <row r="325" customFormat="false" ht="15.75" hidden="false" customHeight="false" outlineLevel="0" collapsed="false">
      <c r="A325" s="7"/>
      <c r="B325" s="8"/>
      <c r="E325" s="3"/>
      <c r="F325" s="3"/>
      <c r="I325" s="10"/>
      <c r="K325" s="7"/>
      <c r="L325" s="7"/>
      <c r="O325" s="10"/>
      <c r="R325" s="10"/>
      <c r="U325" s="16"/>
      <c r="X325" s="10"/>
      <c r="AA325" s="10"/>
      <c r="AD325" s="10"/>
    </row>
    <row r="326" customFormat="false" ht="15.75" hidden="false" customHeight="false" outlineLevel="0" collapsed="false">
      <c r="A326" s="7"/>
      <c r="B326" s="8"/>
      <c r="E326" s="3"/>
      <c r="F326" s="3"/>
      <c r="I326" s="10"/>
      <c r="K326" s="7"/>
      <c r="L326" s="7"/>
      <c r="O326" s="10"/>
      <c r="R326" s="10"/>
      <c r="U326" s="16"/>
      <c r="X326" s="10"/>
      <c r="AA326" s="10"/>
      <c r="AD326" s="10"/>
    </row>
    <row r="327" customFormat="false" ht="15.75" hidden="false" customHeight="false" outlineLevel="0" collapsed="false">
      <c r="A327" s="7"/>
      <c r="B327" s="8"/>
      <c r="E327" s="3"/>
      <c r="F327" s="3"/>
      <c r="I327" s="10"/>
      <c r="K327" s="7"/>
      <c r="L327" s="7"/>
      <c r="O327" s="10"/>
      <c r="R327" s="10"/>
      <c r="U327" s="16"/>
      <c r="X327" s="10"/>
      <c r="AA327" s="10"/>
      <c r="AD327" s="10"/>
    </row>
    <row r="328" customFormat="false" ht="15.75" hidden="false" customHeight="false" outlineLevel="0" collapsed="false">
      <c r="A328" s="7"/>
      <c r="B328" s="8"/>
      <c r="E328" s="3"/>
      <c r="F328" s="3"/>
      <c r="I328" s="10"/>
      <c r="K328" s="7"/>
      <c r="L328" s="7"/>
      <c r="O328" s="10"/>
      <c r="R328" s="10"/>
      <c r="U328" s="16"/>
      <c r="X328" s="10"/>
      <c r="AA328" s="10"/>
      <c r="AD328" s="10"/>
    </row>
    <row r="329" customFormat="false" ht="15.75" hidden="false" customHeight="false" outlineLevel="0" collapsed="false">
      <c r="A329" s="7"/>
      <c r="B329" s="8"/>
      <c r="E329" s="3"/>
      <c r="F329" s="3"/>
      <c r="I329" s="10"/>
      <c r="K329" s="7"/>
      <c r="L329" s="7"/>
      <c r="O329" s="10"/>
      <c r="R329" s="10"/>
      <c r="U329" s="16"/>
      <c r="X329" s="10"/>
      <c r="AA329" s="10"/>
      <c r="AD329" s="10"/>
    </row>
    <row r="330" customFormat="false" ht="15.75" hidden="false" customHeight="false" outlineLevel="0" collapsed="false">
      <c r="A330" s="7"/>
      <c r="B330" s="8"/>
      <c r="E330" s="3"/>
      <c r="F330" s="3"/>
      <c r="I330" s="10"/>
      <c r="K330" s="7"/>
      <c r="L330" s="7"/>
      <c r="O330" s="10"/>
      <c r="R330" s="10"/>
      <c r="U330" s="16"/>
      <c r="X330" s="10"/>
      <c r="AA330" s="10"/>
      <c r="AD330" s="10"/>
    </row>
    <row r="331" customFormat="false" ht="15.75" hidden="false" customHeight="false" outlineLevel="0" collapsed="false">
      <c r="A331" s="7"/>
      <c r="B331" s="8"/>
      <c r="E331" s="3"/>
      <c r="F331" s="3"/>
      <c r="I331" s="10"/>
      <c r="K331" s="7"/>
      <c r="L331" s="7"/>
      <c r="O331" s="10"/>
      <c r="R331" s="10"/>
      <c r="U331" s="16"/>
      <c r="X331" s="10"/>
      <c r="AA331" s="10"/>
      <c r="AD331" s="10"/>
    </row>
    <row r="332" customFormat="false" ht="15.75" hidden="false" customHeight="false" outlineLevel="0" collapsed="false">
      <c r="A332" s="7"/>
      <c r="B332" s="8"/>
      <c r="E332" s="3"/>
      <c r="F332" s="3"/>
      <c r="I332" s="10"/>
      <c r="K332" s="7"/>
      <c r="L332" s="7"/>
      <c r="O332" s="10"/>
      <c r="R332" s="10"/>
      <c r="U332" s="16"/>
      <c r="X332" s="10"/>
      <c r="AA332" s="10"/>
      <c r="AD332" s="10"/>
    </row>
    <row r="333" customFormat="false" ht="15.75" hidden="false" customHeight="false" outlineLevel="0" collapsed="false">
      <c r="A333" s="7"/>
      <c r="B333" s="8"/>
      <c r="E333" s="3"/>
      <c r="F333" s="3"/>
      <c r="I333" s="10"/>
      <c r="K333" s="7"/>
      <c r="L333" s="7"/>
      <c r="O333" s="10"/>
      <c r="R333" s="10"/>
      <c r="U333" s="16"/>
      <c r="X333" s="10"/>
      <c r="AA333" s="10"/>
      <c r="AD333" s="10"/>
    </row>
    <row r="334" customFormat="false" ht="15.75" hidden="false" customHeight="false" outlineLevel="0" collapsed="false">
      <c r="A334" s="7"/>
      <c r="B334" s="8"/>
      <c r="E334" s="3"/>
      <c r="F334" s="3"/>
      <c r="I334" s="10"/>
      <c r="K334" s="7"/>
      <c r="L334" s="7"/>
      <c r="O334" s="10"/>
      <c r="R334" s="10"/>
      <c r="U334" s="16"/>
      <c r="X334" s="10"/>
      <c r="AA334" s="10"/>
      <c r="AD334" s="10"/>
    </row>
    <row r="335" customFormat="false" ht="15.75" hidden="false" customHeight="false" outlineLevel="0" collapsed="false">
      <c r="A335" s="7"/>
      <c r="B335" s="8"/>
      <c r="E335" s="3"/>
      <c r="F335" s="3"/>
      <c r="I335" s="10"/>
      <c r="K335" s="7"/>
      <c r="L335" s="7"/>
      <c r="O335" s="10"/>
      <c r="R335" s="10"/>
      <c r="U335" s="16"/>
      <c r="X335" s="10"/>
      <c r="AA335" s="10"/>
      <c r="AD335" s="10"/>
    </row>
    <row r="336" customFormat="false" ht="15.75" hidden="false" customHeight="false" outlineLevel="0" collapsed="false">
      <c r="A336" s="7"/>
      <c r="B336" s="8"/>
      <c r="E336" s="3"/>
      <c r="F336" s="3"/>
      <c r="I336" s="10"/>
      <c r="K336" s="7"/>
      <c r="L336" s="7"/>
      <c r="O336" s="10"/>
      <c r="R336" s="10"/>
      <c r="U336" s="16"/>
      <c r="X336" s="10"/>
      <c r="AA336" s="10"/>
      <c r="AD336" s="10"/>
    </row>
    <row r="337" customFormat="false" ht="15.75" hidden="false" customHeight="false" outlineLevel="0" collapsed="false">
      <c r="A337" s="7"/>
      <c r="B337" s="8"/>
      <c r="E337" s="3"/>
      <c r="F337" s="3"/>
      <c r="I337" s="10"/>
      <c r="K337" s="7"/>
      <c r="L337" s="7"/>
      <c r="O337" s="10"/>
      <c r="R337" s="10"/>
      <c r="U337" s="16"/>
      <c r="X337" s="10"/>
      <c r="AA337" s="10"/>
      <c r="AD337" s="10"/>
    </row>
    <row r="338" customFormat="false" ht="15.75" hidden="false" customHeight="false" outlineLevel="0" collapsed="false">
      <c r="A338" s="7"/>
      <c r="B338" s="8"/>
      <c r="E338" s="3"/>
      <c r="F338" s="3"/>
      <c r="I338" s="10"/>
      <c r="K338" s="7"/>
      <c r="L338" s="7"/>
      <c r="O338" s="10"/>
      <c r="R338" s="10"/>
      <c r="U338" s="16"/>
      <c r="X338" s="10"/>
      <c r="AA338" s="10"/>
      <c r="AD338" s="10"/>
    </row>
    <row r="339" customFormat="false" ht="15.75" hidden="false" customHeight="false" outlineLevel="0" collapsed="false">
      <c r="A339" s="7"/>
      <c r="B339" s="8"/>
      <c r="E339" s="3"/>
      <c r="F339" s="3"/>
      <c r="I339" s="10"/>
      <c r="K339" s="7"/>
      <c r="L339" s="7"/>
      <c r="O339" s="10"/>
      <c r="R339" s="10"/>
      <c r="U339" s="16"/>
      <c r="X339" s="10"/>
      <c r="AA339" s="10"/>
      <c r="AD339" s="10"/>
    </row>
    <row r="340" customFormat="false" ht="15.75" hidden="false" customHeight="false" outlineLevel="0" collapsed="false">
      <c r="A340" s="7"/>
      <c r="B340" s="8"/>
      <c r="E340" s="3"/>
      <c r="F340" s="3"/>
      <c r="I340" s="10"/>
      <c r="K340" s="7"/>
      <c r="L340" s="7"/>
      <c r="O340" s="10"/>
      <c r="R340" s="10"/>
      <c r="U340" s="16"/>
      <c r="X340" s="10"/>
      <c r="AA340" s="10"/>
      <c r="AD340" s="10"/>
    </row>
    <row r="341" customFormat="false" ht="15.75" hidden="false" customHeight="false" outlineLevel="0" collapsed="false">
      <c r="A341" s="7"/>
      <c r="B341" s="8"/>
      <c r="E341" s="3"/>
      <c r="F341" s="3"/>
      <c r="I341" s="10"/>
      <c r="K341" s="7"/>
      <c r="L341" s="7"/>
      <c r="O341" s="10"/>
      <c r="R341" s="10"/>
      <c r="U341" s="16"/>
      <c r="X341" s="10"/>
      <c r="AA341" s="10"/>
      <c r="AD341" s="10"/>
    </row>
    <row r="342" customFormat="false" ht="15.75" hidden="false" customHeight="false" outlineLevel="0" collapsed="false">
      <c r="A342" s="7"/>
      <c r="B342" s="8"/>
      <c r="E342" s="3"/>
      <c r="F342" s="3"/>
      <c r="I342" s="10"/>
      <c r="K342" s="7"/>
      <c r="L342" s="7"/>
      <c r="O342" s="10"/>
      <c r="R342" s="10"/>
      <c r="U342" s="16"/>
      <c r="X342" s="10"/>
      <c r="AA342" s="10"/>
      <c r="AD342" s="10"/>
    </row>
    <row r="343" customFormat="false" ht="15.75" hidden="false" customHeight="false" outlineLevel="0" collapsed="false">
      <c r="A343" s="7"/>
      <c r="B343" s="8"/>
      <c r="E343" s="3"/>
      <c r="F343" s="3"/>
      <c r="I343" s="10"/>
      <c r="K343" s="7"/>
      <c r="L343" s="7"/>
      <c r="O343" s="10"/>
      <c r="R343" s="10"/>
      <c r="U343" s="16"/>
      <c r="X343" s="10"/>
      <c r="AA343" s="10"/>
      <c r="AD343" s="10"/>
    </row>
    <row r="344" customFormat="false" ht="15.75" hidden="false" customHeight="false" outlineLevel="0" collapsed="false">
      <c r="A344" s="7"/>
      <c r="B344" s="8"/>
      <c r="E344" s="3"/>
      <c r="F344" s="3"/>
      <c r="I344" s="10"/>
      <c r="K344" s="7"/>
      <c r="L344" s="7"/>
      <c r="O344" s="10"/>
      <c r="R344" s="10"/>
      <c r="U344" s="16"/>
      <c r="X344" s="10"/>
      <c r="AA344" s="10"/>
      <c r="AD344" s="10"/>
    </row>
    <row r="345" customFormat="false" ht="15.75" hidden="false" customHeight="false" outlineLevel="0" collapsed="false">
      <c r="A345" s="7"/>
      <c r="B345" s="8"/>
      <c r="E345" s="3"/>
      <c r="F345" s="3"/>
      <c r="I345" s="10"/>
      <c r="K345" s="7"/>
      <c r="L345" s="7"/>
      <c r="O345" s="10"/>
      <c r="R345" s="10"/>
      <c r="U345" s="16"/>
      <c r="X345" s="10"/>
      <c r="AA345" s="10"/>
      <c r="AD345" s="10"/>
    </row>
    <row r="346" customFormat="false" ht="15.75" hidden="false" customHeight="false" outlineLevel="0" collapsed="false">
      <c r="A346" s="7"/>
      <c r="B346" s="8"/>
      <c r="E346" s="3"/>
      <c r="F346" s="3"/>
      <c r="I346" s="10"/>
      <c r="K346" s="7"/>
      <c r="L346" s="7"/>
      <c r="O346" s="10"/>
      <c r="R346" s="10"/>
      <c r="U346" s="16"/>
      <c r="X346" s="10"/>
      <c r="AA346" s="10"/>
      <c r="AD346" s="10"/>
    </row>
    <row r="347" customFormat="false" ht="15.75" hidden="false" customHeight="false" outlineLevel="0" collapsed="false">
      <c r="A347" s="7"/>
      <c r="B347" s="8"/>
      <c r="E347" s="3"/>
      <c r="F347" s="3"/>
      <c r="I347" s="10"/>
      <c r="K347" s="7"/>
      <c r="L347" s="7"/>
      <c r="O347" s="10"/>
      <c r="R347" s="10"/>
      <c r="U347" s="16"/>
      <c r="X347" s="10"/>
      <c r="AA347" s="10"/>
      <c r="AD347" s="10"/>
    </row>
    <row r="348" customFormat="false" ht="15.75" hidden="false" customHeight="false" outlineLevel="0" collapsed="false">
      <c r="A348" s="7"/>
      <c r="B348" s="8"/>
      <c r="E348" s="3"/>
      <c r="F348" s="3"/>
      <c r="I348" s="10"/>
      <c r="K348" s="7"/>
      <c r="L348" s="7"/>
      <c r="O348" s="10"/>
      <c r="R348" s="10"/>
      <c r="U348" s="16"/>
      <c r="X348" s="10"/>
      <c r="AA348" s="10"/>
      <c r="AD348" s="10"/>
    </row>
    <row r="349" customFormat="false" ht="15.75" hidden="false" customHeight="false" outlineLevel="0" collapsed="false">
      <c r="A349" s="7"/>
      <c r="B349" s="8"/>
      <c r="E349" s="3"/>
      <c r="F349" s="3"/>
      <c r="I349" s="10"/>
      <c r="K349" s="7"/>
      <c r="L349" s="7"/>
      <c r="O349" s="10"/>
      <c r="R349" s="10"/>
      <c r="U349" s="16"/>
      <c r="X349" s="10"/>
      <c r="AA349" s="10"/>
      <c r="AD349" s="10"/>
    </row>
    <row r="350" customFormat="false" ht="15.75" hidden="false" customHeight="false" outlineLevel="0" collapsed="false">
      <c r="A350" s="7"/>
      <c r="B350" s="8"/>
      <c r="E350" s="3"/>
      <c r="F350" s="3"/>
      <c r="I350" s="10"/>
      <c r="K350" s="7"/>
      <c r="L350" s="7"/>
      <c r="O350" s="10"/>
      <c r="R350" s="10"/>
      <c r="U350" s="16"/>
      <c r="X350" s="10"/>
      <c r="AA350" s="10"/>
      <c r="AD350" s="10"/>
    </row>
    <row r="351" customFormat="false" ht="15.75" hidden="false" customHeight="false" outlineLevel="0" collapsed="false">
      <c r="A351" s="7"/>
      <c r="B351" s="8"/>
      <c r="E351" s="3"/>
      <c r="F351" s="3"/>
      <c r="I351" s="10"/>
      <c r="K351" s="7"/>
      <c r="L351" s="7"/>
      <c r="O351" s="10"/>
      <c r="R351" s="10"/>
      <c r="U351" s="16"/>
      <c r="X351" s="10"/>
      <c r="AA351" s="10"/>
      <c r="AD351" s="10"/>
    </row>
    <row r="352" customFormat="false" ht="15.75" hidden="false" customHeight="false" outlineLevel="0" collapsed="false">
      <c r="A352" s="7"/>
      <c r="B352" s="8"/>
      <c r="E352" s="3"/>
      <c r="F352" s="3"/>
      <c r="I352" s="10"/>
      <c r="K352" s="7"/>
      <c r="L352" s="7"/>
      <c r="O352" s="10"/>
      <c r="R352" s="10"/>
      <c r="U352" s="16"/>
      <c r="X352" s="10"/>
      <c r="AA352" s="10"/>
      <c r="AD352" s="10"/>
    </row>
    <row r="353" customFormat="false" ht="15.75" hidden="false" customHeight="false" outlineLevel="0" collapsed="false">
      <c r="A353" s="7"/>
      <c r="B353" s="8"/>
      <c r="E353" s="3"/>
      <c r="F353" s="3"/>
      <c r="I353" s="10"/>
      <c r="K353" s="7"/>
      <c r="L353" s="7"/>
      <c r="O353" s="10"/>
      <c r="R353" s="10"/>
      <c r="U353" s="16"/>
      <c r="X353" s="10"/>
      <c r="AA353" s="10"/>
      <c r="AD353" s="10"/>
    </row>
    <row r="354" customFormat="false" ht="15.75" hidden="false" customHeight="false" outlineLevel="0" collapsed="false">
      <c r="A354" s="7"/>
      <c r="B354" s="8"/>
      <c r="E354" s="3"/>
      <c r="F354" s="3"/>
      <c r="I354" s="10"/>
      <c r="K354" s="7"/>
      <c r="L354" s="7"/>
      <c r="O354" s="10"/>
      <c r="R354" s="10"/>
      <c r="U354" s="16"/>
      <c r="X354" s="10"/>
      <c r="AA354" s="10"/>
      <c r="AD354" s="10"/>
    </row>
    <row r="355" customFormat="false" ht="15.75" hidden="false" customHeight="false" outlineLevel="0" collapsed="false">
      <c r="A355" s="7"/>
      <c r="B355" s="8"/>
      <c r="E355" s="3"/>
      <c r="F355" s="3"/>
      <c r="I355" s="10"/>
      <c r="K355" s="7"/>
      <c r="L355" s="7"/>
      <c r="O355" s="10"/>
      <c r="R355" s="10"/>
      <c r="U355" s="16"/>
      <c r="X355" s="10"/>
      <c r="AA355" s="10"/>
      <c r="AD355" s="10"/>
    </row>
    <row r="356" customFormat="false" ht="15.75" hidden="false" customHeight="false" outlineLevel="0" collapsed="false">
      <c r="A356" s="7"/>
      <c r="B356" s="8"/>
      <c r="E356" s="3"/>
      <c r="F356" s="3"/>
      <c r="I356" s="10"/>
      <c r="K356" s="7"/>
      <c r="L356" s="7"/>
      <c r="O356" s="10"/>
      <c r="R356" s="10"/>
      <c r="U356" s="16"/>
      <c r="X356" s="10"/>
      <c r="AA356" s="10"/>
      <c r="AD356" s="10"/>
    </row>
    <row r="357" customFormat="false" ht="15.75" hidden="false" customHeight="false" outlineLevel="0" collapsed="false">
      <c r="A357" s="7"/>
      <c r="B357" s="8"/>
      <c r="E357" s="3"/>
      <c r="F357" s="3"/>
      <c r="I357" s="10"/>
      <c r="K357" s="7"/>
      <c r="L357" s="7"/>
      <c r="O357" s="10"/>
      <c r="R357" s="10"/>
      <c r="U357" s="16"/>
      <c r="X357" s="10"/>
      <c r="AA357" s="10"/>
      <c r="AD357" s="10"/>
    </row>
    <row r="358" customFormat="false" ht="15.75" hidden="false" customHeight="false" outlineLevel="0" collapsed="false">
      <c r="A358" s="7"/>
      <c r="B358" s="8"/>
      <c r="E358" s="3"/>
      <c r="F358" s="3"/>
      <c r="I358" s="10"/>
      <c r="K358" s="7"/>
      <c r="L358" s="7"/>
      <c r="O358" s="10"/>
      <c r="R358" s="10"/>
      <c r="U358" s="16"/>
      <c r="X358" s="10"/>
      <c r="AA358" s="10"/>
      <c r="AD358" s="10"/>
    </row>
    <row r="359" customFormat="false" ht="15.75" hidden="false" customHeight="false" outlineLevel="0" collapsed="false">
      <c r="A359" s="7"/>
      <c r="B359" s="8"/>
      <c r="E359" s="3"/>
      <c r="F359" s="3"/>
      <c r="I359" s="10"/>
      <c r="K359" s="7"/>
      <c r="L359" s="7"/>
      <c r="O359" s="10"/>
      <c r="R359" s="10"/>
      <c r="U359" s="16"/>
      <c r="X359" s="10"/>
      <c r="AA359" s="10"/>
      <c r="AD359" s="10"/>
    </row>
    <row r="360" customFormat="false" ht="15.75" hidden="false" customHeight="false" outlineLevel="0" collapsed="false">
      <c r="A360" s="7"/>
      <c r="B360" s="8"/>
      <c r="E360" s="3"/>
      <c r="F360" s="3"/>
      <c r="I360" s="10"/>
      <c r="K360" s="7"/>
      <c r="L360" s="7"/>
      <c r="O360" s="10"/>
      <c r="R360" s="10"/>
      <c r="U360" s="16"/>
      <c r="X360" s="10"/>
      <c r="AA360" s="10"/>
      <c r="AD360" s="10"/>
    </row>
    <row r="361" customFormat="false" ht="15.75" hidden="false" customHeight="false" outlineLevel="0" collapsed="false">
      <c r="A361" s="7"/>
      <c r="B361" s="8"/>
      <c r="E361" s="3"/>
      <c r="F361" s="3"/>
      <c r="I361" s="10"/>
      <c r="K361" s="7"/>
      <c r="L361" s="7"/>
      <c r="O361" s="10"/>
      <c r="R361" s="10"/>
      <c r="U361" s="16"/>
      <c r="X361" s="10"/>
      <c r="AA361" s="10"/>
      <c r="AD361" s="10"/>
    </row>
    <row r="362" customFormat="false" ht="15.75" hidden="false" customHeight="false" outlineLevel="0" collapsed="false">
      <c r="A362" s="7"/>
      <c r="B362" s="8"/>
      <c r="E362" s="3"/>
      <c r="F362" s="3"/>
      <c r="I362" s="10"/>
      <c r="K362" s="7"/>
      <c r="L362" s="7"/>
      <c r="O362" s="10"/>
      <c r="R362" s="10"/>
      <c r="U362" s="16"/>
      <c r="X362" s="10"/>
      <c r="AA362" s="10"/>
      <c r="AD362" s="10"/>
    </row>
    <row r="363" customFormat="false" ht="15.75" hidden="false" customHeight="false" outlineLevel="0" collapsed="false">
      <c r="A363" s="7"/>
      <c r="B363" s="8"/>
      <c r="E363" s="3"/>
      <c r="F363" s="3"/>
      <c r="I363" s="10"/>
      <c r="K363" s="7"/>
      <c r="L363" s="7"/>
      <c r="O363" s="10"/>
      <c r="R363" s="10"/>
      <c r="U363" s="16"/>
      <c r="X363" s="10"/>
      <c r="AA363" s="10"/>
      <c r="AD363" s="10"/>
    </row>
    <row r="364" customFormat="false" ht="15.75" hidden="false" customHeight="false" outlineLevel="0" collapsed="false">
      <c r="A364" s="7"/>
      <c r="B364" s="8"/>
      <c r="E364" s="3"/>
      <c r="F364" s="3"/>
      <c r="I364" s="10"/>
      <c r="K364" s="7"/>
      <c r="L364" s="7"/>
      <c r="O364" s="10"/>
      <c r="R364" s="10"/>
      <c r="U364" s="16"/>
      <c r="X364" s="10"/>
      <c r="AA364" s="10"/>
      <c r="AD364" s="10"/>
    </row>
    <row r="365" customFormat="false" ht="15.75" hidden="false" customHeight="false" outlineLevel="0" collapsed="false">
      <c r="A365" s="7"/>
      <c r="B365" s="8"/>
      <c r="E365" s="3"/>
      <c r="F365" s="3"/>
      <c r="I365" s="10"/>
      <c r="K365" s="7"/>
      <c r="L365" s="7"/>
      <c r="O365" s="10"/>
      <c r="R365" s="10"/>
      <c r="U365" s="16"/>
      <c r="X365" s="10"/>
      <c r="AA365" s="10"/>
      <c r="AD365" s="10"/>
    </row>
    <row r="366" customFormat="false" ht="15.75" hidden="false" customHeight="false" outlineLevel="0" collapsed="false">
      <c r="A366" s="7"/>
      <c r="B366" s="8"/>
      <c r="E366" s="3"/>
      <c r="F366" s="3"/>
      <c r="I366" s="10"/>
      <c r="K366" s="7"/>
      <c r="L366" s="7"/>
      <c r="O366" s="10"/>
      <c r="R366" s="10"/>
      <c r="U366" s="16"/>
      <c r="X366" s="10"/>
      <c r="AA366" s="10"/>
      <c r="AD366" s="10"/>
    </row>
    <row r="367" customFormat="false" ht="15.75" hidden="false" customHeight="false" outlineLevel="0" collapsed="false">
      <c r="A367" s="7"/>
      <c r="B367" s="8"/>
      <c r="E367" s="3"/>
      <c r="F367" s="3"/>
      <c r="I367" s="10"/>
      <c r="K367" s="7"/>
      <c r="L367" s="7"/>
      <c r="O367" s="10"/>
      <c r="R367" s="10"/>
      <c r="U367" s="16"/>
      <c r="X367" s="10"/>
      <c r="AA367" s="10"/>
      <c r="AD367" s="10"/>
    </row>
    <row r="368" customFormat="false" ht="15.75" hidden="false" customHeight="false" outlineLevel="0" collapsed="false">
      <c r="A368" s="7"/>
      <c r="B368" s="8"/>
      <c r="E368" s="3"/>
      <c r="F368" s="3"/>
      <c r="I368" s="10"/>
      <c r="K368" s="7"/>
      <c r="L368" s="7"/>
      <c r="O368" s="10"/>
      <c r="R368" s="10"/>
      <c r="U368" s="16"/>
      <c r="X368" s="10"/>
      <c r="AA368" s="10"/>
      <c r="AD368" s="10"/>
    </row>
    <row r="369" customFormat="false" ht="15.75" hidden="false" customHeight="false" outlineLevel="0" collapsed="false">
      <c r="A369" s="7"/>
      <c r="B369" s="8"/>
      <c r="E369" s="3"/>
      <c r="F369" s="3"/>
      <c r="I369" s="10"/>
      <c r="K369" s="7"/>
      <c r="L369" s="7"/>
      <c r="O369" s="10"/>
      <c r="R369" s="10"/>
      <c r="U369" s="16"/>
      <c r="X369" s="10"/>
      <c r="AA369" s="10"/>
      <c r="AD369" s="10"/>
    </row>
    <row r="370" customFormat="false" ht="15.75" hidden="false" customHeight="false" outlineLevel="0" collapsed="false">
      <c r="A370" s="7"/>
      <c r="B370" s="8"/>
      <c r="E370" s="3"/>
      <c r="F370" s="3"/>
      <c r="I370" s="10"/>
      <c r="K370" s="7"/>
      <c r="L370" s="7"/>
      <c r="O370" s="10"/>
      <c r="R370" s="10"/>
      <c r="U370" s="16"/>
      <c r="X370" s="10"/>
      <c r="AA370" s="10"/>
      <c r="AD370" s="10"/>
    </row>
    <row r="371" customFormat="false" ht="15.75" hidden="false" customHeight="false" outlineLevel="0" collapsed="false">
      <c r="A371" s="7"/>
      <c r="B371" s="8"/>
      <c r="E371" s="3"/>
      <c r="F371" s="3"/>
      <c r="I371" s="10"/>
      <c r="K371" s="7"/>
      <c r="L371" s="7"/>
      <c r="O371" s="10"/>
      <c r="R371" s="10"/>
      <c r="U371" s="16"/>
      <c r="X371" s="10"/>
      <c r="AA371" s="10"/>
      <c r="AD371" s="10"/>
    </row>
    <row r="372" customFormat="false" ht="15.75" hidden="false" customHeight="false" outlineLevel="0" collapsed="false">
      <c r="A372" s="7"/>
      <c r="B372" s="8"/>
      <c r="E372" s="3"/>
      <c r="F372" s="3"/>
      <c r="I372" s="10"/>
      <c r="K372" s="7"/>
      <c r="L372" s="7"/>
      <c r="O372" s="10"/>
      <c r="R372" s="10"/>
      <c r="U372" s="16"/>
      <c r="X372" s="10"/>
      <c r="AA372" s="10"/>
      <c r="AD372" s="10"/>
    </row>
    <row r="373" customFormat="false" ht="15.75" hidden="false" customHeight="false" outlineLevel="0" collapsed="false">
      <c r="A373" s="7"/>
      <c r="B373" s="8"/>
      <c r="E373" s="3"/>
      <c r="F373" s="3"/>
      <c r="I373" s="10"/>
      <c r="K373" s="7"/>
      <c r="L373" s="7"/>
      <c r="O373" s="10"/>
      <c r="R373" s="10"/>
      <c r="U373" s="16"/>
      <c r="X373" s="10"/>
      <c r="AA373" s="10"/>
      <c r="AD373" s="10"/>
    </row>
    <row r="374" customFormat="false" ht="15.75" hidden="false" customHeight="false" outlineLevel="0" collapsed="false">
      <c r="A374" s="7"/>
      <c r="B374" s="8"/>
      <c r="E374" s="3"/>
      <c r="F374" s="3"/>
      <c r="I374" s="10"/>
      <c r="K374" s="7"/>
      <c r="L374" s="7"/>
      <c r="O374" s="10"/>
      <c r="R374" s="10"/>
      <c r="U374" s="16"/>
      <c r="X374" s="10"/>
      <c r="AA374" s="10"/>
      <c r="AD374" s="10"/>
    </row>
    <row r="375" customFormat="false" ht="15.75" hidden="false" customHeight="false" outlineLevel="0" collapsed="false">
      <c r="A375" s="7"/>
      <c r="B375" s="8"/>
      <c r="E375" s="3"/>
      <c r="F375" s="3"/>
      <c r="I375" s="10"/>
      <c r="K375" s="7"/>
      <c r="L375" s="7"/>
      <c r="O375" s="10"/>
      <c r="R375" s="10"/>
      <c r="U375" s="16"/>
      <c r="X375" s="10"/>
      <c r="AA375" s="10"/>
      <c r="AD375" s="10"/>
    </row>
    <row r="376" customFormat="false" ht="15.75" hidden="false" customHeight="false" outlineLevel="0" collapsed="false">
      <c r="A376" s="7"/>
      <c r="B376" s="8"/>
      <c r="E376" s="3"/>
      <c r="F376" s="3"/>
      <c r="I376" s="10"/>
      <c r="K376" s="7"/>
      <c r="L376" s="7"/>
      <c r="O376" s="10"/>
      <c r="R376" s="10"/>
      <c r="U376" s="16"/>
      <c r="X376" s="10"/>
      <c r="AA376" s="10"/>
      <c r="AD376" s="10"/>
    </row>
    <row r="377" customFormat="false" ht="15.75" hidden="false" customHeight="false" outlineLevel="0" collapsed="false">
      <c r="A377" s="7"/>
      <c r="B377" s="8"/>
      <c r="E377" s="3"/>
      <c r="F377" s="3"/>
      <c r="I377" s="10"/>
      <c r="K377" s="7"/>
      <c r="L377" s="7"/>
      <c r="O377" s="10"/>
      <c r="R377" s="10"/>
      <c r="U377" s="16"/>
      <c r="X377" s="10"/>
      <c r="AA377" s="10"/>
      <c r="AD377" s="10"/>
    </row>
    <row r="378" customFormat="false" ht="15.75" hidden="false" customHeight="false" outlineLevel="0" collapsed="false">
      <c r="A378" s="7"/>
      <c r="B378" s="8"/>
      <c r="E378" s="3"/>
      <c r="F378" s="3"/>
      <c r="I378" s="10"/>
      <c r="K378" s="7"/>
      <c r="L378" s="7"/>
      <c r="O378" s="10"/>
      <c r="R378" s="10"/>
      <c r="U378" s="16"/>
      <c r="X378" s="10"/>
      <c r="AA378" s="10"/>
      <c r="AD378" s="10"/>
    </row>
    <row r="379" customFormat="false" ht="15.75" hidden="false" customHeight="false" outlineLevel="0" collapsed="false">
      <c r="A379" s="7"/>
      <c r="B379" s="8"/>
      <c r="E379" s="3"/>
      <c r="F379" s="3"/>
      <c r="I379" s="10"/>
      <c r="K379" s="7"/>
      <c r="L379" s="7"/>
      <c r="O379" s="10"/>
      <c r="R379" s="10"/>
      <c r="U379" s="16"/>
      <c r="X379" s="10"/>
      <c r="AA379" s="10"/>
      <c r="AD379" s="10"/>
    </row>
    <row r="380" customFormat="false" ht="15.75" hidden="false" customHeight="false" outlineLevel="0" collapsed="false">
      <c r="A380" s="7"/>
      <c r="B380" s="8"/>
      <c r="E380" s="3"/>
      <c r="F380" s="3"/>
      <c r="I380" s="10"/>
      <c r="K380" s="7"/>
      <c r="L380" s="7"/>
      <c r="O380" s="10"/>
      <c r="R380" s="10"/>
      <c r="U380" s="16"/>
      <c r="X380" s="10"/>
      <c r="AA380" s="10"/>
      <c r="AD380" s="10"/>
    </row>
    <row r="381" customFormat="false" ht="15.75" hidden="false" customHeight="false" outlineLevel="0" collapsed="false">
      <c r="A381" s="7"/>
      <c r="B381" s="8"/>
      <c r="E381" s="3"/>
      <c r="F381" s="3"/>
      <c r="I381" s="10"/>
      <c r="K381" s="7"/>
      <c r="L381" s="7"/>
      <c r="O381" s="10"/>
      <c r="R381" s="10"/>
      <c r="U381" s="16"/>
      <c r="X381" s="10"/>
      <c r="AA381" s="10"/>
      <c r="AD381" s="10"/>
    </row>
    <row r="382" customFormat="false" ht="15.75" hidden="false" customHeight="false" outlineLevel="0" collapsed="false">
      <c r="A382" s="7"/>
      <c r="B382" s="8"/>
      <c r="E382" s="3"/>
      <c r="F382" s="3"/>
      <c r="I382" s="10"/>
      <c r="K382" s="7"/>
      <c r="L382" s="7"/>
      <c r="O382" s="10"/>
      <c r="R382" s="10"/>
      <c r="U382" s="16"/>
      <c r="X382" s="10"/>
      <c r="AA382" s="10"/>
      <c r="AD382" s="10"/>
    </row>
    <row r="383" customFormat="false" ht="15.75" hidden="false" customHeight="false" outlineLevel="0" collapsed="false">
      <c r="A383" s="7"/>
      <c r="B383" s="8"/>
      <c r="E383" s="3"/>
      <c r="F383" s="3"/>
      <c r="I383" s="10"/>
      <c r="K383" s="7"/>
      <c r="L383" s="7"/>
      <c r="O383" s="10"/>
      <c r="R383" s="10"/>
      <c r="U383" s="16"/>
      <c r="X383" s="10"/>
      <c r="AA383" s="10"/>
      <c r="AD383" s="10"/>
    </row>
    <row r="384" customFormat="false" ht="15.75" hidden="false" customHeight="false" outlineLevel="0" collapsed="false">
      <c r="A384" s="7"/>
      <c r="B384" s="8"/>
      <c r="E384" s="3"/>
      <c r="F384" s="3"/>
      <c r="I384" s="10"/>
      <c r="K384" s="7"/>
      <c r="L384" s="7"/>
      <c r="O384" s="10"/>
      <c r="R384" s="10"/>
      <c r="U384" s="16"/>
      <c r="X384" s="10"/>
      <c r="AA384" s="10"/>
      <c r="AD384" s="10"/>
    </row>
    <row r="385" customFormat="false" ht="15.75" hidden="false" customHeight="false" outlineLevel="0" collapsed="false">
      <c r="A385" s="7"/>
      <c r="B385" s="8"/>
      <c r="E385" s="3"/>
      <c r="F385" s="3"/>
      <c r="I385" s="10"/>
      <c r="K385" s="7"/>
      <c r="L385" s="7"/>
      <c r="O385" s="10"/>
      <c r="R385" s="10"/>
      <c r="U385" s="16"/>
      <c r="X385" s="10"/>
      <c r="AA385" s="10"/>
      <c r="AD385" s="10"/>
    </row>
    <row r="386" customFormat="false" ht="15.75" hidden="false" customHeight="false" outlineLevel="0" collapsed="false">
      <c r="A386" s="7"/>
      <c r="B386" s="8"/>
      <c r="E386" s="3"/>
      <c r="F386" s="3"/>
      <c r="I386" s="10"/>
      <c r="K386" s="7"/>
      <c r="L386" s="7"/>
      <c r="O386" s="10"/>
      <c r="R386" s="10"/>
      <c r="U386" s="16"/>
      <c r="X386" s="10"/>
      <c r="AA386" s="10"/>
      <c r="AD386" s="10"/>
    </row>
    <row r="387" customFormat="false" ht="15.75" hidden="false" customHeight="false" outlineLevel="0" collapsed="false">
      <c r="A387" s="7"/>
      <c r="B387" s="8"/>
      <c r="E387" s="3"/>
      <c r="F387" s="3"/>
      <c r="I387" s="10"/>
      <c r="K387" s="7"/>
      <c r="L387" s="7"/>
      <c r="O387" s="10"/>
      <c r="R387" s="10"/>
      <c r="U387" s="16"/>
      <c r="X387" s="10"/>
      <c r="AA387" s="10"/>
      <c r="AD387" s="10"/>
    </row>
    <row r="388" customFormat="false" ht="15.75" hidden="false" customHeight="false" outlineLevel="0" collapsed="false">
      <c r="A388" s="7"/>
      <c r="B388" s="8"/>
      <c r="E388" s="3"/>
      <c r="F388" s="3"/>
      <c r="I388" s="10"/>
      <c r="K388" s="7"/>
      <c r="L388" s="7"/>
      <c r="O388" s="10"/>
      <c r="R388" s="10"/>
      <c r="U388" s="16"/>
      <c r="X388" s="10"/>
      <c r="AA388" s="10"/>
      <c r="AD388" s="10"/>
    </row>
    <row r="389" customFormat="false" ht="15.75" hidden="false" customHeight="false" outlineLevel="0" collapsed="false">
      <c r="A389" s="7"/>
      <c r="B389" s="8"/>
      <c r="E389" s="3"/>
      <c r="F389" s="3"/>
      <c r="I389" s="10"/>
      <c r="K389" s="7"/>
      <c r="L389" s="7"/>
      <c r="O389" s="10"/>
      <c r="R389" s="10"/>
      <c r="U389" s="16"/>
      <c r="X389" s="10"/>
      <c r="AA389" s="10"/>
      <c r="AD389" s="10"/>
    </row>
    <row r="390" customFormat="false" ht="15.75" hidden="false" customHeight="false" outlineLevel="0" collapsed="false">
      <c r="A390" s="7"/>
      <c r="B390" s="8"/>
      <c r="E390" s="3"/>
      <c r="F390" s="3"/>
      <c r="I390" s="10"/>
      <c r="K390" s="7"/>
      <c r="L390" s="7"/>
      <c r="O390" s="10"/>
      <c r="R390" s="10"/>
      <c r="U390" s="16"/>
      <c r="X390" s="10"/>
      <c r="AA390" s="10"/>
      <c r="AD390" s="10"/>
    </row>
    <row r="391" customFormat="false" ht="15.75" hidden="false" customHeight="false" outlineLevel="0" collapsed="false">
      <c r="A391" s="7"/>
      <c r="B391" s="8"/>
      <c r="E391" s="3"/>
      <c r="F391" s="3"/>
      <c r="I391" s="10"/>
      <c r="K391" s="7"/>
      <c r="L391" s="7"/>
      <c r="O391" s="10"/>
      <c r="R391" s="10"/>
      <c r="U391" s="16"/>
      <c r="X391" s="10"/>
      <c r="AA391" s="10"/>
      <c r="AD391" s="10"/>
    </row>
    <row r="392" customFormat="false" ht="15.75" hidden="false" customHeight="false" outlineLevel="0" collapsed="false">
      <c r="A392" s="7"/>
      <c r="B392" s="8"/>
      <c r="E392" s="3"/>
      <c r="F392" s="3"/>
      <c r="I392" s="10"/>
      <c r="K392" s="7"/>
      <c r="L392" s="7"/>
      <c r="O392" s="10"/>
      <c r="R392" s="10"/>
      <c r="U392" s="16"/>
      <c r="X392" s="10"/>
      <c r="AA392" s="10"/>
      <c r="AD392" s="10"/>
    </row>
    <row r="393" customFormat="false" ht="15.75" hidden="false" customHeight="false" outlineLevel="0" collapsed="false">
      <c r="A393" s="7"/>
      <c r="B393" s="8"/>
      <c r="E393" s="3"/>
      <c r="F393" s="3"/>
      <c r="I393" s="10"/>
      <c r="K393" s="7"/>
      <c r="L393" s="7"/>
      <c r="O393" s="10"/>
      <c r="R393" s="10"/>
      <c r="U393" s="16"/>
      <c r="X393" s="10"/>
      <c r="AA393" s="10"/>
      <c r="AD393" s="10"/>
    </row>
    <row r="394" customFormat="false" ht="15.75" hidden="false" customHeight="false" outlineLevel="0" collapsed="false">
      <c r="A394" s="7"/>
      <c r="B394" s="8"/>
      <c r="E394" s="3"/>
      <c r="F394" s="3"/>
      <c r="I394" s="10"/>
      <c r="K394" s="7"/>
      <c r="L394" s="7"/>
      <c r="O394" s="10"/>
      <c r="R394" s="10"/>
      <c r="U394" s="16"/>
      <c r="X394" s="10"/>
      <c r="AA394" s="10"/>
      <c r="AD394" s="10"/>
    </row>
    <row r="395" customFormat="false" ht="15.75" hidden="false" customHeight="false" outlineLevel="0" collapsed="false">
      <c r="A395" s="7"/>
      <c r="B395" s="8"/>
      <c r="E395" s="3"/>
      <c r="F395" s="3"/>
      <c r="I395" s="10"/>
      <c r="K395" s="7"/>
      <c r="L395" s="7"/>
      <c r="O395" s="10"/>
      <c r="R395" s="10"/>
      <c r="U395" s="16"/>
      <c r="X395" s="10"/>
      <c r="AA395" s="10"/>
      <c r="AD395" s="10"/>
    </row>
    <row r="396" customFormat="false" ht="15.75" hidden="false" customHeight="false" outlineLevel="0" collapsed="false">
      <c r="A396" s="7"/>
      <c r="B396" s="8"/>
      <c r="E396" s="3"/>
      <c r="F396" s="3"/>
      <c r="I396" s="10"/>
      <c r="K396" s="7"/>
      <c r="L396" s="7"/>
      <c r="O396" s="10"/>
      <c r="R396" s="10"/>
      <c r="U396" s="16"/>
      <c r="X396" s="10"/>
      <c r="AA396" s="10"/>
      <c r="AD396" s="10"/>
    </row>
    <row r="397" customFormat="false" ht="15.75" hidden="false" customHeight="false" outlineLevel="0" collapsed="false">
      <c r="A397" s="7"/>
      <c r="B397" s="8"/>
      <c r="E397" s="3"/>
      <c r="F397" s="3"/>
      <c r="I397" s="10"/>
      <c r="K397" s="7"/>
      <c r="L397" s="7"/>
      <c r="O397" s="10"/>
      <c r="R397" s="10"/>
      <c r="U397" s="16"/>
      <c r="X397" s="10"/>
      <c r="AA397" s="10"/>
      <c r="AD397" s="10"/>
    </row>
    <row r="398" customFormat="false" ht="15.75" hidden="false" customHeight="false" outlineLevel="0" collapsed="false">
      <c r="A398" s="7"/>
      <c r="B398" s="8"/>
      <c r="E398" s="3"/>
      <c r="F398" s="3"/>
      <c r="I398" s="10"/>
      <c r="K398" s="7"/>
      <c r="L398" s="7"/>
      <c r="O398" s="10"/>
      <c r="R398" s="10"/>
      <c r="U398" s="16"/>
      <c r="X398" s="10"/>
      <c r="AA398" s="10"/>
      <c r="AD398" s="10"/>
    </row>
    <row r="399" customFormat="false" ht="15.75" hidden="false" customHeight="false" outlineLevel="0" collapsed="false">
      <c r="A399" s="7"/>
      <c r="B399" s="8"/>
      <c r="E399" s="3"/>
      <c r="F399" s="3"/>
      <c r="I399" s="10"/>
      <c r="K399" s="7"/>
      <c r="L399" s="7"/>
      <c r="O399" s="10"/>
      <c r="R399" s="10"/>
      <c r="U399" s="16"/>
      <c r="X399" s="10"/>
      <c r="AA399" s="10"/>
      <c r="AD399" s="10"/>
    </row>
    <row r="400" customFormat="false" ht="15.75" hidden="false" customHeight="false" outlineLevel="0" collapsed="false">
      <c r="A400" s="7"/>
      <c r="B400" s="8"/>
      <c r="E400" s="3"/>
      <c r="F400" s="3"/>
      <c r="I400" s="10"/>
      <c r="K400" s="7"/>
      <c r="L400" s="7"/>
      <c r="O400" s="10"/>
      <c r="R400" s="10"/>
      <c r="U400" s="16"/>
      <c r="X400" s="10"/>
      <c r="AA400" s="10"/>
      <c r="AD400" s="10"/>
    </row>
    <row r="401" customFormat="false" ht="15.75" hidden="false" customHeight="false" outlineLevel="0" collapsed="false">
      <c r="A401" s="7"/>
      <c r="B401" s="8"/>
      <c r="E401" s="3"/>
      <c r="F401" s="3"/>
      <c r="I401" s="10"/>
      <c r="K401" s="7"/>
      <c r="L401" s="7"/>
      <c r="O401" s="10"/>
      <c r="R401" s="10"/>
      <c r="U401" s="16"/>
      <c r="X401" s="10"/>
      <c r="AA401" s="10"/>
      <c r="AD401" s="10"/>
    </row>
    <row r="402" customFormat="false" ht="15.75" hidden="false" customHeight="false" outlineLevel="0" collapsed="false">
      <c r="A402" s="7"/>
      <c r="B402" s="8"/>
      <c r="E402" s="3"/>
      <c r="F402" s="3"/>
      <c r="I402" s="10"/>
      <c r="K402" s="7"/>
      <c r="L402" s="7"/>
      <c r="O402" s="10"/>
      <c r="R402" s="10"/>
      <c r="U402" s="16"/>
      <c r="X402" s="10"/>
      <c r="AA402" s="10"/>
      <c r="AD402" s="10"/>
    </row>
    <row r="403" customFormat="false" ht="15.75" hidden="false" customHeight="false" outlineLevel="0" collapsed="false">
      <c r="A403" s="7"/>
      <c r="B403" s="8"/>
      <c r="E403" s="3"/>
      <c r="F403" s="3"/>
      <c r="I403" s="10"/>
      <c r="K403" s="7"/>
      <c r="L403" s="7"/>
      <c r="O403" s="10"/>
      <c r="R403" s="10"/>
      <c r="U403" s="16"/>
      <c r="X403" s="10"/>
      <c r="AA403" s="10"/>
      <c r="AD403" s="10"/>
    </row>
    <row r="404" customFormat="false" ht="15.75" hidden="false" customHeight="false" outlineLevel="0" collapsed="false">
      <c r="A404" s="7"/>
      <c r="B404" s="8"/>
      <c r="E404" s="3"/>
      <c r="F404" s="3"/>
      <c r="I404" s="10"/>
      <c r="K404" s="7"/>
      <c r="L404" s="7"/>
      <c r="O404" s="10"/>
      <c r="R404" s="10"/>
      <c r="U404" s="16"/>
      <c r="X404" s="10"/>
      <c r="AA404" s="10"/>
      <c r="AD404" s="10"/>
    </row>
    <row r="405" customFormat="false" ht="15.75" hidden="false" customHeight="false" outlineLevel="0" collapsed="false">
      <c r="A405" s="7"/>
      <c r="B405" s="8"/>
      <c r="E405" s="3"/>
      <c r="F405" s="3"/>
      <c r="I405" s="10"/>
      <c r="K405" s="7"/>
      <c r="L405" s="7"/>
      <c r="O405" s="10"/>
      <c r="R405" s="10"/>
      <c r="U405" s="16"/>
      <c r="X405" s="10"/>
      <c r="AA405" s="10"/>
      <c r="AD405" s="10"/>
    </row>
    <row r="406" customFormat="false" ht="15.75" hidden="false" customHeight="false" outlineLevel="0" collapsed="false">
      <c r="A406" s="7"/>
      <c r="B406" s="8"/>
      <c r="E406" s="3"/>
      <c r="F406" s="3"/>
      <c r="I406" s="10"/>
      <c r="K406" s="7"/>
      <c r="L406" s="7"/>
      <c r="O406" s="10"/>
      <c r="R406" s="10"/>
      <c r="U406" s="16"/>
      <c r="X406" s="10"/>
      <c r="AA406" s="10"/>
      <c r="AD406" s="10"/>
    </row>
    <row r="407" customFormat="false" ht="15.75" hidden="false" customHeight="false" outlineLevel="0" collapsed="false">
      <c r="A407" s="7"/>
      <c r="B407" s="8"/>
      <c r="E407" s="3"/>
      <c r="F407" s="3"/>
      <c r="I407" s="10"/>
      <c r="K407" s="7"/>
      <c r="L407" s="7"/>
      <c r="O407" s="10"/>
      <c r="R407" s="10"/>
      <c r="U407" s="16"/>
      <c r="X407" s="10"/>
      <c r="AA407" s="10"/>
      <c r="AD407" s="10"/>
    </row>
    <row r="408" customFormat="false" ht="15.75" hidden="false" customHeight="false" outlineLevel="0" collapsed="false">
      <c r="A408" s="7"/>
      <c r="B408" s="8"/>
      <c r="E408" s="3"/>
      <c r="F408" s="3"/>
      <c r="I408" s="10"/>
      <c r="K408" s="7"/>
      <c r="L408" s="7"/>
      <c r="O408" s="10"/>
      <c r="R408" s="10"/>
      <c r="U408" s="16"/>
      <c r="X408" s="10"/>
      <c r="AA408" s="10"/>
      <c r="AD408" s="10"/>
    </row>
    <row r="409" customFormat="false" ht="15.75" hidden="false" customHeight="false" outlineLevel="0" collapsed="false">
      <c r="A409" s="7"/>
      <c r="B409" s="8"/>
      <c r="E409" s="3"/>
      <c r="F409" s="3"/>
      <c r="I409" s="10"/>
      <c r="K409" s="7"/>
      <c r="L409" s="7"/>
      <c r="O409" s="10"/>
      <c r="R409" s="10"/>
      <c r="U409" s="16"/>
      <c r="X409" s="10"/>
      <c r="AA409" s="10"/>
      <c r="AD409" s="10"/>
    </row>
    <row r="410" customFormat="false" ht="15.75" hidden="false" customHeight="false" outlineLevel="0" collapsed="false">
      <c r="A410" s="7"/>
      <c r="B410" s="8"/>
      <c r="E410" s="3"/>
      <c r="F410" s="3"/>
      <c r="I410" s="10"/>
      <c r="K410" s="7"/>
      <c r="L410" s="7"/>
      <c r="O410" s="10"/>
      <c r="R410" s="10"/>
      <c r="U410" s="16"/>
      <c r="X410" s="10"/>
      <c r="AA410" s="10"/>
      <c r="AD410" s="10"/>
    </row>
    <row r="411" customFormat="false" ht="15.75" hidden="false" customHeight="false" outlineLevel="0" collapsed="false">
      <c r="A411" s="7"/>
      <c r="B411" s="8"/>
      <c r="E411" s="3"/>
      <c r="F411" s="3"/>
      <c r="I411" s="10"/>
      <c r="K411" s="7"/>
      <c r="L411" s="7"/>
      <c r="O411" s="10"/>
      <c r="R411" s="10"/>
      <c r="U411" s="16"/>
      <c r="X411" s="10"/>
      <c r="AA411" s="10"/>
      <c r="AD411" s="10"/>
    </row>
    <row r="412" customFormat="false" ht="15.75" hidden="false" customHeight="false" outlineLevel="0" collapsed="false">
      <c r="A412" s="7"/>
      <c r="B412" s="8"/>
      <c r="E412" s="3"/>
      <c r="F412" s="3"/>
      <c r="I412" s="10"/>
      <c r="K412" s="7"/>
      <c r="L412" s="7"/>
      <c r="O412" s="10"/>
      <c r="R412" s="10"/>
      <c r="U412" s="16"/>
      <c r="X412" s="10"/>
      <c r="AA412" s="10"/>
      <c r="AD412" s="10"/>
    </row>
    <row r="413" customFormat="false" ht="15.75" hidden="false" customHeight="false" outlineLevel="0" collapsed="false">
      <c r="A413" s="7"/>
      <c r="B413" s="8"/>
      <c r="E413" s="3"/>
      <c r="F413" s="3"/>
      <c r="I413" s="10"/>
      <c r="K413" s="7"/>
      <c r="L413" s="7"/>
      <c r="O413" s="10"/>
      <c r="R413" s="10"/>
      <c r="U413" s="16"/>
      <c r="X413" s="10"/>
      <c r="AA413" s="10"/>
      <c r="AD413" s="10"/>
    </row>
    <row r="414" customFormat="false" ht="15.75" hidden="false" customHeight="false" outlineLevel="0" collapsed="false">
      <c r="A414" s="7"/>
      <c r="B414" s="8"/>
      <c r="E414" s="3"/>
      <c r="F414" s="3"/>
      <c r="I414" s="10"/>
      <c r="K414" s="7"/>
      <c r="L414" s="7"/>
      <c r="O414" s="10"/>
      <c r="R414" s="10"/>
      <c r="U414" s="16"/>
      <c r="X414" s="10"/>
      <c r="AA414" s="10"/>
      <c r="AD414" s="10"/>
    </row>
    <row r="415" customFormat="false" ht="15.75" hidden="false" customHeight="false" outlineLevel="0" collapsed="false">
      <c r="A415" s="7"/>
      <c r="B415" s="8"/>
      <c r="E415" s="3"/>
      <c r="F415" s="3"/>
      <c r="I415" s="10"/>
      <c r="K415" s="7"/>
      <c r="L415" s="7"/>
      <c r="O415" s="10"/>
      <c r="R415" s="10"/>
      <c r="U415" s="16"/>
      <c r="X415" s="10"/>
      <c r="AA415" s="10"/>
      <c r="AD415" s="10"/>
    </row>
    <row r="416" customFormat="false" ht="15.75" hidden="false" customHeight="false" outlineLevel="0" collapsed="false">
      <c r="A416" s="7"/>
      <c r="B416" s="8"/>
      <c r="E416" s="3"/>
      <c r="F416" s="3"/>
      <c r="I416" s="10"/>
      <c r="K416" s="7"/>
      <c r="L416" s="7"/>
      <c r="O416" s="10"/>
      <c r="R416" s="10"/>
      <c r="U416" s="16"/>
      <c r="X416" s="10"/>
      <c r="AA416" s="10"/>
      <c r="AD416" s="10"/>
    </row>
    <row r="417" customFormat="false" ht="15.75" hidden="false" customHeight="false" outlineLevel="0" collapsed="false">
      <c r="A417" s="7"/>
      <c r="B417" s="8"/>
      <c r="E417" s="3"/>
      <c r="F417" s="3"/>
      <c r="I417" s="10"/>
      <c r="K417" s="7"/>
      <c r="L417" s="7"/>
      <c r="O417" s="10"/>
      <c r="R417" s="10"/>
      <c r="U417" s="16"/>
      <c r="X417" s="10"/>
      <c r="AA417" s="10"/>
      <c r="AD417" s="10"/>
    </row>
    <row r="418" customFormat="false" ht="15.75" hidden="false" customHeight="false" outlineLevel="0" collapsed="false">
      <c r="A418" s="7"/>
      <c r="B418" s="8"/>
      <c r="E418" s="3"/>
      <c r="F418" s="3"/>
      <c r="I418" s="10"/>
      <c r="K418" s="7"/>
      <c r="L418" s="7"/>
      <c r="O418" s="10"/>
      <c r="R418" s="10"/>
      <c r="U418" s="16"/>
      <c r="X418" s="10"/>
      <c r="AA418" s="10"/>
      <c r="AD418" s="10"/>
    </row>
    <row r="419" customFormat="false" ht="15.75" hidden="false" customHeight="false" outlineLevel="0" collapsed="false">
      <c r="A419" s="7"/>
      <c r="B419" s="8"/>
      <c r="E419" s="3"/>
      <c r="F419" s="3"/>
      <c r="I419" s="10"/>
      <c r="K419" s="7"/>
      <c r="L419" s="7"/>
      <c r="O419" s="10"/>
      <c r="R419" s="10"/>
      <c r="U419" s="16"/>
      <c r="X419" s="10"/>
      <c r="AA419" s="10"/>
      <c r="AD419" s="10"/>
    </row>
    <row r="420" customFormat="false" ht="15.75" hidden="false" customHeight="false" outlineLevel="0" collapsed="false">
      <c r="A420" s="7"/>
      <c r="B420" s="8"/>
      <c r="E420" s="3"/>
      <c r="F420" s="3"/>
      <c r="I420" s="10"/>
      <c r="K420" s="7"/>
      <c r="L420" s="7"/>
      <c r="O420" s="10"/>
      <c r="R420" s="10"/>
      <c r="U420" s="16"/>
      <c r="X420" s="10"/>
      <c r="AA420" s="10"/>
      <c r="AD420" s="10"/>
    </row>
    <row r="421" customFormat="false" ht="15.75" hidden="false" customHeight="false" outlineLevel="0" collapsed="false">
      <c r="A421" s="7"/>
      <c r="B421" s="8"/>
      <c r="E421" s="3"/>
      <c r="F421" s="3"/>
      <c r="I421" s="10"/>
      <c r="K421" s="7"/>
      <c r="L421" s="7"/>
      <c r="O421" s="10"/>
      <c r="R421" s="10"/>
      <c r="U421" s="16"/>
      <c r="X421" s="10"/>
      <c r="AA421" s="10"/>
      <c r="AD421" s="10"/>
    </row>
    <row r="422" customFormat="false" ht="15.75" hidden="false" customHeight="false" outlineLevel="0" collapsed="false">
      <c r="A422" s="7"/>
      <c r="B422" s="8"/>
      <c r="E422" s="3"/>
      <c r="F422" s="3"/>
      <c r="I422" s="10"/>
      <c r="K422" s="7"/>
      <c r="L422" s="7"/>
      <c r="O422" s="10"/>
      <c r="R422" s="10"/>
      <c r="U422" s="16"/>
      <c r="X422" s="10"/>
      <c r="AA422" s="10"/>
      <c r="AD422" s="10"/>
    </row>
    <row r="423" customFormat="false" ht="15.75" hidden="false" customHeight="false" outlineLevel="0" collapsed="false">
      <c r="A423" s="7"/>
      <c r="B423" s="8"/>
      <c r="E423" s="3"/>
      <c r="F423" s="3"/>
      <c r="I423" s="10"/>
      <c r="K423" s="7"/>
      <c r="L423" s="7"/>
      <c r="O423" s="10"/>
      <c r="R423" s="10"/>
      <c r="U423" s="16"/>
      <c r="X423" s="10"/>
      <c r="AA423" s="10"/>
      <c r="AD423" s="10"/>
    </row>
    <row r="424" customFormat="false" ht="15.75" hidden="false" customHeight="false" outlineLevel="0" collapsed="false">
      <c r="A424" s="7"/>
      <c r="B424" s="8"/>
      <c r="E424" s="3"/>
      <c r="F424" s="3"/>
      <c r="I424" s="10"/>
      <c r="K424" s="7"/>
      <c r="L424" s="7"/>
      <c r="O424" s="10"/>
      <c r="R424" s="10"/>
      <c r="U424" s="16"/>
      <c r="X424" s="10"/>
      <c r="AA424" s="10"/>
      <c r="AD424" s="10"/>
    </row>
    <row r="425" customFormat="false" ht="15.75" hidden="false" customHeight="false" outlineLevel="0" collapsed="false">
      <c r="A425" s="7"/>
      <c r="B425" s="8"/>
      <c r="E425" s="3"/>
      <c r="F425" s="3"/>
      <c r="I425" s="10"/>
      <c r="K425" s="7"/>
      <c r="L425" s="7"/>
      <c r="O425" s="10"/>
      <c r="R425" s="10"/>
      <c r="U425" s="16"/>
      <c r="X425" s="10"/>
      <c r="AA425" s="10"/>
      <c r="AD425" s="10"/>
    </row>
    <row r="426" customFormat="false" ht="15.75" hidden="false" customHeight="false" outlineLevel="0" collapsed="false">
      <c r="A426" s="7"/>
      <c r="B426" s="8"/>
      <c r="E426" s="3"/>
      <c r="F426" s="3"/>
      <c r="I426" s="10"/>
      <c r="K426" s="7"/>
      <c r="L426" s="7"/>
      <c r="O426" s="10"/>
      <c r="R426" s="10"/>
      <c r="U426" s="16"/>
      <c r="X426" s="10"/>
      <c r="AA426" s="10"/>
      <c r="AD426" s="10"/>
    </row>
    <row r="427" customFormat="false" ht="15.75" hidden="false" customHeight="false" outlineLevel="0" collapsed="false">
      <c r="A427" s="7"/>
      <c r="B427" s="8"/>
      <c r="E427" s="3"/>
      <c r="F427" s="3"/>
      <c r="I427" s="10"/>
      <c r="K427" s="7"/>
      <c r="L427" s="7"/>
      <c r="O427" s="10"/>
      <c r="R427" s="10"/>
      <c r="U427" s="16"/>
      <c r="X427" s="10"/>
      <c r="AA427" s="10"/>
      <c r="AD427" s="10"/>
    </row>
    <row r="428" customFormat="false" ht="15.75" hidden="false" customHeight="false" outlineLevel="0" collapsed="false">
      <c r="A428" s="7"/>
      <c r="B428" s="8"/>
      <c r="E428" s="3"/>
      <c r="F428" s="3"/>
      <c r="I428" s="10"/>
      <c r="K428" s="7"/>
      <c r="L428" s="7"/>
      <c r="O428" s="10"/>
      <c r="R428" s="10"/>
      <c r="U428" s="16"/>
      <c r="X428" s="10"/>
      <c r="AA428" s="10"/>
      <c r="AD428" s="10"/>
    </row>
    <row r="429" customFormat="false" ht="15.75" hidden="false" customHeight="false" outlineLevel="0" collapsed="false">
      <c r="A429" s="7"/>
      <c r="B429" s="8"/>
      <c r="E429" s="3"/>
      <c r="F429" s="3"/>
      <c r="I429" s="10"/>
      <c r="K429" s="7"/>
      <c r="L429" s="7"/>
      <c r="O429" s="10"/>
      <c r="R429" s="10"/>
      <c r="U429" s="16"/>
      <c r="X429" s="10"/>
      <c r="AA429" s="10"/>
      <c r="AD429" s="10"/>
    </row>
    <row r="430" customFormat="false" ht="15.75" hidden="false" customHeight="false" outlineLevel="0" collapsed="false">
      <c r="A430" s="7"/>
      <c r="B430" s="8"/>
      <c r="E430" s="3"/>
      <c r="F430" s="3"/>
      <c r="I430" s="10"/>
      <c r="K430" s="7"/>
      <c r="L430" s="7"/>
      <c r="O430" s="10"/>
      <c r="R430" s="10"/>
      <c r="U430" s="16"/>
      <c r="X430" s="10"/>
      <c r="AA430" s="10"/>
      <c r="AD430" s="10"/>
    </row>
    <row r="431" customFormat="false" ht="15.75" hidden="false" customHeight="false" outlineLevel="0" collapsed="false">
      <c r="A431" s="7"/>
      <c r="B431" s="8"/>
      <c r="E431" s="3"/>
      <c r="F431" s="3"/>
      <c r="I431" s="10"/>
      <c r="K431" s="7"/>
      <c r="L431" s="7"/>
      <c r="O431" s="10"/>
      <c r="R431" s="10"/>
      <c r="U431" s="16"/>
      <c r="X431" s="10"/>
      <c r="AA431" s="10"/>
      <c r="AD431" s="10"/>
    </row>
    <row r="432" customFormat="false" ht="15.75" hidden="false" customHeight="false" outlineLevel="0" collapsed="false">
      <c r="A432" s="7"/>
      <c r="B432" s="8"/>
      <c r="E432" s="3"/>
      <c r="F432" s="3"/>
      <c r="I432" s="10"/>
      <c r="K432" s="7"/>
      <c r="L432" s="7"/>
      <c r="O432" s="10"/>
      <c r="R432" s="10"/>
      <c r="U432" s="16"/>
      <c r="X432" s="10"/>
      <c r="AA432" s="10"/>
      <c r="AD432" s="10"/>
    </row>
    <row r="433" customFormat="false" ht="15.75" hidden="false" customHeight="false" outlineLevel="0" collapsed="false">
      <c r="A433" s="7"/>
      <c r="B433" s="8"/>
      <c r="E433" s="3"/>
      <c r="F433" s="3"/>
      <c r="I433" s="10"/>
      <c r="K433" s="7"/>
      <c r="L433" s="7"/>
      <c r="O433" s="10"/>
      <c r="R433" s="10"/>
      <c r="U433" s="16"/>
      <c r="X433" s="10"/>
      <c r="AA433" s="10"/>
      <c r="AD433" s="10"/>
    </row>
    <row r="434" customFormat="false" ht="15.75" hidden="false" customHeight="false" outlineLevel="0" collapsed="false">
      <c r="A434" s="7"/>
      <c r="B434" s="8"/>
      <c r="E434" s="3"/>
      <c r="F434" s="3"/>
      <c r="I434" s="10"/>
      <c r="K434" s="7"/>
      <c r="L434" s="7"/>
      <c r="O434" s="10"/>
      <c r="R434" s="10"/>
      <c r="U434" s="16"/>
      <c r="X434" s="10"/>
      <c r="AA434" s="10"/>
      <c r="AD434" s="10"/>
    </row>
    <row r="435" customFormat="false" ht="15.75" hidden="false" customHeight="false" outlineLevel="0" collapsed="false">
      <c r="A435" s="7"/>
      <c r="B435" s="8"/>
      <c r="E435" s="3"/>
      <c r="F435" s="3"/>
      <c r="I435" s="10"/>
      <c r="K435" s="7"/>
      <c r="L435" s="7"/>
      <c r="O435" s="10"/>
      <c r="R435" s="10"/>
      <c r="U435" s="16"/>
      <c r="X435" s="10"/>
      <c r="AA435" s="10"/>
      <c r="AD435" s="10"/>
    </row>
    <row r="436" customFormat="false" ht="15.75" hidden="false" customHeight="false" outlineLevel="0" collapsed="false">
      <c r="A436" s="7"/>
      <c r="B436" s="8"/>
      <c r="E436" s="3"/>
      <c r="F436" s="3"/>
      <c r="I436" s="10"/>
      <c r="K436" s="7"/>
      <c r="L436" s="7"/>
      <c r="O436" s="10"/>
      <c r="R436" s="10"/>
      <c r="U436" s="16"/>
      <c r="X436" s="10"/>
      <c r="AA436" s="10"/>
      <c r="AD436" s="10"/>
    </row>
    <row r="437" customFormat="false" ht="15.75" hidden="false" customHeight="false" outlineLevel="0" collapsed="false">
      <c r="A437" s="7"/>
      <c r="B437" s="8"/>
      <c r="E437" s="3"/>
      <c r="F437" s="3"/>
      <c r="I437" s="10"/>
      <c r="K437" s="7"/>
      <c r="L437" s="7"/>
      <c r="O437" s="10"/>
      <c r="R437" s="10"/>
      <c r="U437" s="16"/>
      <c r="X437" s="10"/>
      <c r="AA437" s="10"/>
      <c r="AD437" s="10"/>
    </row>
    <row r="438" customFormat="false" ht="15.75" hidden="false" customHeight="false" outlineLevel="0" collapsed="false">
      <c r="A438" s="7"/>
      <c r="B438" s="8"/>
      <c r="E438" s="3"/>
      <c r="F438" s="3"/>
      <c r="I438" s="10"/>
      <c r="K438" s="7"/>
      <c r="L438" s="7"/>
      <c r="O438" s="10"/>
      <c r="R438" s="10"/>
      <c r="U438" s="16"/>
      <c r="X438" s="10"/>
      <c r="AA438" s="10"/>
      <c r="AD438" s="10"/>
    </row>
    <row r="439" customFormat="false" ht="15.75" hidden="false" customHeight="false" outlineLevel="0" collapsed="false">
      <c r="A439" s="7"/>
      <c r="B439" s="8"/>
      <c r="E439" s="3"/>
      <c r="F439" s="3"/>
      <c r="I439" s="10"/>
      <c r="K439" s="7"/>
      <c r="L439" s="7"/>
      <c r="O439" s="10"/>
      <c r="R439" s="10"/>
      <c r="U439" s="16"/>
      <c r="X439" s="10"/>
      <c r="AA439" s="10"/>
      <c r="AD439" s="10"/>
    </row>
    <row r="440" customFormat="false" ht="15.75" hidden="false" customHeight="false" outlineLevel="0" collapsed="false">
      <c r="A440" s="7"/>
      <c r="B440" s="8"/>
      <c r="E440" s="3"/>
      <c r="F440" s="3"/>
      <c r="I440" s="10"/>
      <c r="K440" s="7"/>
      <c r="L440" s="7"/>
      <c r="O440" s="10"/>
      <c r="R440" s="10"/>
      <c r="U440" s="16"/>
      <c r="X440" s="10"/>
      <c r="AA440" s="10"/>
      <c r="AD440" s="10"/>
    </row>
    <row r="441" customFormat="false" ht="15.75" hidden="false" customHeight="false" outlineLevel="0" collapsed="false">
      <c r="A441" s="7"/>
      <c r="B441" s="8"/>
      <c r="E441" s="3"/>
      <c r="F441" s="3"/>
      <c r="I441" s="10"/>
      <c r="K441" s="7"/>
      <c r="L441" s="7"/>
      <c r="O441" s="10"/>
      <c r="R441" s="10"/>
      <c r="U441" s="16"/>
      <c r="X441" s="10"/>
      <c r="AA441" s="10"/>
      <c r="AD441" s="10"/>
    </row>
    <row r="442" customFormat="false" ht="15.75" hidden="false" customHeight="false" outlineLevel="0" collapsed="false">
      <c r="A442" s="7"/>
      <c r="B442" s="8"/>
      <c r="E442" s="3"/>
      <c r="F442" s="3"/>
      <c r="I442" s="10"/>
      <c r="K442" s="7"/>
      <c r="L442" s="7"/>
      <c r="O442" s="10"/>
      <c r="R442" s="10"/>
      <c r="U442" s="16"/>
      <c r="X442" s="10"/>
      <c r="AA442" s="10"/>
      <c r="AD442" s="10"/>
    </row>
    <row r="443" customFormat="false" ht="15.75" hidden="false" customHeight="false" outlineLevel="0" collapsed="false">
      <c r="A443" s="7"/>
      <c r="B443" s="8"/>
      <c r="E443" s="3"/>
      <c r="F443" s="3"/>
      <c r="I443" s="10"/>
      <c r="K443" s="7"/>
      <c r="L443" s="7"/>
      <c r="O443" s="10"/>
      <c r="R443" s="10"/>
      <c r="U443" s="16"/>
      <c r="X443" s="10"/>
      <c r="AA443" s="10"/>
      <c r="AD443" s="10"/>
    </row>
    <row r="444" customFormat="false" ht="15.75" hidden="false" customHeight="false" outlineLevel="0" collapsed="false">
      <c r="A444" s="7"/>
      <c r="B444" s="8"/>
      <c r="E444" s="3"/>
      <c r="F444" s="3"/>
      <c r="I444" s="10"/>
      <c r="K444" s="7"/>
      <c r="L444" s="7"/>
      <c r="O444" s="10"/>
      <c r="R444" s="10"/>
      <c r="U444" s="16"/>
      <c r="X444" s="10"/>
      <c r="AA444" s="10"/>
      <c r="AD444" s="10"/>
    </row>
    <row r="445" customFormat="false" ht="15.75" hidden="false" customHeight="false" outlineLevel="0" collapsed="false">
      <c r="A445" s="7"/>
      <c r="B445" s="8"/>
      <c r="E445" s="3"/>
      <c r="F445" s="3"/>
      <c r="I445" s="10"/>
      <c r="K445" s="7"/>
      <c r="L445" s="7"/>
      <c r="O445" s="10"/>
      <c r="R445" s="10"/>
      <c r="U445" s="16"/>
      <c r="X445" s="10"/>
      <c r="AA445" s="10"/>
      <c r="AD445" s="10"/>
    </row>
    <row r="446" customFormat="false" ht="15.75" hidden="false" customHeight="false" outlineLevel="0" collapsed="false">
      <c r="A446" s="7"/>
      <c r="B446" s="8"/>
      <c r="E446" s="3"/>
      <c r="F446" s="3"/>
      <c r="I446" s="10"/>
      <c r="K446" s="7"/>
      <c r="L446" s="7"/>
      <c r="O446" s="10"/>
      <c r="R446" s="10"/>
      <c r="U446" s="16"/>
      <c r="X446" s="10"/>
      <c r="AA446" s="10"/>
      <c r="AD446" s="10"/>
    </row>
    <row r="447" customFormat="false" ht="15.75" hidden="false" customHeight="false" outlineLevel="0" collapsed="false">
      <c r="A447" s="7"/>
      <c r="B447" s="8"/>
      <c r="E447" s="3"/>
      <c r="F447" s="3"/>
      <c r="I447" s="10"/>
      <c r="K447" s="7"/>
      <c r="L447" s="7"/>
      <c r="O447" s="10"/>
      <c r="R447" s="10"/>
      <c r="U447" s="16"/>
      <c r="X447" s="10"/>
      <c r="AA447" s="10"/>
      <c r="AD447" s="10"/>
    </row>
    <row r="448" customFormat="false" ht="15.75" hidden="false" customHeight="false" outlineLevel="0" collapsed="false">
      <c r="A448" s="7"/>
      <c r="B448" s="8"/>
      <c r="E448" s="3"/>
      <c r="F448" s="3"/>
      <c r="I448" s="10"/>
      <c r="K448" s="7"/>
      <c r="L448" s="7"/>
      <c r="O448" s="10"/>
      <c r="R448" s="10"/>
      <c r="U448" s="16"/>
      <c r="X448" s="10"/>
      <c r="AA448" s="10"/>
      <c r="AD448" s="10"/>
    </row>
    <row r="449" customFormat="false" ht="15.75" hidden="false" customHeight="false" outlineLevel="0" collapsed="false">
      <c r="A449" s="7"/>
      <c r="B449" s="8"/>
      <c r="E449" s="3"/>
      <c r="F449" s="3"/>
      <c r="I449" s="10"/>
      <c r="K449" s="7"/>
      <c r="L449" s="7"/>
      <c r="O449" s="10"/>
      <c r="R449" s="10"/>
      <c r="U449" s="16"/>
      <c r="X449" s="10"/>
      <c r="AA449" s="10"/>
      <c r="AD449" s="10"/>
    </row>
    <row r="450" customFormat="false" ht="15.75" hidden="false" customHeight="false" outlineLevel="0" collapsed="false">
      <c r="A450" s="7"/>
      <c r="B450" s="8"/>
      <c r="E450" s="3"/>
      <c r="F450" s="3"/>
      <c r="I450" s="10"/>
      <c r="K450" s="7"/>
      <c r="L450" s="7"/>
      <c r="O450" s="10"/>
      <c r="R450" s="10"/>
      <c r="U450" s="16"/>
      <c r="X450" s="10"/>
      <c r="AA450" s="10"/>
      <c r="AD450" s="10"/>
    </row>
    <row r="451" customFormat="false" ht="15.75" hidden="false" customHeight="false" outlineLevel="0" collapsed="false">
      <c r="A451" s="7"/>
      <c r="B451" s="8"/>
      <c r="E451" s="3"/>
      <c r="F451" s="3"/>
      <c r="I451" s="10"/>
      <c r="K451" s="7"/>
      <c r="L451" s="7"/>
      <c r="O451" s="10"/>
      <c r="R451" s="10"/>
      <c r="U451" s="16"/>
      <c r="X451" s="10"/>
      <c r="AA451" s="10"/>
      <c r="AD451" s="10"/>
    </row>
    <row r="452" customFormat="false" ht="15.75" hidden="false" customHeight="false" outlineLevel="0" collapsed="false">
      <c r="A452" s="7"/>
      <c r="B452" s="8"/>
      <c r="E452" s="3"/>
      <c r="F452" s="3"/>
      <c r="I452" s="10"/>
      <c r="K452" s="7"/>
      <c r="L452" s="7"/>
      <c r="O452" s="10"/>
      <c r="R452" s="10"/>
      <c r="U452" s="16"/>
      <c r="X452" s="10"/>
      <c r="AA452" s="10"/>
      <c r="AD452" s="10"/>
    </row>
    <row r="453" customFormat="false" ht="15.75" hidden="false" customHeight="false" outlineLevel="0" collapsed="false">
      <c r="A453" s="7"/>
      <c r="B453" s="8"/>
      <c r="E453" s="3"/>
      <c r="F453" s="3"/>
      <c r="I453" s="10"/>
      <c r="K453" s="7"/>
      <c r="L453" s="7"/>
      <c r="O453" s="10"/>
      <c r="R453" s="10"/>
      <c r="U453" s="16"/>
      <c r="X453" s="10"/>
      <c r="AA453" s="10"/>
      <c r="AD453" s="10"/>
    </row>
    <row r="454" customFormat="false" ht="15.75" hidden="false" customHeight="false" outlineLevel="0" collapsed="false">
      <c r="A454" s="7"/>
      <c r="B454" s="8"/>
      <c r="E454" s="3"/>
      <c r="F454" s="3"/>
      <c r="I454" s="10"/>
      <c r="K454" s="7"/>
      <c r="L454" s="7"/>
      <c r="O454" s="10"/>
      <c r="R454" s="10"/>
      <c r="U454" s="16"/>
      <c r="X454" s="10"/>
      <c r="AA454" s="10"/>
      <c r="AD454" s="10"/>
    </row>
    <row r="455" customFormat="false" ht="15.75" hidden="false" customHeight="false" outlineLevel="0" collapsed="false">
      <c r="A455" s="7"/>
      <c r="B455" s="8"/>
      <c r="E455" s="3"/>
      <c r="F455" s="3"/>
      <c r="I455" s="10"/>
      <c r="K455" s="7"/>
      <c r="L455" s="7"/>
      <c r="O455" s="10"/>
      <c r="R455" s="10"/>
      <c r="U455" s="16"/>
      <c r="X455" s="10"/>
      <c r="AA455" s="10"/>
      <c r="AD455" s="10"/>
    </row>
    <row r="456" customFormat="false" ht="15.75" hidden="false" customHeight="false" outlineLevel="0" collapsed="false">
      <c r="A456" s="7"/>
      <c r="B456" s="8"/>
      <c r="E456" s="3"/>
      <c r="F456" s="3"/>
      <c r="I456" s="10"/>
      <c r="K456" s="7"/>
      <c r="L456" s="7"/>
      <c r="O456" s="10"/>
      <c r="R456" s="10"/>
      <c r="U456" s="16"/>
      <c r="X456" s="10"/>
      <c r="AA456" s="10"/>
      <c r="AD456" s="10"/>
    </row>
    <row r="457" customFormat="false" ht="15.75" hidden="false" customHeight="false" outlineLevel="0" collapsed="false">
      <c r="A457" s="7"/>
      <c r="B457" s="8"/>
      <c r="E457" s="3"/>
      <c r="F457" s="3"/>
      <c r="I457" s="10"/>
      <c r="K457" s="7"/>
      <c r="L457" s="7"/>
      <c r="O457" s="10"/>
      <c r="R457" s="10"/>
      <c r="U457" s="16"/>
      <c r="X457" s="10"/>
      <c r="AA457" s="10"/>
      <c r="AD457" s="10"/>
    </row>
    <row r="458" customFormat="false" ht="15.75" hidden="false" customHeight="false" outlineLevel="0" collapsed="false">
      <c r="A458" s="7"/>
      <c r="B458" s="8"/>
      <c r="E458" s="3"/>
      <c r="F458" s="3"/>
      <c r="I458" s="10"/>
      <c r="K458" s="7"/>
      <c r="L458" s="7"/>
      <c r="O458" s="10"/>
      <c r="R458" s="10"/>
      <c r="U458" s="16"/>
      <c r="X458" s="10"/>
      <c r="AA458" s="10"/>
      <c r="AD458" s="10"/>
    </row>
    <row r="459" customFormat="false" ht="15.75" hidden="false" customHeight="false" outlineLevel="0" collapsed="false">
      <c r="A459" s="7"/>
      <c r="B459" s="8"/>
      <c r="E459" s="3"/>
      <c r="F459" s="3"/>
      <c r="I459" s="10"/>
      <c r="K459" s="7"/>
      <c r="L459" s="7"/>
      <c r="O459" s="10"/>
      <c r="R459" s="10"/>
      <c r="U459" s="16"/>
      <c r="X459" s="10"/>
      <c r="AA459" s="10"/>
      <c r="AD459" s="10"/>
    </row>
    <row r="460" customFormat="false" ht="15.75" hidden="false" customHeight="false" outlineLevel="0" collapsed="false">
      <c r="A460" s="7"/>
      <c r="B460" s="8"/>
      <c r="E460" s="3"/>
      <c r="F460" s="3"/>
      <c r="I460" s="10"/>
      <c r="K460" s="7"/>
      <c r="L460" s="7"/>
      <c r="O460" s="10"/>
      <c r="R460" s="10"/>
      <c r="U460" s="16"/>
      <c r="X460" s="10"/>
      <c r="AA460" s="10"/>
      <c r="AD460" s="10"/>
    </row>
    <row r="461" customFormat="false" ht="15.75" hidden="false" customHeight="false" outlineLevel="0" collapsed="false">
      <c r="A461" s="7"/>
      <c r="B461" s="8"/>
      <c r="E461" s="3"/>
      <c r="F461" s="3"/>
      <c r="I461" s="10"/>
      <c r="K461" s="7"/>
      <c r="L461" s="7"/>
      <c r="O461" s="10"/>
      <c r="R461" s="10"/>
      <c r="U461" s="16"/>
      <c r="X461" s="10"/>
      <c r="AA461" s="10"/>
      <c r="AD461" s="10"/>
    </row>
    <row r="462" customFormat="false" ht="15.75" hidden="false" customHeight="false" outlineLevel="0" collapsed="false">
      <c r="A462" s="7"/>
      <c r="B462" s="8"/>
      <c r="E462" s="3"/>
      <c r="F462" s="3"/>
      <c r="I462" s="10"/>
      <c r="K462" s="7"/>
      <c r="L462" s="7"/>
      <c r="O462" s="10"/>
      <c r="R462" s="10"/>
      <c r="U462" s="16"/>
      <c r="X462" s="10"/>
      <c r="AA462" s="10"/>
      <c r="AD462" s="10"/>
    </row>
    <row r="463" customFormat="false" ht="15.75" hidden="false" customHeight="false" outlineLevel="0" collapsed="false">
      <c r="A463" s="7"/>
      <c r="B463" s="8"/>
      <c r="E463" s="3"/>
      <c r="F463" s="3"/>
      <c r="I463" s="10"/>
      <c r="K463" s="7"/>
      <c r="L463" s="7"/>
      <c r="O463" s="10"/>
      <c r="R463" s="10"/>
      <c r="U463" s="16"/>
      <c r="X463" s="10"/>
      <c r="AA463" s="10"/>
      <c r="AD463" s="10"/>
    </row>
    <row r="464" customFormat="false" ht="15.75" hidden="false" customHeight="false" outlineLevel="0" collapsed="false">
      <c r="A464" s="7"/>
      <c r="B464" s="8"/>
      <c r="E464" s="3"/>
      <c r="F464" s="3"/>
      <c r="I464" s="10"/>
      <c r="K464" s="7"/>
      <c r="L464" s="7"/>
      <c r="O464" s="10"/>
      <c r="R464" s="10"/>
      <c r="U464" s="16"/>
      <c r="X464" s="10"/>
      <c r="AA464" s="10"/>
      <c r="AD464" s="10"/>
    </row>
    <row r="465" customFormat="false" ht="15.75" hidden="false" customHeight="false" outlineLevel="0" collapsed="false">
      <c r="A465" s="7"/>
      <c r="B465" s="8"/>
      <c r="E465" s="3"/>
      <c r="F465" s="3"/>
      <c r="I465" s="10"/>
      <c r="K465" s="7"/>
      <c r="L465" s="7"/>
      <c r="O465" s="10"/>
      <c r="R465" s="10"/>
      <c r="U465" s="16"/>
      <c r="X465" s="10"/>
      <c r="AA465" s="10"/>
      <c r="AD465" s="10"/>
    </row>
    <row r="466" customFormat="false" ht="15.75" hidden="false" customHeight="false" outlineLevel="0" collapsed="false">
      <c r="A466" s="7"/>
      <c r="B466" s="8"/>
      <c r="E466" s="3"/>
      <c r="F466" s="3"/>
      <c r="I466" s="10"/>
      <c r="K466" s="7"/>
      <c r="L466" s="7"/>
      <c r="O466" s="10"/>
      <c r="R466" s="10"/>
      <c r="U466" s="16"/>
      <c r="X466" s="10"/>
      <c r="AA466" s="10"/>
      <c r="AD466" s="10"/>
    </row>
    <row r="467" customFormat="false" ht="15.75" hidden="false" customHeight="false" outlineLevel="0" collapsed="false">
      <c r="A467" s="7"/>
      <c r="B467" s="8"/>
      <c r="E467" s="3"/>
      <c r="F467" s="3"/>
      <c r="I467" s="10"/>
      <c r="K467" s="7"/>
      <c r="L467" s="7"/>
      <c r="O467" s="10"/>
      <c r="R467" s="10"/>
      <c r="U467" s="16"/>
      <c r="X467" s="10"/>
      <c r="AA467" s="10"/>
      <c r="AD467" s="10"/>
    </row>
    <row r="468" customFormat="false" ht="15.75" hidden="false" customHeight="false" outlineLevel="0" collapsed="false">
      <c r="A468" s="7"/>
      <c r="B468" s="8"/>
      <c r="E468" s="3"/>
      <c r="F468" s="3"/>
      <c r="I468" s="10"/>
      <c r="K468" s="7"/>
      <c r="L468" s="7"/>
      <c r="O468" s="10"/>
      <c r="R468" s="10"/>
      <c r="U468" s="16"/>
      <c r="X468" s="10"/>
      <c r="AA468" s="10"/>
      <c r="AD468" s="10"/>
    </row>
    <row r="469" customFormat="false" ht="15.75" hidden="false" customHeight="false" outlineLevel="0" collapsed="false">
      <c r="A469" s="7"/>
      <c r="B469" s="8"/>
      <c r="E469" s="3"/>
      <c r="F469" s="3"/>
      <c r="I469" s="10"/>
      <c r="K469" s="7"/>
      <c r="L469" s="7"/>
      <c r="O469" s="10"/>
      <c r="R469" s="10"/>
      <c r="U469" s="16"/>
      <c r="X469" s="10"/>
      <c r="AA469" s="10"/>
      <c r="AD469" s="10"/>
    </row>
    <row r="470" customFormat="false" ht="15.75" hidden="false" customHeight="false" outlineLevel="0" collapsed="false">
      <c r="A470" s="7"/>
      <c r="B470" s="8"/>
      <c r="E470" s="3"/>
      <c r="F470" s="3"/>
      <c r="I470" s="10"/>
      <c r="K470" s="7"/>
      <c r="L470" s="7"/>
      <c r="O470" s="10"/>
      <c r="R470" s="10"/>
      <c r="U470" s="16"/>
      <c r="X470" s="10"/>
      <c r="AA470" s="10"/>
      <c r="AD470" s="10"/>
    </row>
    <row r="471" customFormat="false" ht="15.75" hidden="false" customHeight="false" outlineLevel="0" collapsed="false">
      <c r="A471" s="7"/>
      <c r="B471" s="8"/>
      <c r="E471" s="3"/>
      <c r="F471" s="3"/>
      <c r="I471" s="10"/>
      <c r="K471" s="7"/>
      <c r="L471" s="7"/>
      <c r="O471" s="10"/>
      <c r="R471" s="10"/>
      <c r="U471" s="16"/>
      <c r="X471" s="10"/>
      <c r="AA471" s="10"/>
      <c r="AD471" s="10"/>
    </row>
    <row r="472" customFormat="false" ht="15.75" hidden="false" customHeight="false" outlineLevel="0" collapsed="false">
      <c r="A472" s="7"/>
      <c r="B472" s="8"/>
      <c r="E472" s="3"/>
      <c r="F472" s="3"/>
      <c r="I472" s="10"/>
      <c r="K472" s="7"/>
      <c r="L472" s="7"/>
      <c r="O472" s="10"/>
      <c r="R472" s="10"/>
      <c r="U472" s="16"/>
      <c r="X472" s="10"/>
      <c r="AA472" s="10"/>
      <c r="AD472" s="10"/>
    </row>
    <row r="473" customFormat="false" ht="15.75" hidden="false" customHeight="false" outlineLevel="0" collapsed="false">
      <c r="A473" s="7"/>
      <c r="B473" s="8"/>
      <c r="E473" s="3"/>
      <c r="F473" s="3"/>
      <c r="I473" s="10"/>
      <c r="K473" s="7"/>
      <c r="L473" s="7"/>
      <c r="O473" s="10"/>
      <c r="R473" s="10"/>
      <c r="U473" s="16"/>
      <c r="X473" s="10"/>
      <c r="AA473" s="10"/>
      <c r="AD473" s="10"/>
    </row>
    <row r="474" customFormat="false" ht="15.75" hidden="false" customHeight="false" outlineLevel="0" collapsed="false">
      <c r="A474" s="7"/>
      <c r="B474" s="8"/>
      <c r="E474" s="3"/>
      <c r="F474" s="3"/>
      <c r="I474" s="10"/>
      <c r="K474" s="7"/>
      <c r="L474" s="7"/>
      <c r="O474" s="10"/>
      <c r="R474" s="10"/>
      <c r="U474" s="16"/>
      <c r="X474" s="10"/>
      <c r="AA474" s="10"/>
      <c r="AD474" s="10"/>
    </row>
    <row r="475" customFormat="false" ht="15.75" hidden="false" customHeight="false" outlineLevel="0" collapsed="false">
      <c r="A475" s="7"/>
      <c r="B475" s="8"/>
      <c r="E475" s="3"/>
      <c r="F475" s="3"/>
      <c r="I475" s="10"/>
      <c r="K475" s="7"/>
      <c r="L475" s="7"/>
      <c r="O475" s="10"/>
      <c r="R475" s="10"/>
      <c r="U475" s="16"/>
      <c r="X475" s="10"/>
      <c r="AA475" s="10"/>
      <c r="AD475" s="10"/>
    </row>
    <row r="476" customFormat="false" ht="15.75" hidden="false" customHeight="false" outlineLevel="0" collapsed="false">
      <c r="A476" s="7"/>
      <c r="B476" s="8"/>
      <c r="E476" s="3"/>
      <c r="F476" s="3"/>
      <c r="I476" s="10"/>
      <c r="K476" s="7"/>
      <c r="L476" s="7"/>
      <c r="O476" s="10"/>
      <c r="R476" s="10"/>
      <c r="U476" s="16"/>
      <c r="X476" s="10"/>
      <c r="AA476" s="10"/>
      <c r="AD476" s="10"/>
    </row>
    <row r="477" customFormat="false" ht="15.75" hidden="false" customHeight="false" outlineLevel="0" collapsed="false">
      <c r="A477" s="7"/>
      <c r="B477" s="8"/>
      <c r="E477" s="3"/>
      <c r="F477" s="3"/>
      <c r="I477" s="10"/>
      <c r="K477" s="7"/>
      <c r="L477" s="7"/>
      <c r="O477" s="10"/>
      <c r="R477" s="10"/>
      <c r="U477" s="16"/>
      <c r="X477" s="10"/>
      <c r="AA477" s="10"/>
      <c r="AD477" s="10"/>
    </row>
    <row r="478" customFormat="false" ht="15.75" hidden="false" customHeight="false" outlineLevel="0" collapsed="false">
      <c r="A478" s="7"/>
      <c r="B478" s="8"/>
      <c r="E478" s="3"/>
      <c r="F478" s="3"/>
      <c r="I478" s="10"/>
      <c r="K478" s="7"/>
      <c r="L478" s="7"/>
      <c r="O478" s="10"/>
      <c r="R478" s="10"/>
      <c r="U478" s="16"/>
      <c r="X478" s="10"/>
      <c r="AA478" s="10"/>
      <c r="AD478" s="10"/>
    </row>
    <row r="479" customFormat="false" ht="15.75" hidden="false" customHeight="false" outlineLevel="0" collapsed="false">
      <c r="A479" s="7"/>
      <c r="B479" s="8"/>
      <c r="E479" s="3"/>
      <c r="F479" s="3"/>
      <c r="I479" s="10"/>
      <c r="K479" s="7"/>
      <c r="L479" s="7"/>
      <c r="O479" s="10"/>
      <c r="R479" s="10"/>
      <c r="U479" s="16"/>
      <c r="X479" s="10"/>
      <c r="AA479" s="10"/>
      <c r="AD479" s="10"/>
    </row>
    <row r="480" customFormat="false" ht="15.75" hidden="false" customHeight="false" outlineLevel="0" collapsed="false">
      <c r="A480" s="7"/>
      <c r="B480" s="8"/>
      <c r="E480" s="3"/>
      <c r="F480" s="3"/>
      <c r="I480" s="10"/>
      <c r="K480" s="7"/>
      <c r="L480" s="7"/>
      <c r="O480" s="10"/>
      <c r="R480" s="10"/>
      <c r="U480" s="16"/>
      <c r="X480" s="10"/>
      <c r="AA480" s="10"/>
      <c r="AD480" s="10"/>
    </row>
    <row r="481" customFormat="false" ht="15.75" hidden="false" customHeight="false" outlineLevel="0" collapsed="false">
      <c r="A481" s="7"/>
      <c r="B481" s="8"/>
      <c r="E481" s="3"/>
      <c r="F481" s="3"/>
      <c r="I481" s="10"/>
      <c r="K481" s="7"/>
      <c r="L481" s="7"/>
      <c r="O481" s="10"/>
      <c r="R481" s="10"/>
      <c r="U481" s="16"/>
      <c r="X481" s="10"/>
      <c r="AA481" s="10"/>
      <c r="AD481" s="10"/>
    </row>
    <row r="482" customFormat="false" ht="15.75" hidden="false" customHeight="false" outlineLevel="0" collapsed="false">
      <c r="A482" s="7"/>
      <c r="B482" s="8"/>
      <c r="E482" s="3"/>
      <c r="F482" s="3"/>
      <c r="I482" s="10"/>
      <c r="K482" s="7"/>
      <c r="L482" s="7"/>
      <c r="O482" s="10"/>
      <c r="R482" s="10"/>
      <c r="U482" s="16"/>
      <c r="X482" s="10"/>
      <c r="AA482" s="10"/>
      <c r="AD482" s="10"/>
    </row>
    <row r="483" customFormat="false" ht="15.75" hidden="false" customHeight="false" outlineLevel="0" collapsed="false">
      <c r="A483" s="7"/>
      <c r="B483" s="8"/>
      <c r="E483" s="3"/>
      <c r="F483" s="3"/>
      <c r="I483" s="10"/>
      <c r="K483" s="7"/>
      <c r="L483" s="7"/>
      <c r="O483" s="10"/>
      <c r="R483" s="10"/>
      <c r="U483" s="16"/>
      <c r="X483" s="10"/>
      <c r="AA483" s="10"/>
      <c r="AD483" s="10"/>
    </row>
    <row r="484" customFormat="false" ht="15.75" hidden="false" customHeight="false" outlineLevel="0" collapsed="false">
      <c r="A484" s="7"/>
      <c r="B484" s="8"/>
      <c r="E484" s="3"/>
      <c r="F484" s="3"/>
      <c r="I484" s="10"/>
      <c r="K484" s="7"/>
      <c r="L484" s="7"/>
      <c r="O484" s="10"/>
      <c r="R484" s="10"/>
      <c r="U484" s="16"/>
      <c r="X484" s="10"/>
      <c r="AA484" s="10"/>
      <c r="AD484" s="10"/>
    </row>
    <row r="485" customFormat="false" ht="15.75" hidden="false" customHeight="false" outlineLevel="0" collapsed="false">
      <c r="A485" s="7"/>
      <c r="B485" s="8"/>
      <c r="E485" s="3"/>
      <c r="F485" s="3"/>
      <c r="I485" s="10"/>
      <c r="K485" s="7"/>
      <c r="L485" s="7"/>
      <c r="O485" s="10"/>
      <c r="R485" s="10"/>
      <c r="U485" s="16"/>
      <c r="X485" s="10"/>
      <c r="AA485" s="10"/>
      <c r="AD485" s="10"/>
    </row>
    <row r="486" customFormat="false" ht="15.75" hidden="false" customHeight="false" outlineLevel="0" collapsed="false">
      <c r="A486" s="7"/>
      <c r="B486" s="8"/>
      <c r="E486" s="3"/>
      <c r="F486" s="3"/>
      <c r="I486" s="10"/>
      <c r="K486" s="7"/>
      <c r="L486" s="7"/>
      <c r="O486" s="10"/>
      <c r="R486" s="10"/>
      <c r="U486" s="16"/>
      <c r="X486" s="10"/>
      <c r="AA486" s="10"/>
      <c r="AD486" s="10"/>
    </row>
    <row r="487" customFormat="false" ht="15.75" hidden="false" customHeight="false" outlineLevel="0" collapsed="false">
      <c r="A487" s="7"/>
      <c r="B487" s="8"/>
      <c r="E487" s="3"/>
      <c r="F487" s="3"/>
      <c r="I487" s="10"/>
      <c r="K487" s="7"/>
      <c r="L487" s="7"/>
      <c r="O487" s="10"/>
      <c r="R487" s="10"/>
      <c r="U487" s="16"/>
      <c r="X487" s="10"/>
      <c r="AA487" s="10"/>
      <c r="AD487" s="10"/>
    </row>
    <row r="488" customFormat="false" ht="15.75" hidden="false" customHeight="false" outlineLevel="0" collapsed="false">
      <c r="A488" s="7"/>
      <c r="B488" s="8"/>
      <c r="E488" s="3"/>
      <c r="F488" s="3"/>
      <c r="I488" s="10"/>
      <c r="K488" s="7"/>
      <c r="L488" s="7"/>
      <c r="O488" s="10"/>
      <c r="R488" s="10"/>
      <c r="U488" s="16"/>
      <c r="X488" s="10"/>
      <c r="AA488" s="10"/>
      <c r="AD488" s="10"/>
    </row>
    <row r="489" customFormat="false" ht="15.75" hidden="false" customHeight="false" outlineLevel="0" collapsed="false">
      <c r="A489" s="7"/>
      <c r="B489" s="8"/>
      <c r="E489" s="3"/>
      <c r="F489" s="3"/>
      <c r="I489" s="10"/>
      <c r="K489" s="7"/>
      <c r="L489" s="7"/>
      <c r="O489" s="10"/>
      <c r="R489" s="10"/>
      <c r="U489" s="16"/>
      <c r="X489" s="10"/>
      <c r="AA489" s="10"/>
      <c r="AD489" s="10"/>
    </row>
    <row r="490" customFormat="false" ht="15.75" hidden="false" customHeight="false" outlineLevel="0" collapsed="false">
      <c r="A490" s="7"/>
      <c r="B490" s="8"/>
      <c r="E490" s="3"/>
      <c r="F490" s="3"/>
      <c r="I490" s="10"/>
      <c r="K490" s="7"/>
      <c r="L490" s="7"/>
      <c r="O490" s="10"/>
      <c r="R490" s="10"/>
      <c r="U490" s="16"/>
      <c r="X490" s="10"/>
      <c r="AA490" s="10"/>
      <c r="AD490" s="10"/>
    </row>
    <row r="491" customFormat="false" ht="15.75" hidden="false" customHeight="false" outlineLevel="0" collapsed="false">
      <c r="A491" s="7"/>
      <c r="B491" s="8"/>
      <c r="E491" s="3"/>
      <c r="F491" s="3"/>
      <c r="I491" s="10"/>
      <c r="K491" s="7"/>
      <c r="L491" s="7"/>
      <c r="O491" s="10"/>
      <c r="R491" s="10"/>
      <c r="U491" s="16"/>
      <c r="X491" s="10"/>
      <c r="AA491" s="10"/>
      <c r="AD491" s="10"/>
    </row>
    <row r="492" customFormat="false" ht="15.75" hidden="false" customHeight="false" outlineLevel="0" collapsed="false">
      <c r="A492" s="7"/>
      <c r="B492" s="8"/>
      <c r="E492" s="3"/>
      <c r="F492" s="3"/>
      <c r="I492" s="10"/>
      <c r="K492" s="7"/>
      <c r="L492" s="7"/>
      <c r="O492" s="10"/>
      <c r="R492" s="10"/>
      <c r="U492" s="16"/>
      <c r="X492" s="10"/>
      <c r="AA492" s="10"/>
      <c r="AD492" s="10"/>
    </row>
    <row r="493" customFormat="false" ht="15.75" hidden="false" customHeight="false" outlineLevel="0" collapsed="false">
      <c r="A493" s="7"/>
      <c r="B493" s="8"/>
      <c r="E493" s="3"/>
      <c r="F493" s="3"/>
      <c r="I493" s="10"/>
      <c r="K493" s="7"/>
      <c r="L493" s="7"/>
      <c r="O493" s="10"/>
      <c r="R493" s="10"/>
      <c r="U493" s="16"/>
      <c r="X493" s="10"/>
      <c r="AA493" s="10"/>
      <c r="AD493" s="10"/>
    </row>
    <row r="494" customFormat="false" ht="15.75" hidden="false" customHeight="false" outlineLevel="0" collapsed="false">
      <c r="A494" s="7"/>
      <c r="B494" s="8"/>
      <c r="E494" s="3"/>
      <c r="F494" s="3"/>
      <c r="I494" s="10"/>
      <c r="K494" s="7"/>
      <c r="L494" s="7"/>
      <c r="O494" s="10"/>
      <c r="R494" s="10"/>
      <c r="U494" s="16"/>
      <c r="X494" s="10"/>
      <c r="AA494" s="10"/>
      <c r="AD494" s="10"/>
    </row>
    <row r="495" customFormat="false" ht="15.75" hidden="false" customHeight="false" outlineLevel="0" collapsed="false">
      <c r="A495" s="7"/>
      <c r="B495" s="8"/>
      <c r="E495" s="3"/>
      <c r="F495" s="3"/>
      <c r="I495" s="10"/>
      <c r="K495" s="7"/>
      <c r="L495" s="7"/>
      <c r="O495" s="10"/>
      <c r="R495" s="10"/>
      <c r="U495" s="16"/>
      <c r="X495" s="10"/>
      <c r="AA495" s="10"/>
      <c r="AD495" s="10"/>
    </row>
    <row r="496" customFormat="false" ht="15.75" hidden="false" customHeight="false" outlineLevel="0" collapsed="false">
      <c r="A496" s="7"/>
      <c r="B496" s="8"/>
      <c r="E496" s="3"/>
      <c r="F496" s="3"/>
      <c r="I496" s="10"/>
      <c r="K496" s="7"/>
      <c r="L496" s="7"/>
      <c r="O496" s="10"/>
      <c r="R496" s="10"/>
      <c r="U496" s="16"/>
      <c r="X496" s="10"/>
      <c r="AA496" s="10"/>
      <c r="AD496" s="10"/>
    </row>
    <row r="497" customFormat="false" ht="15.75" hidden="false" customHeight="false" outlineLevel="0" collapsed="false">
      <c r="A497" s="7"/>
      <c r="B497" s="8"/>
      <c r="E497" s="3"/>
      <c r="F497" s="3"/>
      <c r="I497" s="10"/>
      <c r="K497" s="7"/>
      <c r="L497" s="7"/>
      <c r="O497" s="10"/>
      <c r="R497" s="10"/>
      <c r="U497" s="16"/>
      <c r="X497" s="10"/>
      <c r="AA497" s="10"/>
      <c r="AD497" s="10"/>
    </row>
    <row r="498" customFormat="false" ht="15.75" hidden="false" customHeight="false" outlineLevel="0" collapsed="false">
      <c r="A498" s="7"/>
      <c r="B498" s="8"/>
      <c r="E498" s="3"/>
      <c r="F498" s="3"/>
      <c r="I498" s="10"/>
      <c r="K498" s="7"/>
      <c r="L498" s="7"/>
      <c r="O498" s="10"/>
      <c r="R498" s="10"/>
      <c r="U498" s="16"/>
      <c r="X498" s="10"/>
      <c r="AA498" s="10"/>
      <c r="AD498" s="10"/>
    </row>
    <row r="499" customFormat="false" ht="15.75" hidden="false" customHeight="false" outlineLevel="0" collapsed="false">
      <c r="A499" s="7"/>
      <c r="B499" s="8"/>
      <c r="E499" s="3"/>
      <c r="F499" s="3"/>
      <c r="I499" s="10"/>
      <c r="K499" s="7"/>
      <c r="L499" s="7"/>
      <c r="O499" s="10"/>
      <c r="R499" s="10"/>
      <c r="U499" s="16"/>
      <c r="X499" s="10"/>
      <c r="AA499" s="10"/>
      <c r="AD499" s="10"/>
    </row>
    <row r="500" customFormat="false" ht="15.75" hidden="false" customHeight="false" outlineLevel="0" collapsed="false">
      <c r="A500" s="7"/>
      <c r="B500" s="8"/>
      <c r="E500" s="3"/>
      <c r="F500" s="3"/>
      <c r="I500" s="10"/>
      <c r="K500" s="7"/>
      <c r="L500" s="7"/>
      <c r="O500" s="10"/>
      <c r="R500" s="10"/>
      <c r="U500" s="16"/>
      <c r="X500" s="10"/>
      <c r="AA500" s="10"/>
      <c r="AD500" s="10"/>
    </row>
    <row r="501" customFormat="false" ht="15.75" hidden="false" customHeight="false" outlineLevel="0" collapsed="false">
      <c r="A501" s="7"/>
      <c r="B501" s="8"/>
      <c r="E501" s="3"/>
      <c r="F501" s="3"/>
      <c r="I501" s="10"/>
      <c r="K501" s="7"/>
      <c r="L501" s="7"/>
      <c r="O501" s="10"/>
      <c r="R501" s="10"/>
      <c r="U501" s="16"/>
      <c r="X501" s="10"/>
      <c r="AA501" s="10"/>
      <c r="AD501" s="10"/>
    </row>
    <row r="502" customFormat="false" ht="15.75" hidden="false" customHeight="false" outlineLevel="0" collapsed="false">
      <c r="A502" s="7"/>
      <c r="B502" s="8"/>
      <c r="E502" s="3"/>
      <c r="F502" s="3"/>
      <c r="I502" s="10"/>
      <c r="K502" s="7"/>
      <c r="L502" s="7"/>
      <c r="O502" s="10"/>
      <c r="R502" s="10"/>
      <c r="U502" s="16"/>
      <c r="X502" s="10"/>
      <c r="AA502" s="10"/>
      <c r="AD502" s="10"/>
    </row>
    <row r="503" customFormat="false" ht="15.75" hidden="false" customHeight="false" outlineLevel="0" collapsed="false">
      <c r="A503" s="7"/>
      <c r="B503" s="8"/>
      <c r="E503" s="3"/>
      <c r="F503" s="3"/>
      <c r="I503" s="10"/>
      <c r="K503" s="7"/>
      <c r="L503" s="7"/>
      <c r="O503" s="10"/>
      <c r="R503" s="10"/>
      <c r="U503" s="16"/>
      <c r="X503" s="10"/>
      <c r="AA503" s="10"/>
      <c r="AD503" s="10"/>
    </row>
    <row r="504" customFormat="false" ht="15.75" hidden="false" customHeight="false" outlineLevel="0" collapsed="false">
      <c r="A504" s="7"/>
      <c r="B504" s="8"/>
      <c r="E504" s="3"/>
      <c r="F504" s="3"/>
      <c r="I504" s="10"/>
      <c r="K504" s="7"/>
      <c r="L504" s="7"/>
      <c r="O504" s="10"/>
      <c r="R504" s="10"/>
      <c r="U504" s="16"/>
      <c r="X504" s="10"/>
      <c r="AA504" s="10"/>
      <c r="AD504" s="10"/>
    </row>
    <row r="505" customFormat="false" ht="15.75" hidden="false" customHeight="false" outlineLevel="0" collapsed="false">
      <c r="A505" s="7"/>
      <c r="B505" s="8"/>
      <c r="E505" s="3"/>
      <c r="F505" s="3"/>
      <c r="I505" s="10"/>
      <c r="K505" s="7"/>
      <c r="L505" s="7"/>
      <c r="O505" s="10"/>
      <c r="R505" s="10"/>
      <c r="U505" s="16"/>
      <c r="X505" s="10"/>
      <c r="AA505" s="10"/>
      <c r="AD505" s="10"/>
    </row>
    <row r="506" customFormat="false" ht="15.75" hidden="false" customHeight="false" outlineLevel="0" collapsed="false">
      <c r="A506" s="7"/>
      <c r="B506" s="8"/>
      <c r="E506" s="3"/>
      <c r="F506" s="3"/>
      <c r="I506" s="10"/>
      <c r="K506" s="7"/>
      <c r="L506" s="7"/>
      <c r="O506" s="10"/>
      <c r="R506" s="10"/>
      <c r="U506" s="16"/>
      <c r="X506" s="10"/>
      <c r="AA506" s="10"/>
      <c r="AD506" s="10"/>
    </row>
    <row r="507" customFormat="false" ht="15.75" hidden="false" customHeight="false" outlineLevel="0" collapsed="false">
      <c r="A507" s="7"/>
      <c r="B507" s="8"/>
      <c r="E507" s="3"/>
      <c r="F507" s="3"/>
      <c r="I507" s="10"/>
      <c r="K507" s="7"/>
      <c r="L507" s="7"/>
      <c r="O507" s="10"/>
      <c r="R507" s="10"/>
      <c r="U507" s="16"/>
      <c r="X507" s="10"/>
      <c r="AA507" s="10"/>
      <c r="AD507" s="10"/>
    </row>
    <row r="508" customFormat="false" ht="15.75" hidden="false" customHeight="false" outlineLevel="0" collapsed="false">
      <c r="A508" s="7"/>
      <c r="B508" s="8"/>
      <c r="E508" s="3"/>
      <c r="F508" s="3"/>
      <c r="I508" s="10"/>
      <c r="K508" s="7"/>
      <c r="L508" s="7"/>
      <c r="O508" s="10"/>
      <c r="R508" s="10"/>
      <c r="U508" s="16"/>
      <c r="X508" s="10"/>
      <c r="AA508" s="10"/>
      <c r="AD508" s="10"/>
    </row>
    <row r="509" customFormat="false" ht="15.75" hidden="false" customHeight="false" outlineLevel="0" collapsed="false">
      <c r="A509" s="7"/>
      <c r="B509" s="8"/>
      <c r="E509" s="3"/>
      <c r="F509" s="3"/>
      <c r="I509" s="10"/>
      <c r="K509" s="7"/>
      <c r="L509" s="7"/>
      <c r="O509" s="10"/>
      <c r="R509" s="10"/>
      <c r="U509" s="16"/>
      <c r="X509" s="10"/>
      <c r="AA509" s="10"/>
      <c r="AD509" s="10"/>
    </row>
    <row r="510" customFormat="false" ht="15.75" hidden="false" customHeight="false" outlineLevel="0" collapsed="false">
      <c r="A510" s="7"/>
      <c r="B510" s="8"/>
      <c r="E510" s="3"/>
      <c r="F510" s="3"/>
      <c r="I510" s="10"/>
      <c r="K510" s="7"/>
      <c r="L510" s="7"/>
      <c r="O510" s="10"/>
      <c r="R510" s="10"/>
      <c r="U510" s="16"/>
      <c r="X510" s="10"/>
      <c r="AA510" s="10"/>
      <c r="AD510" s="10"/>
    </row>
    <row r="511" customFormat="false" ht="15.75" hidden="false" customHeight="false" outlineLevel="0" collapsed="false">
      <c r="A511" s="7"/>
      <c r="B511" s="8"/>
      <c r="E511" s="3"/>
      <c r="F511" s="3"/>
      <c r="I511" s="10"/>
      <c r="K511" s="7"/>
      <c r="L511" s="7"/>
      <c r="O511" s="10"/>
      <c r="R511" s="10"/>
      <c r="U511" s="16"/>
      <c r="X511" s="10"/>
      <c r="AA511" s="10"/>
      <c r="AD511" s="10"/>
    </row>
    <row r="512" customFormat="false" ht="15.75" hidden="false" customHeight="false" outlineLevel="0" collapsed="false">
      <c r="A512" s="7"/>
      <c r="B512" s="8"/>
      <c r="E512" s="3"/>
      <c r="F512" s="3"/>
      <c r="I512" s="10"/>
      <c r="K512" s="7"/>
      <c r="L512" s="7"/>
      <c r="O512" s="10"/>
      <c r="R512" s="10"/>
      <c r="U512" s="16"/>
      <c r="X512" s="10"/>
      <c r="AA512" s="10"/>
      <c r="AD512" s="10"/>
    </row>
    <row r="513" customFormat="false" ht="15.75" hidden="false" customHeight="false" outlineLevel="0" collapsed="false">
      <c r="A513" s="7"/>
      <c r="B513" s="8"/>
      <c r="E513" s="3"/>
      <c r="F513" s="3"/>
      <c r="I513" s="10"/>
      <c r="K513" s="7"/>
      <c r="L513" s="7"/>
      <c r="O513" s="10"/>
      <c r="R513" s="10"/>
      <c r="U513" s="16"/>
      <c r="X513" s="10"/>
      <c r="AA513" s="10"/>
      <c r="AD513" s="10"/>
    </row>
    <row r="514" customFormat="false" ht="15.75" hidden="false" customHeight="false" outlineLevel="0" collapsed="false">
      <c r="A514" s="7"/>
      <c r="B514" s="8"/>
      <c r="E514" s="3"/>
      <c r="F514" s="3"/>
      <c r="I514" s="10"/>
      <c r="K514" s="7"/>
      <c r="L514" s="7"/>
      <c r="O514" s="10"/>
      <c r="R514" s="10"/>
      <c r="U514" s="16"/>
      <c r="X514" s="10"/>
      <c r="AA514" s="10"/>
      <c r="AD514" s="10"/>
    </row>
    <row r="515" customFormat="false" ht="15.75" hidden="false" customHeight="false" outlineLevel="0" collapsed="false">
      <c r="A515" s="7"/>
      <c r="B515" s="8"/>
      <c r="E515" s="3"/>
      <c r="F515" s="3"/>
      <c r="I515" s="10"/>
      <c r="K515" s="7"/>
      <c r="L515" s="7"/>
      <c r="O515" s="10"/>
      <c r="R515" s="10"/>
      <c r="U515" s="16"/>
      <c r="X515" s="10"/>
      <c r="AA515" s="10"/>
      <c r="AD515" s="10"/>
    </row>
    <row r="516" customFormat="false" ht="15.75" hidden="false" customHeight="false" outlineLevel="0" collapsed="false">
      <c r="A516" s="7"/>
      <c r="B516" s="8"/>
      <c r="E516" s="3"/>
      <c r="F516" s="3"/>
      <c r="I516" s="10"/>
      <c r="K516" s="7"/>
      <c r="L516" s="7"/>
      <c r="O516" s="10"/>
      <c r="R516" s="10"/>
      <c r="U516" s="16"/>
      <c r="X516" s="10"/>
      <c r="AA516" s="10"/>
      <c r="AD516" s="10"/>
    </row>
    <row r="517" customFormat="false" ht="15.75" hidden="false" customHeight="false" outlineLevel="0" collapsed="false">
      <c r="A517" s="7"/>
      <c r="B517" s="8"/>
      <c r="E517" s="3"/>
      <c r="F517" s="3"/>
      <c r="I517" s="10"/>
      <c r="K517" s="7"/>
      <c r="L517" s="7"/>
      <c r="O517" s="10"/>
      <c r="R517" s="10"/>
      <c r="U517" s="16"/>
      <c r="X517" s="10"/>
      <c r="AA517" s="10"/>
      <c r="AD517" s="10"/>
    </row>
    <row r="518" customFormat="false" ht="15.75" hidden="false" customHeight="false" outlineLevel="0" collapsed="false">
      <c r="A518" s="7"/>
      <c r="B518" s="8"/>
      <c r="E518" s="3"/>
      <c r="F518" s="3"/>
      <c r="I518" s="10"/>
      <c r="K518" s="7"/>
      <c r="L518" s="7"/>
      <c r="O518" s="10"/>
      <c r="R518" s="10"/>
      <c r="U518" s="16"/>
      <c r="X518" s="10"/>
      <c r="AA518" s="10"/>
      <c r="AD518" s="10"/>
    </row>
    <row r="519" customFormat="false" ht="15.75" hidden="false" customHeight="false" outlineLevel="0" collapsed="false">
      <c r="A519" s="7"/>
      <c r="B519" s="8"/>
      <c r="E519" s="3"/>
      <c r="F519" s="3"/>
      <c r="I519" s="10"/>
      <c r="K519" s="7"/>
      <c r="L519" s="7"/>
      <c r="O519" s="10"/>
      <c r="R519" s="10"/>
      <c r="U519" s="16"/>
      <c r="X519" s="10"/>
      <c r="AA519" s="10"/>
      <c r="AD519" s="10"/>
    </row>
    <row r="520" customFormat="false" ht="15.75" hidden="false" customHeight="false" outlineLevel="0" collapsed="false">
      <c r="A520" s="7"/>
      <c r="B520" s="8"/>
      <c r="E520" s="3"/>
      <c r="F520" s="3"/>
      <c r="I520" s="10"/>
      <c r="K520" s="7"/>
      <c r="L520" s="7"/>
      <c r="O520" s="10"/>
      <c r="R520" s="10"/>
      <c r="U520" s="16"/>
      <c r="X520" s="10"/>
      <c r="AA520" s="10"/>
      <c r="AD520" s="10"/>
    </row>
    <row r="521" customFormat="false" ht="15.75" hidden="false" customHeight="false" outlineLevel="0" collapsed="false">
      <c r="A521" s="7"/>
      <c r="B521" s="8"/>
      <c r="E521" s="3"/>
      <c r="F521" s="3"/>
      <c r="I521" s="10"/>
      <c r="K521" s="7"/>
      <c r="L521" s="7"/>
      <c r="O521" s="10"/>
      <c r="R521" s="10"/>
      <c r="U521" s="16"/>
      <c r="X521" s="10"/>
      <c r="AA521" s="10"/>
      <c r="AD521" s="10"/>
    </row>
    <row r="522" customFormat="false" ht="15.75" hidden="false" customHeight="false" outlineLevel="0" collapsed="false">
      <c r="A522" s="7"/>
      <c r="B522" s="8"/>
      <c r="E522" s="3"/>
      <c r="F522" s="3"/>
      <c r="I522" s="10"/>
      <c r="K522" s="7"/>
      <c r="L522" s="7"/>
      <c r="O522" s="10"/>
      <c r="R522" s="10"/>
      <c r="U522" s="16"/>
      <c r="X522" s="10"/>
      <c r="AA522" s="10"/>
      <c r="AD522" s="10"/>
    </row>
    <row r="523" customFormat="false" ht="15.75" hidden="false" customHeight="false" outlineLevel="0" collapsed="false">
      <c r="A523" s="7"/>
      <c r="B523" s="8"/>
      <c r="E523" s="3"/>
      <c r="F523" s="3"/>
      <c r="I523" s="10"/>
      <c r="K523" s="7"/>
      <c r="L523" s="7"/>
      <c r="O523" s="10"/>
      <c r="R523" s="10"/>
      <c r="U523" s="16"/>
      <c r="X523" s="10"/>
      <c r="AA523" s="10"/>
      <c r="AD523" s="10"/>
    </row>
    <row r="524" customFormat="false" ht="15.75" hidden="false" customHeight="false" outlineLevel="0" collapsed="false">
      <c r="A524" s="7"/>
      <c r="B524" s="8"/>
      <c r="E524" s="3"/>
      <c r="F524" s="3"/>
      <c r="I524" s="10"/>
      <c r="K524" s="7"/>
      <c r="L524" s="7"/>
      <c r="O524" s="10"/>
      <c r="R524" s="10"/>
      <c r="U524" s="16"/>
      <c r="X524" s="10"/>
      <c r="AA524" s="10"/>
      <c r="AD524" s="10"/>
    </row>
    <row r="525" customFormat="false" ht="15.75" hidden="false" customHeight="false" outlineLevel="0" collapsed="false">
      <c r="A525" s="7"/>
      <c r="B525" s="8"/>
      <c r="E525" s="3"/>
      <c r="F525" s="3"/>
      <c r="I525" s="10"/>
      <c r="K525" s="7"/>
      <c r="L525" s="7"/>
      <c r="O525" s="10"/>
      <c r="R525" s="10"/>
      <c r="U525" s="16"/>
      <c r="X525" s="10"/>
      <c r="AA525" s="10"/>
      <c r="AD525" s="10"/>
    </row>
    <row r="526" customFormat="false" ht="15.75" hidden="false" customHeight="false" outlineLevel="0" collapsed="false">
      <c r="A526" s="7"/>
      <c r="B526" s="8"/>
      <c r="E526" s="3"/>
      <c r="F526" s="3"/>
      <c r="I526" s="10"/>
      <c r="K526" s="7"/>
      <c r="L526" s="7"/>
      <c r="O526" s="10"/>
      <c r="R526" s="10"/>
      <c r="U526" s="16"/>
      <c r="X526" s="10"/>
      <c r="AA526" s="10"/>
      <c r="AD526" s="10"/>
    </row>
    <row r="527" customFormat="false" ht="15.75" hidden="false" customHeight="false" outlineLevel="0" collapsed="false">
      <c r="A527" s="7"/>
      <c r="B527" s="8"/>
      <c r="E527" s="3"/>
      <c r="F527" s="3"/>
      <c r="I527" s="10"/>
      <c r="K527" s="7"/>
      <c r="L527" s="7"/>
      <c r="O527" s="10"/>
      <c r="R527" s="10"/>
      <c r="U527" s="16"/>
      <c r="X527" s="10"/>
      <c r="AA527" s="10"/>
      <c r="AD527" s="10"/>
    </row>
    <row r="528" customFormat="false" ht="15.75" hidden="false" customHeight="false" outlineLevel="0" collapsed="false">
      <c r="A528" s="7"/>
      <c r="B528" s="8"/>
      <c r="E528" s="3"/>
      <c r="F528" s="3"/>
      <c r="I528" s="10"/>
      <c r="K528" s="7"/>
      <c r="L528" s="7"/>
      <c r="O528" s="10"/>
      <c r="R528" s="10"/>
      <c r="U528" s="16"/>
      <c r="X528" s="10"/>
      <c r="AA528" s="10"/>
      <c r="AD528" s="10"/>
    </row>
    <row r="529" customFormat="false" ht="15.75" hidden="false" customHeight="false" outlineLevel="0" collapsed="false">
      <c r="A529" s="7"/>
      <c r="B529" s="8"/>
      <c r="E529" s="3"/>
      <c r="F529" s="3"/>
      <c r="I529" s="10"/>
      <c r="K529" s="7"/>
      <c r="L529" s="7"/>
      <c r="O529" s="10"/>
      <c r="R529" s="10"/>
      <c r="U529" s="16"/>
      <c r="X529" s="10"/>
      <c r="AA529" s="10"/>
      <c r="AD529" s="10"/>
    </row>
    <row r="530" customFormat="false" ht="15.75" hidden="false" customHeight="false" outlineLevel="0" collapsed="false">
      <c r="A530" s="7"/>
      <c r="B530" s="8"/>
      <c r="E530" s="3"/>
      <c r="F530" s="3"/>
      <c r="I530" s="10"/>
      <c r="K530" s="7"/>
      <c r="L530" s="7"/>
      <c r="O530" s="10"/>
      <c r="R530" s="10"/>
      <c r="U530" s="16"/>
      <c r="X530" s="10"/>
      <c r="AA530" s="10"/>
      <c r="AD530" s="10"/>
    </row>
    <row r="531" customFormat="false" ht="15.75" hidden="false" customHeight="false" outlineLevel="0" collapsed="false">
      <c r="A531" s="7"/>
      <c r="B531" s="8"/>
      <c r="E531" s="3"/>
      <c r="F531" s="3"/>
      <c r="I531" s="10"/>
      <c r="K531" s="7"/>
      <c r="L531" s="7"/>
      <c r="O531" s="10"/>
      <c r="R531" s="10"/>
      <c r="U531" s="16"/>
      <c r="X531" s="10"/>
      <c r="AA531" s="10"/>
      <c r="AD531" s="10"/>
    </row>
    <row r="532" customFormat="false" ht="15.75" hidden="false" customHeight="false" outlineLevel="0" collapsed="false">
      <c r="A532" s="7"/>
      <c r="B532" s="8"/>
      <c r="E532" s="3"/>
      <c r="F532" s="3"/>
      <c r="I532" s="10"/>
      <c r="K532" s="7"/>
      <c r="L532" s="7"/>
      <c r="O532" s="10"/>
      <c r="R532" s="10"/>
      <c r="U532" s="16"/>
      <c r="X532" s="10"/>
      <c r="AA532" s="10"/>
      <c r="AD532" s="10"/>
    </row>
    <row r="533" customFormat="false" ht="15.75" hidden="false" customHeight="false" outlineLevel="0" collapsed="false">
      <c r="A533" s="7"/>
      <c r="B533" s="8"/>
      <c r="E533" s="3"/>
      <c r="F533" s="3"/>
      <c r="I533" s="10"/>
      <c r="K533" s="7"/>
      <c r="L533" s="7"/>
      <c r="O533" s="10"/>
      <c r="R533" s="10"/>
      <c r="U533" s="16"/>
      <c r="X533" s="10"/>
      <c r="AA533" s="10"/>
      <c r="AD533" s="10"/>
    </row>
    <row r="534" customFormat="false" ht="15.75" hidden="false" customHeight="false" outlineLevel="0" collapsed="false">
      <c r="A534" s="7"/>
      <c r="B534" s="8"/>
      <c r="E534" s="3"/>
      <c r="F534" s="3"/>
      <c r="I534" s="10"/>
      <c r="K534" s="7"/>
      <c r="L534" s="7"/>
      <c r="O534" s="10"/>
      <c r="R534" s="10"/>
      <c r="U534" s="16"/>
      <c r="X534" s="10"/>
      <c r="AA534" s="10"/>
      <c r="AD534" s="10"/>
    </row>
    <row r="535" customFormat="false" ht="15.75" hidden="false" customHeight="false" outlineLevel="0" collapsed="false">
      <c r="A535" s="7"/>
      <c r="B535" s="8"/>
      <c r="E535" s="3"/>
      <c r="F535" s="3"/>
      <c r="I535" s="10"/>
      <c r="K535" s="7"/>
      <c r="L535" s="7"/>
      <c r="O535" s="10"/>
      <c r="R535" s="10"/>
      <c r="U535" s="16"/>
      <c r="X535" s="10"/>
      <c r="AA535" s="10"/>
      <c r="AD535" s="10"/>
    </row>
    <row r="536" customFormat="false" ht="15.75" hidden="false" customHeight="false" outlineLevel="0" collapsed="false">
      <c r="A536" s="7"/>
      <c r="B536" s="8"/>
      <c r="E536" s="3"/>
      <c r="F536" s="3"/>
      <c r="I536" s="10"/>
      <c r="K536" s="7"/>
      <c r="L536" s="7"/>
      <c r="O536" s="10"/>
      <c r="R536" s="10"/>
      <c r="U536" s="16"/>
      <c r="X536" s="10"/>
      <c r="AA536" s="10"/>
      <c r="AD536" s="10"/>
    </row>
    <row r="537" customFormat="false" ht="15.75" hidden="false" customHeight="false" outlineLevel="0" collapsed="false">
      <c r="A537" s="7"/>
      <c r="B537" s="8"/>
      <c r="E537" s="3"/>
      <c r="F537" s="3"/>
      <c r="I537" s="10"/>
      <c r="K537" s="7"/>
      <c r="L537" s="7"/>
      <c r="O537" s="10"/>
      <c r="R537" s="10"/>
      <c r="U537" s="16"/>
      <c r="X537" s="10"/>
      <c r="AA537" s="10"/>
      <c r="AD537" s="10"/>
    </row>
    <row r="538" customFormat="false" ht="15.75" hidden="false" customHeight="false" outlineLevel="0" collapsed="false">
      <c r="A538" s="7"/>
      <c r="B538" s="8"/>
      <c r="E538" s="3"/>
      <c r="F538" s="3"/>
      <c r="I538" s="10"/>
      <c r="K538" s="7"/>
      <c r="L538" s="7"/>
      <c r="O538" s="10"/>
      <c r="R538" s="10"/>
      <c r="U538" s="16"/>
      <c r="X538" s="10"/>
      <c r="AA538" s="10"/>
      <c r="AD538" s="10"/>
    </row>
    <row r="539" customFormat="false" ht="15.75" hidden="false" customHeight="false" outlineLevel="0" collapsed="false">
      <c r="A539" s="7"/>
      <c r="B539" s="8"/>
      <c r="E539" s="3"/>
      <c r="F539" s="3"/>
      <c r="I539" s="10"/>
      <c r="K539" s="7"/>
      <c r="L539" s="7"/>
      <c r="O539" s="10"/>
      <c r="R539" s="10"/>
      <c r="U539" s="16"/>
      <c r="X539" s="10"/>
      <c r="AA539" s="10"/>
      <c r="AD539" s="10"/>
    </row>
    <row r="540" customFormat="false" ht="15.75" hidden="false" customHeight="false" outlineLevel="0" collapsed="false">
      <c r="A540" s="7"/>
      <c r="B540" s="8"/>
      <c r="E540" s="3"/>
      <c r="F540" s="3"/>
      <c r="I540" s="10"/>
      <c r="K540" s="7"/>
      <c r="L540" s="7"/>
      <c r="O540" s="10"/>
      <c r="R540" s="10"/>
      <c r="U540" s="16"/>
      <c r="X540" s="10"/>
      <c r="AA540" s="10"/>
      <c r="AD540" s="10"/>
    </row>
    <row r="541" customFormat="false" ht="15.75" hidden="false" customHeight="false" outlineLevel="0" collapsed="false">
      <c r="A541" s="7"/>
      <c r="B541" s="8"/>
      <c r="E541" s="3"/>
      <c r="F541" s="3"/>
      <c r="I541" s="10"/>
      <c r="K541" s="7"/>
      <c r="L541" s="7"/>
      <c r="O541" s="10"/>
      <c r="R541" s="10"/>
      <c r="U541" s="16"/>
      <c r="X541" s="10"/>
      <c r="AA541" s="10"/>
      <c r="AD541" s="10"/>
    </row>
    <row r="542" customFormat="false" ht="15.75" hidden="false" customHeight="false" outlineLevel="0" collapsed="false">
      <c r="A542" s="7"/>
      <c r="B542" s="8"/>
      <c r="E542" s="3"/>
      <c r="F542" s="3"/>
      <c r="I542" s="10"/>
      <c r="K542" s="7"/>
      <c r="L542" s="7"/>
      <c r="O542" s="10"/>
      <c r="R542" s="10"/>
      <c r="U542" s="16"/>
      <c r="X542" s="10"/>
      <c r="AA542" s="10"/>
      <c r="AD542" s="10"/>
    </row>
    <row r="543" customFormat="false" ht="15.75" hidden="false" customHeight="false" outlineLevel="0" collapsed="false">
      <c r="A543" s="7"/>
      <c r="B543" s="8"/>
      <c r="E543" s="3"/>
      <c r="F543" s="3"/>
      <c r="I543" s="10"/>
      <c r="K543" s="7"/>
      <c r="L543" s="7"/>
      <c r="O543" s="10"/>
      <c r="R543" s="10"/>
      <c r="U543" s="16"/>
      <c r="X543" s="10"/>
      <c r="AA543" s="10"/>
      <c r="AD543" s="10"/>
    </row>
    <row r="544" customFormat="false" ht="15.75" hidden="false" customHeight="false" outlineLevel="0" collapsed="false">
      <c r="A544" s="7"/>
      <c r="B544" s="8"/>
      <c r="E544" s="3"/>
      <c r="F544" s="3"/>
      <c r="I544" s="10"/>
      <c r="K544" s="7"/>
      <c r="L544" s="7"/>
      <c r="O544" s="10"/>
      <c r="R544" s="10"/>
      <c r="U544" s="16"/>
      <c r="X544" s="10"/>
      <c r="AA544" s="10"/>
      <c r="AD544" s="10"/>
    </row>
    <row r="545" customFormat="false" ht="15.75" hidden="false" customHeight="false" outlineLevel="0" collapsed="false">
      <c r="A545" s="7"/>
      <c r="B545" s="8"/>
      <c r="E545" s="3"/>
      <c r="F545" s="3"/>
      <c r="I545" s="10"/>
      <c r="K545" s="7"/>
      <c r="L545" s="7"/>
      <c r="O545" s="10"/>
      <c r="R545" s="10"/>
      <c r="U545" s="16"/>
      <c r="X545" s="10"/>
      <c r="AA545" s="10"/>
      <c r="AD545" s="10"/>
    </row>
    <row r="546" customFormat="false" ht="15.75" hidden="false" customHeight="false" outlineLevel="0" collapsed="false">
      <c r="A546" s="7"/>
      <c r="B546" s="8"/>
      <c r="E546" s="3"/>
      <c r="F546" s="3"/>
      <c r="I546" s="10"/>
      <c r="K546" s="7"/>
      <c r="L546" s="7"/>
      <c r="O546" s="10"/>
      <c r="R546" s="10"/>
      <c r="U546" s="16"/>
      <c r="X546" s="10"/>
      <c r="AA546" s="10"/>
      <c r="AD546" s="10"/>
    </row>
    <row r="547" customFormat="false" ht="15.75" hidden="false" customHeight="false" outlineLevel="0" collapsed="false">
      <c r="A547" s="7"/>
      <c r="B547" s="8"/>
      <c r="E547" s="3"/>
      <c r="F547" s="3"/>
      <c r="I547" s="10"/>
      <c r="K547" s="7"/>
      <c r="L547" s="7"/>
      <c r="O547" s="10"/>
      <c r="R547" s="10"/>
      <c r="U547" s="16"/>
      <c r="X547" s="10"/>
      <c r="AA547" s="10"/>
      <c r="AD547" s="10"/>
    </row>
    <row r="548" customFormat="false" ht="15.75" hidden="false" customHeight="false" outlineLevel="0" collapsed="false">
      <c r="A548" s="7"/>
      <c r="B548" s="8"/>
      <c r="E548" s="3"/>
      <c r="F548" s="3"/>
      <c r="I548" s="10"/>
      <c r="K548" s="7"/>
      <c r="L548" s="7"/>
      <c r="O548" s="10"/>
      <c r="R548" s="10"/>
      <c r="U548" s="16"/>
      <c r="X548" s="10"/>
      <c r="AA548" s="10"/>
      <c r="AD548" s="10"/>
    </row>
    <row r="549" customFormat="false" ht="15.75" hidden="false" customHeight="false" outlineLevel="0" collapsed="false">
      <c r="A549" s="7"/>
      <c r="B549" s="8"/>
      <c r="E549" s="3"/>
      <c r="F549" s="3"/>
      <c r="I549" s="10"/>
      <c r="K549" s="7"/>
      <c r="L549" s="7"/>
      <c r="O549" s="10"/>
      <c r="R549" s="10"/>
      <c r="U549" s="16"/>
      <c r="X549" s="10"/>
      <c r="AA549" s="10"/>
      <c r="AD549" s="10"/>
    </row>
    <row r="550" customFormat="false" ht="15.75" hidden="false" customHeight="false" outlineLevel="0" collapsed="false">
      <c r="A550" s="7"/>
      <c r="B550" s="8"/>
      <c r="E550" s="3"/>
      <c r="F550" s="3"/>
      <c r="I550" s="10"/>
      <c r="K550" s="7"/>
      <c r="L550" s="7"/>
      <c r="O550" s="10"/>
      <c r="R550" s="10"/>
      <c r="U550" s="16"/>
      <c r="X550" s="10"/>
      <c r="AA550" s="10"/>
      <c r="AD550" s="10"/>
    </row>
    <row r="551" customFormat="false" ht="15.75" hidden="false" customHeight="false" outlineLevel="0" collapsed="false">
      <c r="A551" s="7"/>
      <c r="B551" s="8"/>
      <c r="E551" s="3"/>
      <c r="F551" s="3"/>
      <c r="I551" s="10"/>
      <c r="K551" s="7"/>
      <c r="L551" s="7"/>
      <c r="O551" s="10"/>
      <c r="R551" s="10"/>
      <c r="U551" s="16"/>
      <c r="X551" s="10"/>
      <c r="AA551" s="10"/>
      <c r="AD551" s="10"/>
    </row>
    <row r="552" customFormat="false" ht="15.75" hidden="false" customHeight="false" outlineLevel="0" collapsed="false">
      <c r="A552" s="7"/>
      <c r="B552" s="8"/>
      <c r="E552" s="3"/>
      <c r="F552" s="3"/>
      <c r="I552" s="10"/>
      <c r="K552" s="7"/>
      <c r="L552" s="7"/>
      <c r="O552" s="10"/>
      <c r="R552" s="10"/>
      <c r="U552" s="16"/>
      <c r="X552" s="10"/>
      <c r="AA552" s="10"/>
      <c r="AD552" s="10"/>
    </row>
    <row r="553" customFormat="false" ht="15.75" hidden="false" customHeight="false" outlineLevel="0" collapsed="false">
      <c r="A553" s="7"/>
      <c r="B553" s="8"/>
      <c r="E553" s="3"/>
      <c r="F553" s="3"/>
      <c r="I553" s="10"/>
      <c r="K553" s="7"/>
      <c r="L553" s="7"/>
      <c r="O553" s="10"/>
      <c r="R553" s="10"/>
      <c r="U553" s="16"/>
      <c r="X553" s="10"/>
      <c r="AA553" s="10"/>
      <c r="AD553" s="10"/>
    </row>
    <row r="554" customFormat="false" ht="15.75" hidden="false" customHeight="false" outlineLevel="0" collapsed="false">
      <c r="A554" s="7"/>
      <c r="B554" s="8"/>
      <c r="E554" s="3"/>
      <c r="F554" s="3"/>
      <c r="I554" s="10"/>
      <c r="K554" s="7"/>
      <c r="L554" s="7"/>
      <c r="O554" s="10"/>
      <c r="R554" s="10"/>
      <c r="U554" s="16"/>
      <c r="X554" s="10"/>
      <c r="AA554" s="10"/>
      <c r="AD554" s="10"/>
    </row>
    <row r="555" customFormat="false" ht="15.75" hidden="false" customHeight="false" outlineLevel="0" collapsed="false">
      <c r="A555" s="7"/>
      <c r="B555" s="8"/>
      <c r="E555" s="3"/>
      <c r="F555" s="3"/>
      <c r="I555" s="10"/>
      <c r="K555" s="7"/>
      <c r="L555" s="7"/>
      <c r="O555" s="10"/>
      <c r="R555" s="10"/>
      <c r="U555" s="16"/>
      <c r="X555" s="10"/>
      <c r="AA555" s="10"/>
      <c r="AD555" s="10"/>
    </row>
    <row r="556" customFormat="false" ht="15.75" hidden="false" customHeight="false" outlineLevel="0" collapsed="false">
      <c r="A556" s="7"/>
      <c r="B556" s="8"/>
      <c r="E556" s="3"/>
      <c r="F556" s="3"/>
      <c r="I556" s="10"/>
      <c r="K556" s="7"/>
      <c r="L556" s="7"/>
      <c r="O556" s="10"/>
      <c r="R556" s="10"/>
      <c r="U556" s="16"/>
      <c r="X556" s="10"/>
      <c r="AA556" s="10"/>
      <c r="AD556" s="10"/>
    </row>
    <row r="557" customFormat="false" ht="15.75" hidden="false" customHeight="false" outlineLevel="0" collapsed="false">
      <c r="A557" s="7"/>
      <c r="B557" s="8"/>
      <c r="E557" s="3"/>
      <c r="F557" s="3"/>
      <c r="I557" s="10"/>
      <c r="K557" s="7"/>
      <c r="L557" s="7"/>
      <c r="O557" s="10"/>
      <c r="R557" s="10"/>
      <c r="U557" s="16"/>
      <c r="X557" s="10"/>
      <c r="AA557" s="10"/>
      <c r="AD557" s="10"/>
    </row>
    <row r="558" customFormat="false" ht="15.75" hidden="false" customHeight="false" outlineLevel="0" collapsed="false">
      <c r="A558" s="7"/>
      <c r="B558" s="8"/>
      <c r="E558" s="3"/>
      <c r="F558" s="3"/>
      <c r="I558" s="10"/>
      <c r="K558" s="7"/>
      <c r="L558" s="7"/>
      <c r="O558" s="10"/>
      <c r="R558" s="10"/>
      <c r="U558" s="16"/>
      <c r="X558" s="10"/>
      <c r="AA558" s="10"/>
      <c r="AD558" s="10"/>
    </row>
    <row r="559" customFormat="false" ht="15.75" hidden="false" customHeight="false" outlineLevel="0" collapsed="false">
      <c r="A559" s="7"/>
      <c r="B559" s="8"/>
      <c r="E559" s="3"/>
      <c r="F559" s="3"/>
      <c r="I559" s="10"/>
      <c r="K559" s="7"/>
      <c r="L559" s="7"/>
      <c r="O559" s="10"/>
      <c r="R559" s="10"/>
      <c r="U559" s="16"/>
      <c r="X559" s="10"/>
      <c r="AA559" s="10"/>
      <c r="AD559" s="10"/>
    </row>
    <row r="560" customFormat="false" ht="15.75" hidden="false" customHeight="false" outlineLevel="0" collapsed="false">
      <c r="A560" s="7"/>
      <c r="B560" s="8"/>
      <c r="E560" s="3"/>
      <c r="F560" s="3"/>
      <c r="I560" s="10"/>
      <c r="K560" s="7"/>
      <c r="L560" s="7"/>
      <c r="O560" s="10"/>
      <c r="R560" s="10"/>
      <c r="U560" s="16"/>
      <c r="X560" s="10"/>
      <c r="AA560" s="10"/>
      <c r="AD560" s="10"/>
    </row>
    <row r="561" customFormat="false" ht="15.75" hidden="false" customHeight="false" outlineLevel="0" collapsed="false">
      <c r="A561" s="7"/>
      <c r="B561" s="8"/>
      <c r="E561" s="3"/>
      <c r="F561" s="3"/>
      <c r="I561" s="10"/>
      <c r="K561" s="7"/>
      <c r="L561" s="7"/>
      <c r="O561" s="10"/>
      <c r="R561" s="10"/>
      <c r="U561" s="16"/>
      <c r="X561" s="10"/>
      <c r="AA561" s="10"/>
      <c r="AD561" s="10"/>
    </row>
    <row r="562" customFormat="false" ht="15.75" hidden="false" customHeight="false" outlineLevel="0" collapsed="false">
      <c r="A562" s="7"/>
      <c r="B562" s="8"/>
      <c r="E562" s="3"/>
      <c r="F562" s="3"/>
      <c r="I562" s="10"/>
      <c r="K562" s="7"/>
      <c r="L562" s="7"/>
      <c r="O562" s="10"/>
      <c r="R562" s="10"/>
      <c r="U562" s="16"/>
      <c r="X562" s="10"/>
      <c r="AA562" s="10"/>
      <c r="AD562" s="10"/>
    </row>
    <row r="563" customFormat="false" ht="15.75" hidden="false" customHeight="false" outlineLevel="0" collapsed="false">
      <c r="A563" s="7"/>
      <c r="B563" s="8"/>
      <c r="E563" s="3"/>
      <c r="F563" s="3"/>
      <c r="I563" s="10"/>
      <c r="K563" s="7"/>
      <c r="L563" s="7"/>
      <c r="O563" s="10"/>
      <c r="R563" s="10"/>
      <c r="U563" s="16"/>
      <c r="X563" s="10"/>
      <c r="AA563" s="10"/>
      <c r="AD563" s="10"/>
    </row>
    <row r="564" customFormat="false" ht="15.75" hidden="false" customHeight="false" outlineLevel="0" collapsed="false">
      <c r="A564" s="7"/>
      <c r="B564" s="8"/>
      <c r="E564" s="3"/>
      <c r="F564" s="3"/>
      <c r="I564" s="10"/>
      <c r="K564" s="7"/>
      <c r="L564" s="7"/>
      <c r="O564" s="10"/>
      <c r="R564" s="10"/>
      <c r="U564" s="16"/>
      <c r="X564" s="10"/>
      <c r="AA564" s="10"/>
      <c r="AD564" s="10"/>
    </row>
    <row r="565" customFormat="false" ht="15.75" hidden="false" customHeight="false" outlineLevel="0" collapsed="false">
      <c r="A565" s="7"/>
      <c r="B565" s="8"/>
      <c r="E565" s="3"/>
      <c r="F565" s="3"/>
      <c r="I565" s="10"/>
      <c r="K565" s="7"/>
      <c r="L565" s="7"/>
      <c r="O565" s="10"/>
      <c r="R565" s="10"/>
      <c r="U565" s="16"/>
      <c r="X565" s="10"/>
      <c r="AA565" s="10"/>
      <c r="AD565" s="10"/>
    </row>
    <row r="566" customFormat="false" ht="15.75" hidden="false" customHeight="false" outlineLevel="0" collapsed="false">
      <c r="A566" s="7"/>
      <c r="B566" s="8"/>
      <c r="E566" s="3"/>
      <c r="F566" s="3"/>
      <c r="I566" s="10"/>
      <c r="K566" s="7"/>
      <c r="L566" s="7"/>
      <c r="O566" s="10"/>
      <c r="R566" s="10"/>
      <c r="U566" s="16"/>
      <c r="X566" s="10"/>
      <c r="AA566" s="10"/>
      <c r="AD566" s="10"/>
    </row>
    <row r="567" customFormat="false" ht="15.75" hidden="false" customHeight="false" outlineLevel="0" collapsed="false">
      <c r="A567" s="7"/>
      <c r="B567" s="8"/>
      <c r="E567" s="3"/>
      <c r="F567" s="3"/>
      <c r="I567" s="10"/>
      <c r="K567" s="7"/>
      <c r="L567" s="7"/>
      <c r="O567" s="10"/>
      <c r="R567" s="10"/>
      <c r="U567" s="16"/>
      <c r="X567" s="10"/>
      <c r="AA567" s="10"/>
      <c r="AD567" s="10"/>
    </row>
    <row r="568" customFormat="false" ht="15.75" hidden="false" customHeight="false" outlineLevel="0" collapsed="false">
      <c r="A568" s="7"/>
      <c r="B568" s="8"/>
      <c r="E568" s="3"/>
      <c r="F568" s="3"/>
      <c r="I568" s="10"/>
      <c r="K568" s="7"/>
      <c r="L568" s="7"/>
      <c r="O568" s="10"/>
      <c r="R568" s="10"/>
      <c r="U568" s="16"/>
      <c r="X568" s="10"/>
      <c r="AA568" s="10"/>
      <c r="AD568" s="10"/>
    </row>
    <row r="569" customFormat="false" ht="15.75" hidden="false" customHeight="false" outlineLevel="0" collapsed="false">
      <c r="A569" s="7"/>
      <c r="B569" s="8"/>
      <c r="E569" s="3"/>
      <c r="F569" s="3"/>
      <c r="I569" s="10"/>
      <c r="K569" s="7"/>
      <c r="L569" s="7"/>
      <c r="O569" s="10"/>
      <c r="R569" s="10"/>
      <c r="U569" s="16"/>
      <c r="X569" s="10"/>
      <c r="AA569" s="10"/>
      <c r="AD569" s="10"/>
    </row>
    <row r="570" customFormat="false" ht="15.75" hidden="false" customHeight="false" outlineLevel="0" collapsed="false">
      <c r="A570" s="7"/>
      <c r="B570" s="8"/>
      <c r="E570" s="3"/>
      <c r="F570" s="3"/>
      <c r="I570" s="10"/>
      <c r="K570" s="7"/>
      <c r="L570" s="7"/>
      <c r="O570" s="10"/>
      <c r="R570" s="10"/>
      <c r="U570" s="16"/>
      <c r="X570" s="10"/>
      <c r="AA570" s="10"/>
      <c r="AD570" s="10"/>
    </row>
    <row r="571" customFormat="false" ht="15.75" hidden="false" customHeight="false" outlineLevel="0" collapsed="false">
      <c r="A571" s="7"/>
      <c r="B571" s="8"/>
      <c r="E571" s="3"/>
      <c r="F571" s="3"/>
      <c r="I571" s="10"/>
      <c r="K571" s="7"/>
      <c r="L571" s="7"/>
      <c r="O571" s="10"/>
      <c r="R571" s="10"/>
      <c r="U571" s="16"/>
      <c r="X571" s="10"/>
      <c r="AA571" s="10"/>
      <c r="AD571" s="10"/>
    </row>
    <row r="572" customFormat="false" ht="15.75" hidden="false" customHeight="false" outlineLevel="0" collapsed="false">
      <c r="A572" s="7"/>
      <c r="B572" s="8"/>
      <c r="E572" s="3"/>
      <c r="F572" s="3"/>
      <c r="I572" s="10"/>
      <c r="K572" s="7"/>
      <c r="L572" s="7"/>
      <c r="O572" s="10"/>
      <c r="R572" s="10"/>
      <c r="U572" s="16"/>
      <c r="X572" s="10"/>
      <c r="AA572" s="10"/>
      <c r="AD572" s="10"/>
    </row>
    <row r="573" customFormat="false" ht="15.75" hidden="false" customHeight="false" outlineLevel="0" collapsed="false">
      <c r="A573" s="7"/>
      <c r="B573" s="8"/>
      <c r="E573" s="3"/>
      <c r="F573" s="3"/>
      <c r="I573" s="10"/>
      <c r="K573" s="7"/>
      <c r="L573" s="7"/>
      <c r="O573" s="10"/>
      <c r="R573" s="10"/>
      <c r="U573" s="16"/>
      <c r="X573" s="10"/>
      <c r="AA573" s="10"/>
      <c r="AD573" s="10"/>
    </row>
    <row r="574" customFormat="false" ht="15.75" hidden="false" customHeight="false" outlineLevel="0" collapsed="false">
      <c r="A574" s="7"/>
      <c r="B574" s="8"/>
      <c r="E574" s="3"/>
      <c r="F574" s="3"/>
      <c r="I574" s="10"/>
      <c r="K574" s="7"/>
      <c r="L574" s="7"/>
      <c r="O574" s="10"/>
      <c r="R574" s="10"/>
      <c r="U574" s="16"/>
      <c r="X574" s="10"/>
      <c r="AA574" s="10"/>
      <c r="AD574" s="10"/>
    </row>
    <row r="575" customFormat="false" ht="15.75" hidden="false" customHeight="false" outlineLevel="0" collapsed="false">
      <c r="A575" s="7"/>
      <c r="B575" s="8"/>
      <c r="E575" s="3"/>
      <c r="F575" s="3"/>
      <c r="I575" s="10"/>
      <c r="K575" s="7"/>
      <c r="L575" s="7"/>
      <c r="O575" s="10"/>
      <c r="R575" s="10"/>
      <c r="U575" s="16"/>
      <c r="X575" s="10"/>
      <c r="AA575" s="10"/>
      <c r="AD575" s="10"/>
    </row>
    <row r="576" customFormat="false" ht="15.75" hidden="false" customHeight="false" outlineLevel="0" collapsed="false">
      <c r="A576" s="7"/>
      <c r="B576" s="8"/>
      <c r="E576" s="3"/>
      <c r="F576" s="3"/>
      <c r="I576" s="10"/>
      <c r="K576" s="7"/>
      <c r="L576" s="7"/>
      <c r="O576" s="10"/>
      <c r="R576" s="10"/>
      <c r="U576" s="16"/>
      <c r="X576" s="10"/>
      <c r="AA576" s="10"/>
      <c r="AD576" s="10"/>
    </row>
    <row r="577" customFormat="false" ht="15.75" hidden="false" customHeight="false" outlineLevel="0" collapsed="false">
      <c r="A577" s="7"/>
      <c r="B577" s="8"/>
      <c r="E577" s="3"/>
      <c r="F577" s="3"/>
      <c r="I577" s="10"/>
      <c r="K577" s="7"/>
      <c r="L577" s="7"/>
      <c r="O577" s="10"/>
      <c r="R577" s="10"/>
      <c r="U577" s="16"/>
      <c r="X577" s="10"/>
      <c r="AA577" s="10"/>
      <c r="AD577" s="10"/>
    </row>
    <row r="578" customFormat="false" ht="15.75" hidden="false" customHeight="false" outlineLevel="0" collapsed="false">
      <c r="A578" s="7"/>
      <c r="B578" s="8"/>
      <c r="E578" s="3"/>
      <c r="F578" s="3"/>
      <c r="I578" s="10"/>
      <c r="K578" s="7"/>
      <c r="L578" s="7"/>
      <c r="O578" s="10"/>
      <c r="R578" s="10"/>
      <c r="U578" s="16"/>
      <c r="X578" s="10"/>
      <c r="AA578" s="10"/>
      <c r="AD578" s="10"/>
    </row>
    <row r="579" customFormat="false" ht="15.75" hidden="false" customHeight="false" outlineLevel="0" collapsed="false">
      <c r="A579" s="7"/>
      <c r="B579" s="8"/>
      <c r="E579" s="3"/>
      <c r="F579" s="3"/>
      <c r="I579" s="10"/>
      <c r="K579" s="7"/>
      <c r="L579" s="7"/>
      <c r="O579" s="10"/>
      <c r="R579" s="10"/>
      <c r="U579" s="16"/>
      <c r="X579" s="10"/>
      <c r="AA579" s="10"/>
      <c r="AD579" s="10"/>
    </row>
    <row r="580" customFormat="false" ht="15.75" hidden="false" customHeight="false" outlineLevel="0" collapsed="false">
      <c r="A580" s="7"/>
      <c r="B580" s="8"/>
      <c r="E580" s="3"/>
      <c r="F580" s="3"/>
      <c r="I580" s="10"/>
      <c r="K580" s="7"/>
      <c r="L580" s="7"/>
      <c r="O580" s="10"/>
      <c r="R580" s="10"/>
      <c r="U580" s="16"/>
      <c r="X580" s="10"/>
      <c r="AA580" s="10"/>
      <c r="AD580" s="10"/>
    </row>
    <row r="581" customFormat="false" ht="15.75" hidden="false" customHeight="false" outlineLevel="0" collapsed="false">
      <c r="A581" s="7"/>
      <c r="B581" s="8"/>
      <c r="E581" s="3"/>
      <c r="F581" s="3"/>
      <c r="I581" s="10"/>
      <c r="K581" s="7"/>
      <c r="L581" s="7"/>
      <c r="O581" s="10"/>
      <c r="R581" s="10"/>
      <c r="U581" s="16"/>
      <c r="X581" s="10"/>
      <c r="AA581" s="10"/>
      <c r="AD581" s="10"/>
    </row>
    <row r="582" customFormat="false" ht="15.75" hidden="false" customHeight="false" outlineLevel="0" collapsed="false">
      <c r="A582" s="7"/>
      <c r="B582" s="8"/>
      <c r="E582" s="3"/>
      <c r="F582" s="3"/>
      <c r="I582" s="10"/>
      <c r="K582" s="7"/>
      <c r="L582" s="7"/>
      <c r="O582" s="10"/>
      <c r="R582" s="10"/>
      <c r="U582" s="16"/>
      <c r="X582" s="10"/>
      <c r="AA582" s="10"/>
      <c r="AD582" s="10"/>
    </row>
    <row r="583" customFormat="false" ht="15.75" hidden="false" customHeight="false" outlineLevel="0" collapsed="false">
      <c r="A583" s="7"/>
      <c r="B583" s="8"/>
      <c r="E583" s="3"/>
      <c r="F583" s="3"/>
      <c r="I583" s="10"/>
      <c r="K583" s="7"/>
      <c r="L583" s="7"/>
      <c r="O583" s="10"/>
      <c r="R583" s="10"/>
      <c r="U583" s="16"/>
      <c r="X583" s="10"/>
      <c r="AA583" s="10"/>
      <c r="AD583" s="10"/>
    </row>
    <row r="584" customFormat="false" ht="15.75" hidden="false" customHeight="false" outlineLevel="0" collapsed="false">
      <c r="A584" s="7"/>
      <c r="B584" s="8"/>
      <c r="E584" s="3"/>
      <c r="F584" s="3"/>
      <c r="I584" s="10"/>
      <c r="K584" s="7"/>
      <c r="L584" s="7"/>
      <c r="O584" s="10"/>
      <c r="R584" s="10"/>
      <c r="U584" s="16"/>
      <c r="X584" s="10"/>
      <c r="AA584" s="10"/>
      <c r="AD584" s="10"/>
    </row>
    <row r="585" customFormat="false" ht="15.75" hidden="false" customHeight="false" outlineLevel="0" collapsed="false">
      <c r="A585" s="7"/>
      <c r="B585" s="8"/>
      <c r="E585" s="3"/>
      <c r="F585" s="3"/>
      <c r="I585" s="10"/>
      <c r="K585" s="7"/>
      <c r="L585" s="7"/>
      <c r="O585" s="10"/>
      <c r="R585" s="10"/>
      <c r="U585" s="16"/>
      <c r="X585" s="10"/>
      <c r="AA585" s="10"/>
      <c r="AD585" s="10"/>
    </row>
    <row r="586" customFormat="false" ht="15.75" hidden="false" customHeight="false" outlineLevel="0" collapsed="false">
      <c r="A586" s="7"/>
      <c r="B586" s="8"/>
      <c r="E586" s="3"/>
      <c r="F586" s="3"/>
      <c r="I586" s="10"/>
      <c r="K586" s="7"/>
      <c r="L586" s="7"/>
      <c r="O586" s="10"/>
      <c r="R586" s="10"/>
      <c r="U586" s="16"/>
      <c r="X586" s="10"/>
      <c r="AA586" s="10"/>
      <c r="AD586" s="10"/>
    </row>
    <row r="587" customFormat="false" ht="15.75" hidden="false" customHeight="false" outlineLevel="0" collapsed="false">
      <c r="A587" s="7"/>
      <c r="B587" s="8"/>
      <c r="E587" s="3"/>
      <c r="F587" s="3"/>
      <c r="I587" s="10"/>
      <c r="K587" s="7"/>
      <c r="L587" s="7"/>
      <c r="O587" s="10"/>
      <c r="R587" s="10"/>
      <c r="U587" s="16"/>
      <c r="X587" s="10"/>
      <c r="AA587" s="10"/>
      <c r="AD587" s="10"/>
    </row>
    <row r="588" customFormat="false" ht="15.75" hidden="false" customHeight="false" outlineLevel="0" collapsed="false">
      <c r="A588" s="7"/>
      <c r="B588" s="8"/>
      <c r="E588" s="3"/>
      <c r="F588" s="3"/>
      <c r="I588" s="10"/>
      <c r="K588" s="7"/>
      <c r="L588" s="7"/>
      <c r="O588" s="10"/>
      <c r="R588" s="10"/>
      <c r="U588" s="16"/>
      <c r="X588" s="10"/>
      <c r="AA588" s="10"/>
      <c r="AD588" s="10"/>
    </row>
    <row r="589" customFormat="false" ht="15.75" hidden="false" customHeight="false" outlineLevel="0" collapsed="false">
      <c r="A589" s="7"/>
      <c r="B589" s="8"/>
      <c r="E589" s="3"/>
      <c r="F589" s="3"/>
      <c r="I589" s="10"/>
      <c r="K589" s="7"/>
      <c r="L589" s="7"/>
      <c r="O589" s="10"/>
      <c r="R589" s="10"/>
      <c r="U589" s="16"/>
      <c r="X589" s="10"/>
      <c r="AA589" s="10"/>
      <c r="AD589" s="10"/>
    </row>
    <row r="590" customFormat="false" ht="15.75" hidden="false" customHeight="false" outlineLevel="0" collapsed="false">
      <c r="A590" s="7"/>
      <c r="B590" s="8"/>
      <c r="E590" s="3"/>
      <c r="F590" s="3"/>
      <c r="I590" s="10"/>
      <c r="K590" s="7"/>
      <c r="L590" s="7"/>
      <c r="O590" s="10"/>
      <c r="R590" s="10"/>
      <c r="U590" s="16"/>
      <c r="X590" s="10"/>
      <c r="AA590" s="10"/>
      <c r="AD590" s="10"/>
    </row>
    <row r="591" customFormat="false" ht="15.75" hidden="false" customHeight="false" outlineLevel="0" collapsed="false">
      <c r="A591" s="7"/>
      <c r="B591" s="8"/>
      <c r="E591" s="3"/>
      <c r="F591" s="3"/>
      <c r="I591" s="10"/>
      <c r="K591" s="7"/>
      <c r="L591" s="7"/>
      <c r="O591" s="10"/>
      <c r="R591" s="10"/>
      <c r="U591" s="16"/>
      <c r="X591" s="10"/>
      <c r="AA591" s="10"/>
      <c r="AD591" s="10"/>
    </row>
    <row r="592" customFormat="false" ht="15.75" hidden="false" customHeight="false" outlineLevel="0" collapsed="false">
      <c r="A592" s="7"/>
      <c r="B592" s="8"/>
      <c r="E592" s="3"/>
      <c r="F592" s="3"/>
      <c r="I592" s="10"/>
      <c r="K592" s="7"/>
      <c r="L592" s="7"/>
      <c r="O592" s="10"/>
      <c r="R592" s="10"/>
      <c r="U592" s="16"/>
      <c r="X592" s="10"/>
      <c r="AA592" s="10"/>
      <c r="AD592" s="10"/>
    </row>
    <row r="593" customFormat="false" ht="15.75" hidden="false" customHeight="false" outlineLevel="0" collapsed="false">
      <c r="A593" s="7"/>
      <c r="B593" s="8"/>
      <c r="E593" s="3"/>
      <c r="F593" s="3"/>
      <c r="I593" s="10"/>
      <c r="K593" s="7"/>
      <c r="L593" s="7"/>
      <c r="O593" s="10"/>
      <c r="R593" s="10"/>
      <c r="U593" s="16"/>
      <c r="X593" s="10"/>
      <c r="AA593" s="10"/>
      <c r="AD593" s="10"/>
    </row>
    <row r="594" customFormat="false" ht="15.75" hidden="false" customHeight="false" outlineLevel="0" collapsed="false">
      <c r="A594" s="7"/>
      <c r="B594" s="8"/>
      <c r="E594" s="3"/>
      <c r="F594" s="3"/>
      <c r="I594" s="10"/>
      <c r="K594" s="7"/>
      <c r="L594" s="7"/>
      <c r="O594" s="10"/>
      <c r="R594" s="10"/>
      <c r="U594" s="16"/>
      <c r="X594" s="10"/>
      <c r="AA594" s="10"/>
      <c r="AD594" s="10"/>
    </row>
    <row r="595" customFormat="false" ht="15.75" hidden="false" customHeight="false" outlineLevel="0" collapsed="false">
      <c r="A595" s="7"/>
      <c r="B595" s="8"/>
      <c r="E595" s="3"/>
      <c r="F595" s="3"/>
      <c r="I595" s="10"/>
      <c r="K595" s="7"/>
      <c r="L595" s="7"/>
      <c r="O595" s="10"/>
      <c r="R595" s="10"/>
      <c r="U595" s="16"/>
      <c r="X595" s="10"/>
      <c r="AA595" s="10"/>
      <c r="AD595" s="10"/>
    </row>
    <row r="596" customFormat="false" ht="15.75" hidden="false" customHeight="false" outlineLevel="0" collapsed="false">
      <c r="A596" s="7"/>
      <c r="B596" s="8"/>
      <c r="E596" s="3"/>
      <c r="F596" s="3"/>
      <c r="I596" s="10"/>
      <c r="K596" s="7"/>
      <c r="L596" s="7"/>
      <c r="O596" s="10"/>
      <c r="R596" s="10"/>
      <c r="U596" s="16"/>
      <c r="X596" s="10"/>
      <c r="AA596" s="10"/>
      <c r="AD596" s="10"/>
    </row>
    <row r="597" customFormat="false" ht="15.75" hidden="false" customHeight="false" outlineLevel="0" collapsed="false">
      <c r="A597" s="7"/>
      <c r="B597" s="8"/>
      <c r="E597" s="3"/>
      <c r="F597" s="3"/>
      <c r="I597" s="10"/>
      <c r="K597" s="7"/>
      <c r="L597" s="7"/>
      <c r="O597" s="10"/>
      <c r="R597" s="10"/>
      <c r="U597" s="16"/>
      <c r="X597" s="10"/>
      <c r="AA597" s="10"/>
      <c r="AD597" s="10"/>
    </row>
    <row r="598" customFormat="false" ht="15.75" hidden="false" customHeight="false" outlineLevel="0" collapsed="false">
      <c r="A598" s="7"/>
      <c r="B598" s="8"/>
      <c r="E598" s="3"/>
      <c r="F598" s="3"/>
      <c r="I598" s="10"/>
      <c r="K598" s="7"/>
      <c r="L598" s="7"/>
      <c r="O598" s="10"/>
      <c r="R598" s="10"/>
      <c r="U598" s="16"/>
      <c r="X598" s="10"/>
      <c r="AA598" s="10"/>
      <c r="AD598" s="10"/>
    </row>
    <row r="599" customFormat="false" ht="15.75" hidden="false" customHeight="false" outlineLevel="0" collapsed="false">
      <c r="A599" s="7"/>
      <c r="B599" s="8"/>
      <c r="E599" s="3"/>
      <c r="F599" s="3"/>
      <c r="I599" s="10"/>
      <c r="K599" s="7"/>
      <c r="L599" s="7"/>
      <c r="O599" s="10"/>
      <c r="R599" s="10"/>
      <c r="U599" s="16"/>
      <c r="X599" s="10"/>
      <c r="AA599" s="10"/>
      <c r="AD599" s="10"/>
    </row>
    <row r="600" customFormat="false" ht="15.75" hidden="false" customHeight="false" outlineLevel="0" collapsed="false">
      <c r="A600" s="7"/>
      <c r="B600" s="8"/>
      <c r="E600" s="3"/>
      <c r="F600" s="3"/>
      <c r="I600" s="10"/>
      <c r="K600" s="7"/>
      <c r="L600" s="7"/>
      <c r="O600" s="10"/>
      <c r="R600" s="10"/>
      <c r="U600" s="16"/>
      <c r="X600" s="10"/>
      <c r="AA600" s="10"/>
      <c r="AD600" s="10"/>
    </row>
    <row r="601" customFormat="false" ht="15.75" hidden="false" customHeight="false" outlineLevel="0" collapsed="false">
      <c r="A601" s="7"/>
      <c r="B601" s="8"/>
      <c r="E601" s="3"/>
      <c r="F601" s="3"/>
      <c r="I601" s="10"/>
      <c r="K601" s="7"/>
      <c r="L601" s="7"/>
      <c r="O601" s="10"/>
      <c r="R601" s="10"/>
      <c r="U601" s="16"/>
      <c r="X601" s="10"/>
      <c r="AA601" s="10"/>
      <c r="AD601" s="10"/>
    </row>
    <row r="602" customFormat="false" ht="15.75" hidden="false" customHeight="false" outlineLevel="0" collapsed="false">
      <c r="A602" s="7"/>
      <c r="B602" s="8"/>
      <c r="E602" s="3"/>
      <c r="F602" s="3"/>
      <c r="I602" s="10"/>
      <c r="K602" s="7"/>
      <c r="L602" s="7"/>
      <c r="O602" s="10"/>
      <c r="R602" s="10"/>
      <c r="U602" s="16"/>
      <c r="X602" s="10"/>
      <c r="AA602" s="10"/>
      <c r="AD602" s="10"/>
    </row>
    <row r="603" customFormat="false" ht="15.75" hidden="false" customHeight="false" outlineLevel="0" collapsed="false">
      <c r="A603" s="7"/>
      <c r="B603" s="8"/>
      <c r="E603" s="3"/>
      <c r="F603" s="3"/>
      <c r="I603" s="10"/>
      <c r="K603" s="7"/>
      <c r="L603" s="7"/>
      <c r="O603" s="10"/>
      <c r="R603" s="10"/>
      <c r="U603" s="16"/>
      <c r="X603" s="10"/>
      <c r="AA603" s="10"/>
      <c r="AD603" s="10"/>
    </row>
    <row r="604" customFormat="false" ht="15.75" hidden="false" customHeight="false" outlineLevel="0" collapsed="false">
      <c r="A604" s="7"/>
      <c r="B604" s="8"/>
      <c r="E604" s="3"/>
      <c r="F604" s="3"/>
      <c r="I604" s="10"/>
      <c r="K604" s="7"/>
      <c r="L604" s="7"/>
      <c r="O604" s="10"/>
      <c r="R604" s="10"/>
      <c r="U604" s="16"/>
      <c r="X604" s="10"/>
      <c r="AA604" s="10"/>
      <c r="AD604" s="10"/>
    </row>
    <row r="605" customFormat="false" ht="15.75" hidden="false" customHeight="false" outlineLevel="0" collapsed="false">
      <c r="A605" s="7"/>
      <c r="B605" s="8"/>
      <c r="E605" s="3"/>
      <c r="F605" s="3"/>
      <c r="I605" s="10"/>
      <c r="K605" s="7"/>
      <c r="L605" s="7"/>
      <c r="O605" s="10"/>
      <c r="R605" s="10"/>
      <c r="U605" s="16"/>
      <c r="X605" s="10"/>
      <c r="AA605" s="10"/>
      <c r="AD605" s="10"/>
    </row>
    <row r="606" customFormat="false" ht="15.75" hidden="false" customHeight="false" outlineLevel="0" collapsed="false">
      <c r="A606" s="7"/>
      <c r="B606" s="8"/>
      <c r="E606" s="3"/>
      <c r="F606" s="3"/>
      <c r="I606" s="10"/>
      <c r="K606" s="7"/>
      <c r="L606" s="7"/>
      <c r="O606" s="10"/>
      <c r="R606" s="10"/>
      <c r="U606" s="16"/>
      <c r="X606" s="10"/>
      <c r="AA606" s="10"/>
      <c r="AD606" s="10"/>
    </row>
    <row r="607" customFormat="false" ht="15.75" hidden="false" customHeight="false" outlineLevel="0" collapsed="false">
      <c r="A607" s="7"/>
      <c r="B607" s="8"/>
      <c r="E607" s="3"/>
      <c r="F607" s="3"/>
      <c r="I607" s="10"/>
      <c r="K607" s="7"/>
      <c r="L607" s="7"/>
      <c r="O607" s="10"/>
      <c r="R607" s="10"/>
      <c r="U607" s="16"/>
      <c r="X607" s="10"/>
      <c r="AA607" s="10"/>
      <c r="AD607" s="10"/>
    </row>
    <row r="608" customFormat="false" ht="15.75" hidden="false" customHeight="false" outlineLevel="0" collapsed="false">
      <c r="A608" s="7"/>
      <c r="B608" s="8"/>
      <c r="E608" s="3"/>
      <c r="F608" s="3"/>
      <c r="I608" s="10"/>
      <c r="K608" s="7"/>
      <c r="L608" s="7"/>
      <c r="O608" s="10"/>
      <c r="R608" s="10"/>
      <c r="U608" s="16"/>
      <c r="X608" s="10"/>
      <c r="AA608" s="10"/>
      <c r="AD608" s="10"/>
    </row>
    <row r="609" customFormat="false" ht="15.75" hidden="false" customHeight="false" outlineLevel="0" collapsed="false">
      <c r="A609" s="7"/>
      <c r="B609" s="8"/>
      <c r="E609" s="3"/>
      <c r="F609" s="3"/>
      <c r="I609" s="10"/>
      <c r="K609" s="7"/>
      <c r="L609" s="7"/>
      <c r="O609" s="10"/>
      <c r="R609" s="10"/>
      <c r="U609" s="16"/>
      <c r="X609" s="10"/>
      <c r="AA609" s="10"/>
      <c r="AD609" s="10"/>
    </row>
    <row r="610" customFormat="false" ht="15.75" hidden="false" customHeight="false" outlineLevel="0" collapsed="false">
      <c r="A610" s="7"/>
      <c r="B610" s="8"/>
      <c r="E610" s="3"/>
      <c r="F610" s="3"/>
      <c r="I610" s="10"/>
      <c r="K610" s="7"/>
      <c r="L610" s="7"/>
      <c r="O610" s="10"/>
      <c r="R610" s="10"/>
      <c r="U610" s="16"/>
      <c r="X610" s="10"/>
      <c r="AA610" s="10"/>
      <c r="AD610" s="10"/>
    </row>
    <row r="611" customFormat="false" ht="15.75" hidden="false" customHeight="false" outlineLevel="0" collapsed="false">
      <c r="A611" s="7"/>
      <c r="B611" s="8"/>
      <c r="E611" s="3"/>
      <c r="F611" s="3"/>
      <c r="I611" s="10"/>
      <c r="K611" s="7"/>
      <c r="L611" s="7"/>
      <c r="O611" s="10"/>
      <c r="R611" s="10"/>
      <c r="U611" s="16"/>
      <c r="X611" s="10"/>
      <c r="AA611" s="10"/>
      <c r="AD611" s="10"/>
    </row>
    <row r="612" customFormat="false" ht="15.75" hidden="false" customHeight="false" outlineLevel="0" collapsed="false">
      <c r="A612" s="7"/>
      <c r="B612" s="8"/>
      <c r="E612" s="3"/>
      <c r="F612" s="3"/>
      <c r="I612" s="10"/>
      <c r="K612" s="7"/>
      <c r="L612" s="7"/>
      <c r="O612" s="10"/>
      <c r="R612" s="10"/>
      <c r="U612" s="16"/>
      <c r="X612" s="10"/>
      <c r="AA612" s="10"/>
      <c r="AD612" s="10"/>
    </row>
    <row r="613" customFormat="false" ht="15.75" hidden="false" customHeight="false" outlineLevel="0" collapsed="false">
      <c r="A613" s="7"/>
      <c r="B613" s="8"/>
      <c r="E613" s="3"/>
      <c r="F613" s="3"/>
      <c r="I613" s="10"/>
      <c r="K613" s="7"/>
      <c r="L613" s="7"/>
      <c r="O613" s="10"/>
      <c r="R613" s="10"/>
      <c r="U613" s="16"/>
      <c r="X613" s="10"/>
      <c r="AA613" s="10"/>
      <c r="AD613" s="10"/>
    </row>
    <row r="614" customFormat="false" ht="15.75" hidden="false" customHeight="false" outlineLevel="0" collapsed="false">
      <c r="A614" s="7"/>
      <c r="B614" s="8"/>
      <c r="E614" s="3"/>
      <c r="F614" s="3"/>
      <c r="I614" s="10"/>
      <c r="K614" s="7"/>
      <c r="L614" s="7"/>
      <c r="O614" s="10"/>
      <c r="R614" s="10"/>
      <c r="U614" s="16"/>
      <c r="X614" s="10"/>
      <c r="AA614" s="10"/>
      <c r="AD614" s="10"/>
    </row>
    <row r="615" customFormat="false" ht="15.75" hidden="false" customHeight="false" outlineLevel="0" collapsed="false">
      <c r="A615" s="7"/>
      <c r="B615" s="8"/>
      <c r="E615" s="3"/>
      <c r="F615" s="3"/>
      <c r="I615" s="10"/>
      <c r="K615" s="7"/>
      <c r="L615" s="7"/>
      <c r="O615" s="10"/>
      <c r="R615" s="10"/>
      <c r="U615" s="16"/>
      <c r="X615" s="10"/>
      <c r="AA615" s="10"/>
      <c r="AD615" s="10"/>
    </row>
    <row r="616" customFormat="false" ht="15.75" hidden="false" customHeight="false" outlineLevel="0" collapsed="false">
      <c r="A616" s="7"/>
      <c r="B616" s="8"/>
      <c r="E616" s="3"/>
      <c r="F616" s="3"/>
      <c r="I616" s="10"/>
      <c r="K616" s="7"/>
      <c r="L616" s="7"/>
      <c r="O616" s="10"/>
      <c r="R616" s="10"/>
      <c r="U616" s="16"/>
      <c r="X616" s="10"/>
      <c r="AA616" s="10"/>
      <c r="AD616" s="10"/>
    </row>
    <row r="617" customFormat="false" ht="15.75" hidden="false" customHeight="false" outlineLevel="0" collapsed="false">
      <c r="A617" s="7"/>
      <c r="B617" s="8"/>
      <c r="E617" s="3"/>
      <c r="F617" s="3"/>
      <c r="I617" s="10"/>
      <c r="K617" s="7"/>
      <c r="L617" s="7"/>
      <c r="O617" s="10"/>
      <c r="R617" s="10"/>
      <c r="U617" s="16"/>
      <c r="X617" s="10"/>
      <c r="AA617" s="10"/>
      <c r="AD617" s="10"/>
    </row>
    <row r="618" customFormat="false" ht="15.75" hidden="false" customHeight="false" outlineLevel="0" collapsed="false">
      <c r="A618" s="7"/>
      <c r="B618" s="8"/>
      <c r="E618" s="3"/>
      <c r="F618" s="3"/>
      <c r="I618" s="10"/>
      <c r="K618" s="7"/>
      <c r="L618" s="7"/>
      <c r="O618" s="10"/>
      <c r="R618" s="10"/>
      <c r="U618" s="16"/>
      <c r="X618" s="10"/>
      <c r="AA618" s="10"/>
      <c r="AD618" s="10"/>
    </row>
    <row r="619" customFormat="false" ht="15.75" hidden="false" customHeight="false" outlineLevel="0" collapsed="false">
      <c r="A619" s="7"/>
      <c r="B619" s="8"/>
      <c r="E619" s="3"/>
      <c r="F619" s="3"/>
      <c r="I619" s="10"/>
      <c r="K619" s="7"/>
      <c r="L619" s="7"/>
      <c r="O619" s="10"/>
      <c r="R619" s="10"/>
      <c r="U619" s="16"/>
      <c r="X619" s="10"/>
      <c r="AA619" s="10"/>
      <c r="AD619" s="10"/>
    </row>
    <row r="620" customFormat="false" ht="15.75" hidden="false" customHeight="false" outlineLevel="0" collapsed="false">
      <c r="A620" s="7"/>
      <c r="B620" s="8"/>
      <c r="E620" s="3"/>
      <c r="F620" s="3"/>
      <c r="I620" s="10"/>
      <c r="K620" s="7"/>
      <c r="L620" s="7"/>
      <c r="O620" s="10"/>
      <c r="R620" s="10"/>
      <c r="U620" s="16"/>
      <c r="X620" s="10"/>
      <c r="AA620" s="10"/>
      <c r="AD620" s="10"/>
    </row>
    <row r="621" customFormat="false" ht="15.75" hidden="false" customHeight="false" outlineLevel="0" collapsed="false">
      <c r="A621" s="7"/>
      <c r="B621" s="8"/>
      <c r="E621" s="3"/>
      <c r="F621" s="3"/>
      <c r="I621" s="10"/>
      <c r="K621" s="7"/>
      <c r="L621" s="7"/>
      <c r="O621" s="10"/>
      <c r="R621" s="10"/>
      <c r="U621" s="16"/>
      <c r="X621" s="10"/>
      <c r="AA621" s="10"/>
      <c r="AD621" s="10"/>
    </row>
    <row r="622" customFormat="false" ht="15.75" hidden="false" customHeight="false" outlineLevel="0" collapsed="false">
      <c r="A622" s="7"/>
      <c r="B622" s="8"/>
      <c r="E622" s="3"/>
      <c r="F622" s="3"/>
      <c r="I622" s="10"/>
      <c r="K622" s="7"/>
      <c r="L622" s="7"/>
      <c r="O622" s="10"/>
      <c r="R622" s="10"/>
      <c r="U622" s="16"/>
      <c r="X622" s="10"/>
      <c r="AA622" s="10"/>
      <c r="AD622" s="10"/>
    </row>
    <row r="623" customFormat="false" ht="15.75" hidden="false" customHeight="false" outlineLevel="0" collapsed="false">
      <c r="A623" s="7"/>
      <c r="B623" s="8"/>
      <c r="E623" s="3"/>
      <c r="F623" s="3"/>
      <c r="I623" s="10"/>
      <c r="K623" s="7"/>
      <c r="L623" s="7"/>
      <c r="O623" s="10"/>
      <c r="R623" s="10"/>
      <c r="U623" s="16"/>
      <c r="X623" s="10"/>
      <c r="AA623" s="10"/>
      <c r="AD623" s="10"/>
    </row>
    <row r="624" customFormat="false" ht="15.75" hidden="false" customHeight="false" outlineLevel="0" collapsed="false">
      <c r="A624" s="7"/>
      <c r="B624" s="8"/>
      <c r="E624" s="3"/>
      <c r="F624" s="3"/>
      <c r="I624" s="10"/>
      <c r="K624" s="7"/>
      <c r="L624" s="7"/>
      <c r="O624" s="10"/>
      <c r="R624" s="10"/>
      <c r="U624" s="16"/>
      <c r="X624" s="10"/>
      <c r="AA624" s="10"/>
      <c r="AD624" s="10"/>
    </row>
    <row r="625" customFormat="false" ht="15.75" hidden="false" customHeight="false" outlineLevel="0" collapsed="false">
      <c r="A625" s="7"/>
      <c r="B625" s="8"/>
      <c r="E625" s="3"/>
      <c r="F625" s="3"/>
      <c r="I625" s="10"/>
      <c r="K625" s="7"/>
      <c r="L625" s="7"/>
      <c r="O625" s="10"/>
      <c r="R625" s="10"/>
      <c r="U625" s="16"/>
      <c r="X625" s="10"/>
      <c r="AA625" s="10"/>
      <c r="AD625" s="10"/>
    </row>
    <row r="626" customFormat="false" ht="15.75" hidden="false" customHeight="false" outlineLevel="0" collapsed="false">
      <c r="A626" s="7"/>
      <c r="B626" s="8"/>
      <c r="E626" s="3"/>
      <c r="F626" s="3"/>
      <c r="I626" s="10"/>
      <c r="K626" s="7"/>
      <c r="L626" s="7"/>
      <c r="O626" s="10"/>
      <c r="R626" s="10"/>
      <c r="U626" s="16"/>
      <c r="X626" s="10"/>
      <c r="AA626" s="10"/>
      <c r="AD626" s="10"/>
    </row>
    <row r="627" customFormat="false" ht="15.75" hidden="false" customHeight="false" outlineLevel="0" collapsed="false">
      <c r="A627" s="7"/>
      <c r="B627" s="8"/>
      <c r="E627" s="3"/>
      <c r="F627" s="3"/>
      <c r="I627" s="10"/>
      <c r="K627" s="7"/>
      <c r="L627" s="7"/>
      <c r="O627" s="10"/>
      <c r="R627" s="10"/>
      <c r="U627" s="16"/>
      <c r="X627" s="10"/>
      <c r="AA627" s="10"/>
      <c r="AD627" s="10"/>
    </row>
    <row r="628" customFormat="false" ht="15.75" hidden="false" customHeight="false" outlineLevel="0" collapsed="false">
      <c r="A628" s="7"/>
      <c r="B628" s="8"/>
      <c r="E628" s="3"/>
      <c r="F628" s="3"/>
      <c r="I628" s="10"/>
      <c r="K628" s="7"/>
      <c r="L628" s="7"/>
      <c r="O628" s="10"/>
      <c r="R628" s="10"/>
      <c r="U628" s="16"/>
      <c r="X628" s="10"/>
      <c r="AA628" s="10"/>
      <c r="AD628" s="10"/>
    </row>
    <row r="629" customFormat="false" ht="15.75" hidden="false" customHeight="false" outlineLevel="0" collapsed="false">
      <c r="A629" s="7"/>
      <c r="B629" s="8"/>
      <c r="E629" s="3"/>
      <c r="F629" s="3"/>
      <c r="I629" s="10"/>
      <c r="K629" s="7"/>
      <c r="L629" s="7"/>
      <c r="O629" s="10"/>
      <c r="R629" s="10"/>
      <c r="U629" s="16"/>
      <c r="X629" s="10"/>
      <c r="AA629" s="10"/>
      <c r="AD629" s="10"/>
    </row>
    <row r="630" customFormat="false" ht="15.75" hidden="false" customHeight="false" outlineLevel="0" collapsed="false">
      <c r="A630" s="7"/>
      <c r="B630" s="8"/>
      <c r="E630" s="3"/>
      <c r="F630" s="3"/>
      <c r="I630" s="10"/>
      <c r="K630" s="7"/>
      <c r="L630" s="7"/>
      <c r="O630" s="10"/>
      <c r="R630" s="10"/>
      <c r="U630" s="16"/>
      <c r="X630" s="10"/>
      <c r="AA630" s="10"/>
      <c r="AD630" s="10"/>
    </row>
    <row r="631" customFormat="false" ht="15.75" hidden="false" customHeight="false" outlineLevel="0" collapsed="false">
      <c r="A631" s="7"/>
      <c r="B631" s="8"/>
      <c r="E631" s="3"/>
      <c r="F631" s="3"/>
      <c r="I631" s="10"/>
      <c r="K631" s="7"/>
      <c r="L631" s="7"/>
      <c r="O631" s="10"/>
      <c r="R631" s="10"/>
      <c r="U631" s="16"/>
      <c r="X631" s="10"/>
      <c r="AA631" s="10"/>
      <c r="AD631" s="10"/>
    </row>
    <row r="632" customFormat="false" ht="15.75" hidden="false" customHeight="false" outlineLevel="0" collapsed="false">
      <c r="A632" s="7"/>
      <c r="B632" s="8"/>
      <c r="E632" s="3"/>
      <c r="F632" s="3"/>
      <c r="I632" s="10"/>
      <c r="K632" s="7"/>
      <c r="L632" s="7"/>
      <c r="O632" s="10"/>
      <c r="R632" s="10"/>
      <c r="U632" s="16"/>
      <c r="X632" s="10"/>
      <c r="AA632" s="10"/>
      <c r="AD632" s="10"/>
    </row>
    <row r="633" customFormat="false" ht="15.75" hidden="false" customHeight="false" outlineLevel="0" collapsed="false">
      <c r="A633" s="7"/>
      <c r="B633" s="8"/>
      <c r="E633" s="3"/>
      <c r="F633" s="3"/>
      <c r="I633" s="10"/>
      <c r="K633" s="7"/>
      <c r="L633" s="7"/>
      <c r="O633" s="10"/>
      <c r="R633" s="10"/>
      <c r="U633" s="16"/>
      <c r="X633" s="10"/>
      <c r="AA633" s="10"/>
      <c r="AD633" s="10"/>
    </row>
    <row r="634" customFormat="false" ht="15.75" hidden="false" customHeight="false" outlineLevel="0" collapsed="false">
      <c r="A634" s="7"/>
      <c r="B634" s="8"/>
      <c r="E634" s="3"/>
      <c r="F634" s="3"/>
      <c r="I634" s="10"/>
      <c r="K634" s="7"/>
      <c r="L634" s="7"/>
      <c r="O634" s="10"/>
      <c r="R634" s="10"/>
      <c r="U634" s="16"/>
      <c r="X634" s="10"/>
      <c r="AA634" s="10"/>
      <c r="AD634" s="10"/>
    </row>
    <row r="635" customFormat="false" ht="15.75" hidden="false" customHeight="false" outlineLevel="0" collapsed="false">
      <c r="A635" s="7"/>
      <c r="B635" s="8"/>
      <c r="E635" s="3"/>
      <c r="F635" s="3"/>
      <c r="I635" s="10"/>
      <c r="K635" s="7"/>
      <c r="L635" s="7"/>
      <c r="O635" s="10"/>
      <c r="R635" s="10"/>
      <c r="U635" s="16"/>
      <c r="X635" s="10"/>
      <c r="AA635" s="10"/>
      <c r="AD635" s="10"/>
    </row>
    <row r="636" customFormat="false" ht="15.75" hidden="false" customHeight="false" outlineLevel="0" collapsed="false">
      <c r="A636" s="7"/>
      <c r="B636" s="8"/>
      <c r="E636" s="3"/>
      <c r="F636" s="3"/>
      <c r="I636" s="10"/>
      <c r="K636" s="7"/>
      <c r="L636" s="7"/>
      <c r="O636" s="10"/>
      <c r="R636" s="10"/>
      <c r="U636" s="16"/>
      <c r="X636" s="10"/>
      <c r="AA636" s="10"/>
      <c r="AD636" s="10"/>
    </row>
    <row r="637" customFormat="false" ht="15.75" hidden="false" customHeight="false" outlineLevel="0" collapsed="false">
      <c r="A637" s="7"/>
      <c r="B637" s="8"/>
      <c r="E637" s="3"/>
      <c r="F637" s="3"/>
      <c r="I637" s="10"/>
      <c r="K637" s="7"/>
      <c r="L637" s="7"/>
      <c r="O637" s="10"/>
      <c r="R637" s="10"/>
      <c r="U637" s="16"/>
      <c r="X637" s="10"/>
      <c r="AA637" s="10"/>
      <c r="AD637" s="10"/>
    </row>
    <row r="638" customFormat="false" ht="15.75" hidden="false" customHeight="false" outlineLevel="0" collapsed="false">
      <c r="A638" s="7"/>
      <c r="B638" s="8"/>
      <c r="E638" s="3"/>
      <c r="F638" s="3"/>
      <c r="I638" s="10"/>
      <c r="K638" s="7"/>
      <c r="L638" s="7"/>
      <c r="O638" s="10"/>
      <c r="R638" s="10"/>
      <c r="U638" s="16"/>
      <c r="X638" s="10"/>
      <c r="AA638" s="10"/>
      <c r="AD638" s="10"/>
    </row>
    <row r="639" customFormat="false" ht="15.75" hidden="false" customHeight="false" outlineLevel="0" collapsed="false">
      <c r="A639" s="7"/>
      <c r="B639" s="8"/>
      <c r="E639" s="3"/>
      <c r="F639" s="3"/>
      <c r="I639" s="10"/>
      <c r="K639" s="7"/>
      <c r="L639" s="7"/>
      <c r="O639" s="10"/>
      <c r="R639" s="10"/>
      <c r="U639" s="16"/>
      <c r="X639" s="10"/>
      <c r="AA639" s="10"/>
      <c r="AD639" s="10"/>
    </row>
    <row r="640" customFormat="false" ht="15.75" hidden="false" customHeight="false" outlineLevel="0" collapsed="false">
      <c r="A640" s="7"/>
      <c r="B640" s="8"/>
      <c r="E640" s="3"/>
      <c r="F640" s="3"/>
      <c r="I640" s="10"/>
      <c r="K640" s="7"/>
      <c r="L640" s="7"/>
      <c r="O640" s="10"/>
      <c r="R640" s="10"/>
      <c r="U640" s="16"/>
      <c r="X640" s="10"/>
      <c r="AA640" s="10"/>
      <c r="AD640" s="10"/>
    </row>
    <row r="641" customFormat="false" ht="15.75" hidden="false" customHeight="false" outlineLevel="0" collapsed="false">
      <c r="A641" s="7"/>
      <c r="B641" s="8"/>
      <c r="E641" s="3"/>
      <c r="F641" s="3"/>
      <c r="I641" s="10"/>
      <c r="K641" s="7"/>
      <c r="L641" s="7"/>
      <c r="O641" s="10"/>
      <c r="R641" s="10"/>
      <c r="U641" s="16"/>
      <c r="X641" s="10"/>
      <c r="AA641" s="10"/>
      <c r="AD641" s="10"/>
    </row>
    <row r="642" customFormat="false" ht="15.75" hidden="false" customHeight="false" outlineLevel="0" collapsed="false">
      <c r="A642" s="7"/>
      <c r="B642" s="8"/>
      <c r="E642" s="3"/>
      <c r="F642" s="3"/>
      <c r="I642" s="10"/>
      <c r="K642" s="7"/>
      <c r="L642" s="7"/>
      <c r="O642" s="10"/>
      <c r="R642" s="10"/>
      <c r="U642" s="16"/>
      <c r="X642" s="10"/>
      <c r="AA642" s="10"/>
      <c r="AD642" s="10"/>
    </row>
    <row r="643" customFormat="false" ht="15.75" hidden="false" customHeight="false" outlineLevel="0" collapsed="false">
      <c r="A643" s="7"/>
      <c r="B643" s="8"/>
      <c r="E643" s="3"/>
      <c r="F643" s="3"/>
      <c r="I643" s="10"/>
      <c r="K643" s="7"/>
      <c r="L643" s="7"/>
      <c r="O643" s="10"/>
      <c r="R643" s="10"/>
      <c r="U643" s="16"/>
      <c r="X643" s="10"/>
      <c r="AA643" s="10"/>
      <c r="AD643" s="10"/>
    </row>
    <row r="644" customFormat="false" ht="15.75" hidden="false" customHeight="false" outlineLevel="0" collapsed="false">
      <c r="A644" s="7"/>
      <c r="B644" s="8"/>
      <c r="E644" s="3"/>
      <c r="F644" s="3"/>
      <c r="I644" s="10"/>
      <c r="K644" s="7"/>
      <c r="L644" s="7"/>
      <c r="O644" s="10"/>
      <c r="R644" s="10"/>
      <c r="U644" s="16"/>
      <c r="X644" s="10"/>
      <c r="AA644" s="10"/>
      <c r="AD644" s="10"/>
    </row>
    <row r="645" customFormat="false" ht="15.75" hidden="false" customHeight="false" outlineLevel="0" collapsed="false">
      <c r="A645" s="7"/>
      <c r="B645" s="8"/>
      <c r="E645" s="3"/>
      <c r="F645" s="3"/>
      <c r="I645" s="10"/>
      <c r="K645" s="7"/>
      <c r="L645" s="7"/>
      <c r="O645" s="10"/>
      <c r="R645" s="10"/>
      <c r="U645" s="16"/>
      <c r="X645" s="10"/>
      <c r="AA645" s="10"/>
      <c r="AD645" s="10"/>
    </row>
    <row r="646" customFormat="false" ht="15.75" hidden="false" customHeight="false" outlineLevel="0" collapsed="false">
      <c r="A646" s="7"/>
      <c r="B646" s="8"/>
      <c r="E646" s="3"/>
      <c r="F646" s="3"/>
      <c r="I646" s="10"/>
      <c r="K646" s="7"/>
      <c r="L646" s="7"/>
      <c r="O646" s="10"/>
      <c r="R646" s="10"/>
      <c r="U646" s="16"/>
      <c r="X646" s="10"/>
      <c r="AA646" s="10"/>
      <c r="AD646" s="10"/>
    </row>
    <row r="647" customFormat="false" ht="15.75" hidden="false" customHeight="false" outlineLevel="0" collapsed="false">
      <c r="A647" s="7"/>
      <c r="B647" s="8"/>
      <c r="E647" s="3"/>
      <c r="F647" s="3"/>
      <c r="I647" s="10"/>
      <c r="K647" s="7"/>
      <c r="L647" s="7"/>
      <c r="O647" s="10"/>
      <c r="R647" s="10"/>
      <c r="U647" s="16"/>
      <c r="X647" s="10"/>
      <c r="AA647" s="10"/>
      <c r="AD647" s="10"/>
    </row>
    <row r="648" customFormat="false" ht="15.75" hidden="false" customHeight="false" outlineLevel="0" collapsed="false">
      <c r="A648" s="7"/>
      <c r="B648" s="8"/>
      <c r="E648" s="3"/>
      <c r="F648" s="3"/>
      <c r="I648" s="10"/>
      <c r="K648" s="7"/>
      <c r="L648" s="7"/>
      <c r="O648" s="10"/>
      <c r="R648" s="10"/>
      <c r="U648" s="16"/>
      <c r="X648" s="10"/>
      <c r="AA648" s="10"/>
      <c r="AD648" s="10"/>
    </row>
    <row r="649" customFormat="false" ht="15.75" hidden="false" customHeight="false" outlineLevel="0" collapsed="false">
      <c r="A649" s="7"/>
      <c r="B649" s="8"/>
      <c r="E649" s="3"/>
      <c r="F649" s="3"/>
      <c r="I649" s="10"/>
      <c r="K649" s="7"/>
      <c r="L649" s="7"/>
      <c r="O649" s="10"/>
      <c r="R649" s="10"/>
      <c r="U649" s="16"/>
      <c r="X649" s="10"/>
      <c r="AA649" s="10"/>
      <c r="AD649" s="10"/>
    </row>
    <row r="650" customFormat="false" ht="15.75" hidden="false" customHeight="false" outlineLevel="0" collapsed="false">
      <c r="A650" s="7"/>
      <c r="B650" s="8"/>
      <c r="E650" s="3"/>
      <c r="F650" s="3"/>
      <c r="I650" s="10"/>
      <c r="K650" s="7"/>
      <c r="L650" s="7"/>
      <c r="O650" s="10"/>
      <c r="R650" s="10"/>
      <c r="U650" s="16"/>
      <c r="X650" s="10"/>
      <c r="AA650" s="10"/>
      <c r="AD650" s="10"/>
    </row>
    <row r="651" customFormat="false" ht="15.75" hidden="false" customHeight="false" outlineLevel="0" collapsed="false">
      <c r="A651" s="7"/>
      <c r="B651" s="8"/>
      <c r="E651" s="3"/>
      <c r="F651" s="3"/>
      <c r="I651" s="10"/>
      <c r="K651" s="7"/>
      <c r="L651" s="7"/>
      <c r="O651" s="10"/>
      <c r="R651" s="10"/>
      <c r="U651" s="16"/>
      <c r="X651" s="10"/>
      <c r="AA651" s="10"/>
      <c r="AD651" s="10"/>
    </row>
    <row r="652" customFormat="false" ht="15.75" hidden="false" customHeight="false" outlineLevel="0" collapsed="false">
      <c r="A652" s="7"/>
      <c r="B652" s="8"/>
      <c r="E652" s="3"/>
      <c r="F652" s="3"/>
      <c r="I652" s="10"/>
      <c r="K652" s="7"/>
      <c r="L652" s="7"/>
      <c r="O652" s="10"/>
      <c r="R652" s="10"/>
      <c r="U652" s="16"/>
      <c r="X652" s="10"/>
      <c r="AA652" s="10"/>
      <c r="AD652" s="10"/>
    </row>
    <row r="653" customFormat="false" ht="15.75" hidden="false" customHeight="false" outlineLevel="0" collapsed="false">
      <c r="A653" s="7"/>
      <c r="B653" s="8"/>
      <c r="E653" s="3"/>
      <c r="F653" s="3"/>
      <c r="I653" s="10"/>
      <c r="K653" s="7"/>
      <c r="L653" s="7"/>
      <c r="O653" s="10"/>
      <c r="R653" s="10"/>
      <c r="U653" s="16"/>
      <c r="X653" s="10"/>
      <c r="AA653" s="10"/>
      <c r="AD653" s="10"/>
    </row>
    <row r="654" customFormat="false" ht="15.75" hidden="false" customHeight="false" outlineLevel="0" collapsed="false">
      <c r="A654" s="7"/>
      <c r="B654" s="8"/>
      <c r="E654" s="3"/>
      <c r="F654" s="3"/>
      <c r="I654" s="10"/>
      <c r="K654" s="7"/>
      <c r="L654" s="7"/>
      <c r="O654" s="10"/>
      <c r="R654" s="10"/>
      <c r="U654" s="16"/>
      <c r="X654" s="10"/>
      <c r="AA654" s="10"/>
      <c r="AD654" s="10"/>
    </row>
    <row r="655" customFormat="false" ht="15.75" hidden="false" customHeight="false" outlineLevel="0" collapsed="false">
      <c r="A655" s="7"/>
      <c r="B655" s="8"/>
      <c r="E655" s="3"/>
      <c r="F655" s="3"/>
      <c r="I655" s="10"/>
      <c r="K655" s="7"/>
      <c r="L655" s="7"/>
      <c r="O655" s="10"/>
      <c r="R655" s="10"/>
      <c r="U655" s="16"/>
      <c r="X655" s="10"/>
      <c r="AA655" s="10"/>
      <c r="AD655" s="10"/>
    </row>
    <row r="656" customFormat="false" ht="15.75" hidden="false" customHeight="false" outlineLevel="0" collapsed="false">
      <c r="A656" s="7"/>
      <c r="B656" s="8"/>
      <c r="E656" s="3"/>
      <c r="F656" s="3"/>
      <c r="I656" s="10"/>
      <c r="K656" s="7"/>
      <c r="L656" s="7"/>
      <c r="O656" s="10"/>
      <c r="R656" s="10"/>
      <c r="U656" s="16"/>
      <c r="X656" s="10"/>
      <c r="AA656" s="10"/>
      <c r="AD656" s="10"/>
    </row>
    <row r="657" customFormat="false" ht="15.75" hidden="false" customHeight="false" outlineLevel="0" collapsed="false">
      <c r="A657" s="7"/>
      <c r="B657" s="8"/>
      <c r="E657" s="3"/>
      <c r="F657" s="3"/>
      <c r="I657" s="10"/>
      <c r="K657" s="7"/>
      <c r="L657" s="7"/>
      <c r="O657" s="10"/>
      <c r="R657" s="10"/>
      <c r="U657" s="16"/>
      <c r="X657" s="10"/>
      <c r="AA657" s="10"/>
      <c r="AD657" s="10"/>
    </row>
    <row r="658" customFormat="false" ht="15.75" hidden="false" customHeight="false" outlineLevel="0" collapsed="false">
      <c r="A658" s="7"/>
      <c r="B658" s="8"/>
      <c r="E658" s="3"/>
      <c r="F658" s="3"/>
      <c r="I658" s="10"/>
      <c r="K658" s="7"/>
      <c r="L658" s="7"/>
      <c r="O658" s="10"/>
      <c r="R658" s="10"/>
      <c r="U658" s="16"/>
      <c r="X658" s="10"/>
      <c r="AA658" s="10"/>
      <c r="AD658" s="10"/>
    </row>
    <row r="659" customFormat="false" ht="15.75" hidden="false" customHeight="false" outlineLevel="0" collapsed="false">
      <c r="A659" s="7"/>
      <c r="B659" s="8"/>
      <c r="E659" s="3"/>
      <c r="F659" s="3"/>
      <c r="I659" s="10"/>
      <c r="K659" s="7"/>
      <c r="L659" s="7"/>
      <c r="O659" s="10"/>
      <c r="R659" s="10"/>
      <c r="U659" s="16"/>
      <c r="X659" s="10"/>
      <c r="AA659" s="10"/>
      <c r="AD659" s="10"/>
    </row>
    <row r="660" customFormat="false" ht="15.75" hidden="false" customHeight="false" outlineLevel="0" collapsed="false">
      <c r="A660" s="7"/>
      <c r="B660" s="8"/>
      <c r="E660" s="3"/>
      <c r="F660" s="3"/>
      <c r="I660" s="10"/>
      <c r="K660" s="7"/>
      <c r="L660" s="7"/>
      <c r="O660" s="10"/>
      <c r="R660" s="10"/>
      <c r="U660" s="16"/>
      <c r="X660" s="10"/>
      <c r="AA660" s="10"/>
      <c r="AD660" s="10"/>
    </row>
    <row r="661" customFormat="false" ht="15.75" hidden="false" customHeight="false" outlineLevel="0" collapsed="false">
      <c r="A661" s="7"/>
      <c r="B661" s="8"/>
      <c r="E661" s="3"/>
      <c r="F661" s="3"/>
      <c r="I661" s="10"/>
      <c r="K661" s="7"/>
      <c r="L661" s="7"/>
      <c r="O661" s="10"/>
      <c r="R661" s="10"/>
      <c r="U661" s="16"/>
      <c r="X661" s="10"/>
      <c r="AA661" s="10"/>
      <c r="AD661" s="10"/>
    </row>
    <row r="662" customFormat="false" ht="15.75" hidden="false" customHeight="false" outlineLevel="0" collapsed="false">
      <c r="A662" s="7"/>
      <c r="B662" s="8"/>
      <c r="E662" s="3"/>
      <c r="F662" s="3"/>
      <c r="I662" s="10"/>
      <c r="K662" s="7"/>
      <c r="L662" s="7"/>
      <c r="O662" s="10"/>
      <c r="R662" s="10"/>
      <c r="U662" s="16"/>
      <c r="X662" s="10"/>
      <c r="AA662" s="10"/>
      <c r="AD662" s="10"/>
    </row>
    <row r="663" customFormat="false" ht="15.75" hidden="false" customHeight="false" outlineLevel="0" collapsed="false">
      <c r="A663" s="7"/>
      <c r="B663" s="8"/>
      <c r="E663" s="3"/>
      <c r="F663" s="3"/>
      <c r="I663" s="10"/>
      <c r="K663" s="7"/>
      <c r="L663" s="7"/>
      <c r="O663" s="10"/>
      <c r="R663" s="10"/>
      <c r="U663" s="16"/>
      <c r="X663" s="10"/>
      <c r="AA663" s="10"/>
      <c r="AD663" s="10"/>
    </row>
    <row r="664" customFormat="false" ht="15.75" hidden="false" customHeight="false" outlineLevel="0" collapsed="false">
      <c r="A664" s="7"/>
      <c r="B664" s="8"/>
      <c r="E664" s="3"/>
      <c r="F664" s="3"/>
      <c r="I664" s="10"/>
      <c r="K664" s="7"/>
      <c r="L664" s="7"/>
      <c r="O664" s="10"/>
      <c r="R664" s="10"/>
      <c r="U664" s="16"/>
      <c r="X664" s="10"/>
      <c r="AA664" s="10"/>
      <c r="AD664" s="10"/>
    </row>
    <row r="665" customFormat="false" ht="15.75" hidden="false" customHeight="false" outlineLevel="0" collapsed="false">
      <c r="A665" s="7"/>
      <c r="B665" s="8"/>
      <c r="E665" s="3"/>
      <c r="F665" s="3"/>
      <c r="I665" s="10"/>
      <c r="K665" s="7"/>
      <c r="L665" s="7"/>
      <c r="O665" s="10"/>
      <c r="R665" s="10"/>
      <c r="U665" s="16"/>
      <c r="X665" s="10"/>
      <c r="AA665" s="10"/>
      <c r="AD665" s="10"/>
    </row>
    <row r="666" customFormat="false" ht="15.75" hidden="false" customHeight="false" outlineLevel="0" collapsed="false">
      <c r="A666" s="7"/>
      <c r="B666" s="8"/>
      <c r="E666" s="3"/>
      <c r="F666" s="3"/>
      <c r="I666" s="10"/>
      <c r="K666" s="7"/>
      <c r="L666" s="7"/>
      <c r="O666" s="10"/>
      <c r="R666" s="10"/>
      <c r="U666" s="16"/>
      <c r="X666" s="10"/>
      <c r="AA666" s="10"/>
      <c r="AD666" s="10"/>
    </row>
    <row r="667" customFormat="false" ht="15.75" hidden="false" customHeight="false" outlineLevel="0" collapsed="false">
      <c r="A667" s="7"/>
      <c r="B667" s="8"/>
      <c r="E667" s="3"/>
      <c r="F667" s="3"/>
      <c r="I667" s="10"/>
      <c r="K667" s="7"/>
      <c r="L667" s="7"/>
      <c r="O667" s="10"/>
      <c r="R667" s="10"/>
      <c r="U667" s="16"/>
      <c r="X667" s="10"/>
      <c r="AA667" s="10"/>
      <c r="AD667" s="10"/>
    </row>
    <row r="668" customFormat="false" ht="15.75" hidden="false" customHeight="false" outlineLevel="0" collapsed="false">
      <c r="A668" s="7"/>
      <c r="B668" s="8"/>
      <c r="E668" s="3"/>
      <c r="F668" s="3"/>
      <c r="I668" s="10"/>
      <c r="K668" s="7"/>
      <c r="L668" s="7"/>
      <c r="O668" s="10"/>
      <c r="R668" s="10"/>
      <c r="U668" s="16"/>
      <c r="X668" s="10"/>
      <c r="AA668" s="10"/>
      <c r="AD668" s="10"/>
    </row>
    <row r="669" customFormat="false" ht="15.75" hidden="false" customHeight="false" outlineLevel="0" collapsed="false">
      <c r="A669" s="7"/>
      <c r="B669" s="8"/>
      <c r="E669" s="3"/>
      <c r="F669" s="3"/>
      <c r="I669" s="10"/>
      <c r="K669" s="7"/>
      <c r="L669" s="7"/>
      <c r="O669" s="10"/>
      <c r="R669" s="10"/>
      <c r="U669" s="16"/>
      <c r="X669" s="10"/>
      <c r="AA669" s="10"/>
      <c r="AD669" s="10"/>
    </row>
    <row r="670" customFormat="false" ht="15.75" hidden="false" customHeight="false" outlineLevel="0" collapsed="false">
      <c r="A670" s="7"/>
      <c r="B670" s="8"/>
      <c r="E670" s="3"/>
      <c r="F670" s="3"/>
      <c r="I670" s="10"/>
      <c r="K670" s="7"/>
      <c r="L670" s="7"/>
      <c r="O670" s="10"/>
      <c r="R670" s="10"/>
      <c r="U670" s="16"/>
      <c r="X670" s="10"/>
      <c r="AA670" s="10"/>
      <c r="AD670" s="10"/>
    </row>
    <row r="671" customFormat="false" ht="15.75" hidden="false" customHeight="false" outlineLevel="0" collapsed="false">
      <c r="A671" s="7"/>
      <c r="B671" s="8"/>
      <c r="E671" s="3"/>
      <c r="F671" s="3"/>
      <c r="I671" s="10"/>
      <c r="K671" s="7"/>
      <c r="L671" s="7"/>
      <c r="O671" s="10"/>
      <c r="R671" s="10"/>
      <c r="U671" s="16"/>
      <c r="X671" s="10"/>
      <c r="AA671" s="10"/>
      <c r="AD671" s="10"/>
    </row>
    <row r="672" customFormat="false" ht="15.75" hidden="false" customHeight="false" outlineLevel="0" collapsed="false">
      <c r="A672" s="7"/>
      <c r="B672" s="8"/>
      <c r="E672" s="3"/>
      <c r="F672" s="3"/>
      <c r="I672" s="10"/>
      <c r="K672" s="7"/>
      <c r="L672" s="7"/>
      <c r="O672" s="10"/>
      <c r="R672" s="10"/>
      <c r="U672" s="16"/>
      <c r="X672" s="10"/>
      <c r="AA672" s="10"/>
      <c r="AD672" s="10"/>
    </row>
    <row r="673" customFormat="false" ht="15.75" hidden="false" customHeight="false" outlineLevel="0" collapsed="false">
      <c r="A673" s="7"/>
      <c r="B673" s="8"/>
      <c r="E673" s="3"/>
      <c r="F673" s="3"/>
      <c r="I673" s="10"/>
      <c r="K673" s="7"/>
      <c r="L673" s="7"/>
      <c r="O673" s="10"/>
      <c r="R673" s="10"/>
      <c r="U673" s="16"/>
      <c r="X673" s="10"/>
      <c r="AA673" s="10"/>
      <c r="AD673" s="10"/>
    </row>
    <row r="674" customFormat="false" ht="15.75" hidden="false" customHeight="false" outlineLevel="0" collapsed="false">
      <c r="A674" s="7"/>
      <c r="B674" s="8"/>
      <c r="E674" s="3"/>
      <c r="F674" s="3"/>
      <c r="I674" s="10"/>
      <c r="K674" s="7"/>
      <c r="L674" s="7"/>
      <c r="O674" s="10"/>
      <c r="R674" s="10"/>
      <c r="U674" s="16"/>
      <c r="X674" s="10"/>
      <c r="AA674" s="10"/>
      <c r="AD674" s="10"/>
    </row>
    <row r="675" customFormat="false" ht="15.75" hidden="false" customHeight="false" outlineLevel="0" collapsed="false">
      <c r="A675" s="7"/>
      <c r="B675" s="8"/>
      <c r="E675" s="3"/>
      <c r="F675" s="3"/>
      <c r="I675" s="10"/>
      <c r="K675" s="7"/>
      <c r="L675" s="7"/>
      <c r="O675" s="10"/>
      <c r="R675" s="10"/>
      <c r="U675" s="16"/>
      <c r="X675" s="10"/>
      <c r="AA675" s="10"/>
      <c r="AD675" s="10"/>
    </row>
    <row r="676" customFormat="false" ht="15.75" hidden="false" customHeight="false" outlineLevel="0" collapsed="false">
      <c r="A676" s="7"/>
      <c r="B676" s="8"/>
      <c r="E676" s="3"/>
      <c r="F676" s="3"/>
      <c r="I676" s="10"/>
      <c r="K676" s="7"/>
      <c r="L676" s="7"/>
      <c r="O676" s="10"/>
      <c r="R676" s="10"/>
      <c r="U676" s="16"/>
      <c r="X676" s="10"/>
      <c r="AA676" s="10"/>
      <c r="AD676" s="10"/>
    </row>
    <row r="677" customFormat="false" ht="15.75" hidden="false" customHeight="false" outlineLevel="0" collapsed="false">
      <c r="A677" s="7"/>
      <c r="B677" s="8"/>
      <c r="E677" s="3"/>
      <c r="F677" s="3"/>
      <c r="I677" s="10"/>
      <c r="K677" s="7"/>
      <c r="L677" s="7"/>
      <c r="O677" s="10"/>
      <c r="R677" s="10"/>
      <c r="U677" s="16"/>
      <c r="X677" s="10"/>
      <c r="AA677" s="10"/>
      <c r="AD677" s="10"/>
    </row>
    <row r="678" customFormat="false" ht="15.75" hidden="false" customHeight="false" outlineLevel="0" collapsed="false">
      <c r="A678" s="7"/>
      <c r="B678" s="8"/>
      <c r="E678" s="3"/>
      <c r="F678" s="3"/>
      <c r="I678" s="10"/>
      <c r="K678" s="7"/>
      <c r="L678" s="7"/>
      <c r="O678" s="10"/>
      <c r="R678" s="10"/>
      <c r="U678" s="16"/>
      <c r="X678" s="10"/>
      <c r="AA678" s="10"/>
      <c r="AD678" s="10"/>
    </row>
    <row r="679" customFormat="false" ht="15.75" hidden="false" customHeight="false" outlineLevel="0" collapsed="false">
      <c r="A679" s="7"/>
      <c r="B679" s="8"/>
      <c r="E679" s="3"/>
      <c r="F679" s="3"/>
      <c r="I679" s="10"/>
      <c r="K679" s="7"/>
      <c r="L679" s="7"/>
      <c r="O679" s="10"/>
      <c r="R679" s="10"/>
      <c r="U679" s="16"/>
      <c r="X679" s="10"/>
      <c r="AA679" s="10"/>
      <c r="AD679" s="10"/>
    </row>
    <row r="680" customFormat="false" ht="15.75" hidden="false" customHeight="false" outlineLevel="0" collapsed="false">
      <c r="A680" s="7"/>
      <c r="B680" s="8"/>
      <c r="E680" s="3"/>
      <c r="F680" s="3"/>
      <c r="I680" s="10"/>
      <c r="K680" s="7"/>
      <c r="L680" s="7"/>
      <c r="O680" s="10"/>
      <c r="R680" s="10"/>
      <c r="U680" s="16"/>
      <c r="X680" s="10"/>
      <c r="AA680" s="10"/>
      <c r="AD680" s="10"/>
    </row>
    <row r="681" customFormat="false" ht="15.75" hidden="false" customHeight="false" outlineLevel="0" collapsed="false">
      <c r="A681" s="7"/>
      <c r="B681" s="8"/>
      <c r="E681" s="3"/>
      <c r="F681" s="3"/>
      <c r="I681" s="10"/>
      <c r="K681" s="7"/>
      <c r="L681" s="7"/>
      <c r="O681" s="10"/>
      <c r="R681" s="10"/>
      <c r="U681" s="16"/>
      <c r="X681" s="10"/>
      <c r="AA681" s="10"/>
      <c r="AD681" s="10"/>
    </row>
    <row r="682" customFormat="false" ht="15.75" hidden="false" customHeight="false" outlineLevel="0" collapsed="false">
      <c r="A682" s="7"/>
      <c r="B682" s="8"/>
      <c r="E682" s="3"/>
      <c r="F682" s="3"/>
      <c r="I682" s="10"/>
      <c r="K682" s="7"/>
      <c r="L682" s="7"/>
      <c r="O682" s="10"/>
      <c r="R682" s="10"/>
      <c r="U682" s="16"/>
      <c r="X682" s="10"/>
      <c r="AA682" s="10"/>
      <c r="AD682" s="10"/>
    </row>
    <row r="683" customFormat="false" ht="15.75" hidden="false" customHeight="false" outlineLevel="0" collapsed="false">
      <c r="A683" s="7"/>
      <c r="B683" s="8"/>
      <c r="E683" s="3"/>
      <c r="F683" s="3"/>
      <c r="I683" s="10"/>
      <c r="K683" s="7"/>
      <c r="L683" s="7"/>
      <c r="O683" s="10"/>
      <c r="R683" s="10"/>
      <c r="U683" s="16"/>
      <c r="X683" s="10"/>
      <c r="AA683" s="10"/>
      <c r="AD683" s="10"/>
    </row>
    <row r="684" customFormat="false" ht="15.75" hidden="false" customHeight="false" outlineLevel="0" collapsed="false">
      <c r="A684" s="7"/>
      <c r="B684" s="8"/>
      <c r="E684" s="3"/>
      <c r="F684" s="3"/>
      <c r="I684" s="10"/>
      <c r="K684" s="7"/>
      <c r="L684" s="7"/>
      <c r="O684" s="10"/>
      <c r="R684" s="10"/>
      <c r="U684" s="16"/>
      <c r="X684" s="10"/>
      <c r="AA684" s="10"/>
      <c r="AD684" s="10"/>
    </row>
    <row r="685" customFormat="false" ht="15.75" hidden="false" customHeight="false" outlineLevel="0" collapsed="false">
      <c r="A685" s="7"/>
      <c r="B685" s="8"/>
      <c r="E685" s="3"/>
      <c r="F685" s="3"/>
      <c r="I685" s="10"/>
      <c r="K685" s="7"/>
      <c r="L685" s="7"/>
      <c r="O685" s="10"/>
      <c r="R685" s="10"/>
      <c r="U685" s="16"/>
      <c r="X685" s="10"/>
      <c r="AA685" s="10"/>
      <c r="AD685" s="10"/>
    </row>
    <row r="686" customFormat="false" ht="15.75" hidden="false" customHeight="false" outlineLevel="0" collapsed="false">
      <c r="A686" s="7"/>
      <c r="B686" s="8"/>
      <c r="E686" s="3"/>
      <c r="F686" s="3"/>
      <c r="I686" s="10"/>
      <c r="K686" s="7"/>
      <c r="L686" s="7"/>
      <c r="O686" s="10"/>
      <c r="R686" s="10"/>
      <c r="U686" s="16"/>
      <c r="X686" s="10"/>
      <c r="AA686" s="10"/>
      <c r="AD686" s="10"/>
    </row>
    <row r="687" customFormat="false" ht="15.75" hidden="false" customHeight="false" outlineLevel="0" collapsed="false">
      <c r="A687" s="7"/>
      <c r="B687" s="8"/>
      <c r="E687" s="3"/>
      <c r="F687" s="3"/>
      <c r="I687" s="10"/>
      <c r="K687" s="7"/>
      <c r="L687" s="7"/>
      <c r="O687" s="10"/>
      <c r="R687" s="10"/>
      <c r="U687" s="16"/>
      <c r="X687" s="10"/>
      <c r="AA687" s="10"/>
      <c r="AD687" s="10"/>
    </row>
    <row r="688" customFormat="false" ht="15.75" hidden="false" customHeight="false" outlineLevel="0" collapsed="false">
      <c r="A688" s="7"/>
      <c r="B688" s="8"/>
      <c r="E688" s="3"/>
      <c r="F688" s="3"/>
      <c r="I688" s="10"/>
      <c r="K688" s="7"/>
      <c r="L688" s="7"/>
      <c r="O688" s="10"/>
      <c r="R688" s="10"/>
      <c r="U688" s="16"/>
      <c r="X688" s="10"/>
      <c r="AA688" s="10"/>
      <c r="AD688" s="10"/>
    </row>
    <row r="689" customFormat="false" ht="15.75" hidden="false" customHeight="false" outlineLevel="0" collapsed="false">
      <c r="A689" s="7"/>
      <c r="B689" s="8"/>
      <c r="E689" s="3"/>
      <c r="F689" s="3"/>
      <c r="I689" s="10"/>
      <c r="K689" s="7"/>
      <c r="L689" s="7"/>
      <c r="O689" s="10"/>
      <c r="R689" s="10"/>
      <c r="U689" s="16"/>
      <c r="X689" s="10"/>
      <c r="AA689" s="10"/>
      <c r="AD689" s="10"/>
    </row>
    <row r="690" customFormat="false" ht="15.75" hidden="false" customHeight="false" outlineLevel="0" collapsed="false">
      <c r="A690" s="7"/>
      <c r="B690" s="8"/>
      <c r="E690" s="3"/>
      <c r="F690" s="3"/>
      <c r="I690" s="10"/>
      <c r="K690" s="7"/>
      <c r="L690" s="7"/>
      <c r="O690" s="10"/>
      <c r="R690" s="10"/>
      <c r="U690" s="16"/>
      <c r="X690" s="10"/>
      <c r="AA690" s="10"/>
      <c r="AD690" s="10"/>
    </row>
    <row r="691" customFormat="false" ht="15.75" hidden="false" customHeight="false" outlineLevel="0" collapsed="false">
      <c r="A691" s="7"/>
      <c r="B691" s="8"/>
      <c r="E691" s="3"/>
      <c r="F691" s="3"/>
      <c r="I691" s="10"/>
      <c r="K691" s="7"/>
      <c r="L691" s="7"/>
      <c r="O691" s="10"/>
      <c r="R691" s="10"/>
      <c r="U691" s="16"/>
      <c r="X691" s="10"/>
      <c r="AA691" s="10"/>
      <c r="AD691" s="10"/>
    </row>
    <row r="692" customFormat="false" ht="15.75" hidden="false" customHeight="false" outlineLevel="0" collapsed="false">
      <c r="A692" s="7"/>
      <c r="B692" s="8"/>
      <c r="E692" s="3"/>
      <c r="F692" s="3"/>
      <c r="I692" s="10"/>
      <c r="K692" s="7"/>
      <c r="L692" s="7"/>
      <c r="O692" s="10"/>
      <c r="R692" s="10"/>
      <c r="U692" s="16"/>
      <c r="X692" s="10"/>
      <c r="AA692" s="10"/>
      <c r="AD692" s="10"/>
    </row>
    <row r="693" customFormat="false" ht="15.75" hidden="false" customHeight="false" outlineLevel="0" collapsed="false">
      <c r="A693" s="7"/>
      <c r="B693" s="8"/>
      <c r="E693" s="3"/>
      <c r="F693" s="3"/>
      <c r="I693" s="10"/>
      <c r="K693" s="7"/>
      <c r="L693" s="7"/>
      <c r="O693" s="10"/>
      <c r="R693" s="10"/>
      <c r="U693" s="16"/>
      <c r="X693" s="10"/>
      <c r="AA693" s="10"/>
      <c r="AD693" s="10"/>
    </row>
    <row r="694" customFormat="false" ht="15.75" hidden="false" customHeight="false" outlineLevel="0" collapsed="false">
      <c r="A694" s="7"/>
      <c r="B694" s="8"/>
      <c r="E694" s="3"/>
      <c r="F694" s="3"/>
      <c r="I694" s="10"/>
      <c r="K694" s="7"/>
      <c r="L694" s="7"/>
      <c r="O694" s="10"/>
      <c r="R694" s="10"/>
      <c r="U694" s="16"/>
      <c r="X694" s="10"/>
      <c r="AA694" s="10"/>
      <c r="AD694" s="10"/>
    </row>
    <row r="695" customFormat="false" ht="15.75" hidden="false" customHeight="false" outlineLevel="0" collapsed="false">
      <c r="A695" s="7"/>
      <c r="B695" s="8"/>
      <c r="E695" s="3"/>
      <c r="F695" s="3"/>
      <c r="I695" s="10"/>
      <c r="K695" s="7"/>
      <c r="L695" s="7"/>
      <c r="O695" s="10"/>
      <c r="R695" s="10"/>
      <c r="U695" s="16"/>
      <c r="X695" s="10"/>
      <c r="AA695" s="10"/>
      <c r="AD695" s="10"/>
    </row>
    <row r="696" customFormat="false" ht="15.75" hidden="false" customHeight="false" outlineLevel="0" collapsed="false">
      <c r="A696" s="7"/>
      <c r="B696" s="8"/>
      <c r="E696" s="3"/>
      <c r="F696" s="3"/>
      <c r="I696" s="10"/>
      <c r="K696" s="7"/>
      <c r="L696" s="7"/>
      <c r="O696" s="10"/>
      <c r="R696" s="10"/>
      <c r="U696" s="16"/>
      <c r="X696" s="10"/>
      <c r="AA696" s="10"/>
      <c r="AD696" s="10"/>
    </row>
    <row r="697" customFormat="false" ht="15.75" hidden="false" customHeight="false" outlineLevel="0" collapsed="false">
      <c r="A697" s="7"/>
      <c r="B697" s="8"/>
      <c r="E697" s="3"/>
      <c r="F697" s="3"/>
      <c r="I697" s="10"/>
      <c r="K697" s="7"/>
      <c r="L697" s="7"/>
      <c r="O697" s="10"/>
      <c r="R697" s="10"/>
      <c r="U697" s="16"/>
      <c r="X697" s="10"/>
      <c r="AA697" s="10"/>
      <c r="AD697" s="10"/>
    </row>
    <row r="698" customFormat="false" ht="15.75" hidden="false" customHeight="false" outlineLevel="0" collapsed="false">
      <c r="A698" s="7"/>
      <c r="B698" s="8"/>
      <c r="E698" s="3"/>
      <c r="F698" s="3"/>
      <c r="I698" s="10"/>
      <c r="K698" s="7"/>
      <c r="L698" s="7"/>
      <c r="O698" s="10"/>
      <c r="R698" s="10"/>
      <c r="U698" s="16"/>
      <c r="X698" s="10"/>
      <c r="AA698" s="10"/>
      <c r="AD698" s="10"/>
    </row>
    <row r="699" customFormat="false" ht="15.75" hidden="false" customHeight="false" outlineLevel="0" collapsed="false">
      <c r="A699" s="7"/>
      <c r="B699" s="8"/>
      <c r="E699" s="3"/>
      <c r="F699" s="3"/>
      <c r="I699" s="10"/>
      <c r="K699" s="7"/>
      <c r="L699" s="7"/>
      <c r="O699" s="10"/>
      <c r="R699" s="10"/>
      <c r="U699" s="16"/>
      <c r="X699" s="10"/>
      <c r="AA699" s="10"/>
      <c r="AD699" s="10"/>
    </row>
    <row r="700" customFormat="false" ht="15.75" hidden="false" customHeight="false" outlineLevel="0" collapsed="false">
      <c r="A700" s="7"/>
      <c r="B700" s="8"/>
      <c r="E700" s="3"/>
      <c r="F700" s="3"/>
      <c r="I700" s="10"/>
      <c r="K700" s="7"/>
      <c r="L700" s="7"/>
      <c r="O700" s="10"/>
      <c r="R700" s="10"/>
      <c r="U700" s="16"/>
      <c r="X700" s="10"/>
      <c r="AA700" s="10"/>
      <c r="AD700" s="10"/>
    </row>
    <row r="701" customFormat="false" ht="15.75" hidden="false" customHeight="false" outlineLevel="0" collapsed="false">
      <c r="A701" s="7"/>
      <c r="B701" s="8"/>
      <c r="E701" s="3"/>
      <c r="F701" s="3"/>
      <c r="I701" s="10"/>
      <c r="K701" s="7"/>
      <c r="L701" s="7"/>
      <c r="O701" s="10"/>
      <c r="R701" s="10"/>
      <c r="U701" s="16"/>
      <c r="X701" s="10"/>
      <c r="AA701" s="10"/>
      <c r="AD701" s="10"/>
    </row>
    <row r="702" customFormat="false" ht="15.75" hidden="false" customHeight="false" outlineLevel="0" collapsed="false">
      <c r="A702" s="7"/>
      <c r="B702" s="8"/>
      <c r="E702" s="3"/>
      <c r="F702" s="3"/>
      <c r="I702" s="10"/>
      <c r="K702" s="7"/>
      <c r="L702" s="7"/>
      <c r="O702" s="10"/>
      <c r="R702" s="10"/>
      <c r="U702" s="16"/>
      <c r="X702" s="10"/>
      <c r="AA702" s="10"/>
      <c r="AD702" s="10"/>
    </row>
    <row r="703" customFormat="false" ht="15.75" hidden="false" customHeight="false" outlineLevel="0" collapsed="false">
      <c r="A703" s="7"/>
      <c r="B703" s="8"/>
      <c r="E703" s="3"/>
      <c r="F703" s="3"/>
      <c r="I703" s="10"/>
      <c r="K703" s="7"/>
      <c r="L703" s="7"/>
      <c r="O703" s="10"/>
      <c r="R703" s="10"/>
      <c r="U703" s="16"/>
      <c r="X703" s="10"/>
      <c r="AA703" s="10"/>
      <c r="AD703" s="10"/>
    </row>
    <row r="704" customFormat="false" ht="15.75" hidden="false" customHeight="false" outlineLevel="0" collapsed="false">
      <c r="A704" s="7"/>
      <c r="B704" s="8"/>
      <c r="E704" s="3"/>
      <c r="F704" s="3"/>
      <c r="I704" s="10"/>
      <c r="K704" s="7"/>
      <c r="L704" s="7"/>
      <c r="O704" s="10"/>
      <c r="R704" s="10"/>
      <c r="U704" s="16"/>
      <c r="X704" s="10"/>
      <c r="AA704" s="10"/>
      <c r="AD704" s="10"/>
    </row>
    <row r="705" customFormat="false" ht="15.75" hidden="false" customHeight="false" outlineLevel="0" collapsed="false">
      <c r="A705" s="7"/>
      <c r="B705" s="8"/>
      <c r="E705" s="3"/>
      <c r="F705" s="3"/>
      <c r="I705" s="10"/>
      <c r="K705" s="7"/>
      <c r="L705" s="7"/>
      <c r="O705" s="10"/>
      <c r="R705" s="10"/>
      <c r="U705" s="16"/>
      <c r="X705" s="10"/>
      <c r="AA705" s="10"/>
      <c r="AD705" s="10"/>
    </row>
    <row r="706" customFormat="false" ht="15.75" hidden="false" customHeight="false" outlineLevel="0" collapsed="false">
      <c r="A706" s="7"/>
      <c r="B706" s="8"/>
      <c r="E706" s="3"/>
      <c r="F706" s="3"/>
      <c r="I706" s="10"/>
      <c r="K706" s="7"/>
      <c r="L706" s="7"/>
      <c r="O706" s="10"/>
      <c r="R706" s="10"/>
      <c r="U706" s="16"/>
      <c r="X706" s="10"/>
      <c r="AA706" s="10"/>
      <c r="AD706" s="10"/>
    </row>
    <row r="707" customFormat="false" ht="15.75" hidden="false" customHeight="false" outlineLevel="0" collapsed="false">
      <c r="A707" s="7"/>
      <c r="B707" s="8"/>
      <c r="E707" s="3"/>
      <c r="F707" s="3"/>
      <c r="I707" s="10"/>
      <c r="K707" s="7"/>
      <c r="L707" s="7"/>
      <c r="O707" s="10"/>
      <c r="R707" s="10"/>
      <c r="U707" s="16"/>
      <c r="X707" s="10"/>
      <c r="AA707" s="10"/>
      <c r="AD707" s="10"/>
    </row>
    <row r="708" customFormat="false" ht="15.75" hidden="false" customHeight="false" outlineLevel="0" collapsed="false">
      <c r="A708" s="7"/>
      <c r="B708" s="8"/>
      <c r="E708" s="3"/>
      <c r="F708" s="3"/>
      <c r="I708" s="10"/>
      <c r="K708" s="7"/>
      <c r="L708" s="7"/>
      <c r="O708" s="10"/>
      <c r="R708" s="10"/>
      <c r="U708" s="16"/>
      <c r="X708" s="10"/>
      <c r="AA708" s="10"/>
      <c r="AD708" s="10"/>
    </row>
    <row r="709" customFormat="false" ht="15.75" hidden="false" customHeight="false" outlineLevel="0" collapsed="false">
      <c r="A709" s="7"/>
      <c r="B709" s="8"/>
      <c r="E709" s="3"/>
      <c r="F709" s="3"/>
      <c r="I709" s="10"/>
      <c r="K709" s="7"/>
      <c r="L709" s="7"/>
      <c r="O709" s="10"/>
      <c r="R709" s="10"/>
      <c r="U709" s="16"/>
      <c r="X709" s="10"/>
      <c r="AA709" s="10"/>
      <c r="AD709" s="10"/>
    </row>
    <row r="710" customFormat="false" ht="15.75" hidden="false" customHeight="false" outlineLevel="0" collapsed="false">
      <c r="A710" s="7"/>
      <c r="B710" s="8"/>
      <c r="E710" s="3"/>
      <c r="F710" s="3"/>
      <c r="I710" s="10"/>
      <c r="K710" s="7"/>
      <c r="L710" s="7"/>
      <c r="O710" s="10"/>
      <c r="R710" s="10"/>
      <c r="U710" s="16"/>
      <c r="X710" s="10"/>
      <c r="AA710" s="10"/>
      <c r="AD710" s="10"/>
    </row>
    <row r="711" customFormat="false" ht="15.75" hidden="false" customHeight="false" outlineLevel="0" collapsed="false">
      <c r="A711" s="7"/>
      <c r="B711" s="8"/>
      <c r="E711" s="3"/>
      <c r="F711" s="3"/>
      <c r="I711" s="10"/>
      <c r="K711" s="7"/>
      <c r="L711" s="7"/>
      <c r="O711" s="10"/>
      <c r="R711" s="10"/>
      <c r="U711" s="16"/>
      <c r="X711" s="10"/>
      <c r="AA711" s="10"/>
      <c r="AD711" s="10"/>
    </row>
    <row r="712" customFormat="false" ht="15.75" hidden="false" customHeight="false" outlineLevel="0" collapsed="false">
      <c r="A712" s="7"/>
      <c r="B712" s="8"/>
      <c r="E712" s="3"/>
      <c r="F712" s="3"/>
      <c r="I712" s="10"/>
      <c r="K712" s="7"/>
      <c r="L712" s="7"/>
      <c r="O712" s="10"/>
      <c r="R712" s="10"/>
      <c r="U712" s="16"/>
      <c r="X712" s="10"/>
      <c r="AA712" s="10"/>
      <c r="AD712" s="10"/>
    </row>
    <row r="713" customFormat="false" ht="15.75" hidden="false" customHeight="false" outlineLevel="0" collapsed="false">
      <c r="A713" s="7"/>
      <c r="B713" s="8"/>
      <c r="E713" s="3"/>
      <c r="F713" s="3"/>
      <c r="I713" s="10"/>
      <c r="K713" s="7"/>
      <c r="L713" s="7"/>
      <c r="O713" s="10"/>
      <c r="R713" s="10"/>
      <c r="U713" s="16"/>
      <c r="X713" s="10"/>
      <c r="AA713" s="10"/>
      <c r="AD713" s="10"/>
    </row>
    <row r="714" customFormat="false" ht="15.75" hidden="false" customHeight="false" outlineLevel="0" collapsed="false">
      <c r="A714" s="7"/>
      <c r="B714" s="8"/>
      <c r="E714" s="3"/>
      <c r="F714" s="3"/>
      <c r="I714" s="10"/>
      <c r="K714" s="7"/>
      <c r="L714" s="7"/>
      <c r="O714" s="10"/>
      <c r="R714" s="10"/>
      <c r="U714" s="16"/>
      <c r="X714" s="10"/>
      <c r="AA714" s="10"/>
      <c r="AD714" s="10"/>
    </row>
    <row r="715" customFormat="false" ht="15.75" hidden="false" customHeight="false" outlineLevel="0" collapsed="false">
      <c r="A715" s="7"/>
      <c r="B715" s="8"/>
      <c r="E715" s="3"/>
      <c r="F715" s="3"/>
      <c r="I715" s="10"/>
      <c r="K715" s="7"/>
      <c r="L715" s="7"/>
      <c r="O715" s="10"/>
      <c r="R715" s="10"/>
      <c r="U715" s="16"/>
      <c r="X715" s="10"/>
      <c r="AA715" s="10"/>
      <c r="AD715" s="10"/>
    </row>
    <row r="716" customFormat="false" ht="15.75" hidden="false" customHeight="false" outlineLevel="0" collapsed="false">
      <c r="A716" s="7"/>
      <c r="B716" s="8"/>
      <c r="E716" s="3"/>
      <c r="F716" s="3"/>
      <c r="I716" s="10"/>
      <c r="K716" s="7"/>
      <c r="L716" s="7"/>
      <c r="O716" s="10"/>
      <c r="R716" s="10"/>
      <c r="U716" s="16"/>
      <c r="X716" s="10"/>
      <c r="AA716" s="10"/>
      <c r="AD716" s="10"/>
    </row>
    <row r="717" customFormat="false" ht="15.75" hidden="false" customHeight="false" outlineLevel="0" collapsed="false">
      <c r="A717" s="7"/>
      <c r="B717" s="8"/>
      <c r="E717" s="3"/>
      <c r="F717" s="3"/>
      <c r="I717" s="10"/>
      <c r="K717" s="7"/>
      <c r="L717" s="7"/>
      <c r="O717" s="10"/>
      <c r="R717" s="10"/>
      <c r="U717" s="16"/>
      <c r="X717" s="10"/>
      <c r="AA717" s="10"/>
      <c r="AD717" s="10"/>
    </row>
    <row r="718" customFormat="false" ht="15.75" hidden="false" customHeight="false" outlineLevel="0" collapsed="false">
      <c r="A718" s="7"/>
      <c r="B718" s="8"/>
      <c r="E718" s="3"/>
      <c r="F718" s="3"/>
      <c r="I718" s="10"/>
      <c r="K718" s="7"/>
      <c r="L718" s="7"/>
      <c r="O718" s="10"/>
      <c r="R718" s="10"/>
      <c r="U718" s="16"/>
      <c r="X718" s="10"/>
      <c r="AA718" s="10"/>
      <c r="AD718" s="10"/>
    </row>
    <row r="719" customFormat="false" ht="15.75" hidden="false" customHeight="false" outlineLevel="0" collapsed="false">
      <c r="A719" s="7"/>
      <c r="B719" s="8"/>
      <c r="E719" s="3"/>
      <c r="F719" s="3"/>
      <c r="I719" s="10"/>
      <c r="K719" s="7"/>
      <c r="L719" s="7"/>
      <c r="O719" s="10"/>
      <c r="R719" s="10"/>
      <c r="U719" s="16"/>
      <c r="X719" s="10"/>
      <c r="AA719" s="10"/>
      <c r="AD719" s="10"/>
    </row>
    <row r="720" customFormat="false" ht="15.75" hidden="false" customHeight="false" outlineLevel="0" collapsed="false">
      <c r="A720" s="7"/>
      <c r="B720" s="8"/>
      <c r="E720" s="3"/>
      <c r="F720" s="3"/>
      <c r="I720" s="10"/>
      <c r="K720" s="7"/>
      <c r="L720" s="7"/>
      <c r="O720" s="10"/>
      <c r="R720" s="10"/>
      <c r="U720" s="16"/>
      <c r="X720" s="10"/>
      <c r="AA720" s="10"/>
      <c r="AD720" s="10"/>
    </row>
    <row r="721" customFormat="false" ht="15.75" hidden="false" customHeight="false" outlineLevel="0" collapsed="false">
      <c r="A721" s="7"/>
      <c r="B721" s="8"/>
      <c r="E721" s="3"/>
      <c r="F721" s="3"/>
      <c r="I721" s="10"/>
      <c r="K721" s="7"/>
      <c r="L721" s="7"/>
      <c r="O721" s="10"/>
      <c r="R721" s="10"/>
      <c r="U721" s="16"/>
      <c r="X721" s="10"/>
      <c r="AA721" s="10"/>
      <c r="AD721" s="10"/>
    </row>
    <row r="722" customFormat="false" ht="15.75" hidden="false" customHeight="false" outlineLevel="0" collapsed="false">
      <c r="A722" s="7"/>
      <c r="B722" s="8"/>
      <c r="E722" s="3"/>
      <c r="F722" s="3"/>
      <c r="I722" s="10"/>
      <c r="K722" s="7"/>
      <c r="L722" s="7"/>
      <c r="O722" s="10"/>
      <c r="R722" s="10"/>
      <c r="U722" s="16"/>
      <c r="X722" s="10"/>
      <c r="AA722" s="10"/>
      <c r="AD722" s="10"/>
    </row>
    <row r="723" customFormat="false" ht="15.75" hidden="false" customHeight="false" outlineLevel="0" collapsed="false">
      <c r="A723" s="7"/>
      <c r="B723" s="8"/>
      <c r="E723" s="3"/>
      <c r="F723" s="3"/>
      <c r="I723" s="10"/>
      <c r="K723" s="7"/>
      <c r="L723" s="7"/>
      <c r="O723" s="10"/>
      <c r="R723" s="10"/>
      <c r="U723" s="16"/>
      <c r="X723" s="10"/>
      <c r="AA723" s="10"/>
      <c r="AD723" s="10"/>
    </row>
    <row r="724" customFormat="false" ht="15.75" hidden="false" customHeight="false" outlineLevel="0" collapsed="false">
      <c r="A724" s="7"/>
      <c r="B724" s="8"/>
      <c r="E724" s="3"/>
      <c r="F724" s="3"/>
      <c r="I724" s="10"/>
      <c r="K724" s="7"/>
      <c r="L724" s="7"/>
      <c r="O724" s="10"/>
      <c r="R724" s="10"/>
      <c r="U724" s="16"/>
      <c r="X724" s="10"/>
      <c r="AA724" s="10"/>
      <c r="AD724" s="10"/>
    </row>
    <row r="725" customFormat="false" ht="15.75" hidden="false" customHeight="false" outlineLevel="0" collapsed="false">
      <c r="A725" s="7"/>
      <c r="B725" s="8"/>
      <c r="E725" s="3"/>
      <c r="F725" s="3"/>
      <c r="I725" s="10"/>
      <c r="K725" s="7"/>
      <c r="L725" s="7"/>
      <c r="O725" s="10"/>
      <c r="R725" s="10"/>
      <c r="U725" s="16"/>
      <c r="X725" s="10"/>
      <c r="AA725" s="10"/>
      <c r="AD725" s="10"/>
    </row>
    <row r="726" customFormat="false" ht="15.75" hidden="false" customHeight="false" outlineLevel="0" collapsed="false">
      <c r="A726" s="7"/>
      <c r="B726" s="8"/>
      <c r="E726" s="3"/>
      <c r="F726" s="3"/>
      <c r="I726" s="10"/>
      <c r="K726" s="7"/>
      <c r="L726" s="7"/>
      <c r="O726" s="10"/>
      <c r="R726" s="10"/>
      <c r="U726" s="16"/>
      <c r="X726" s="10"/>
      <c r="AA726" s="10"/>
      <c r="AD726" s="10"/>
    </row>
    <row r="727" customFormat="false" ht="15.75" hidden="false" customHeight="false" outlineLevel="0" collapsed="false">
      <c r="A727" s="7"/>
      <c r="B727" s="8"/>
      <c r="E727" s="3"/>
      <c r="F727" s="3"/>
      <c r="I727" s="10"/>
      <c r="K727" s="7"/>
      <c r="L727" s="7"/>
      <c r="O727" s="10"/>
      <c r="R727" s="10"/>
      <c r="U727" s="16"/>
      <c r="X727" s="10"/>
      <c r="AA727" s="10"/>
      <c r="AD727" s="10"/>
    </row>
    <row r="728" customFormat="false" ht="15.75" hidden="false" customHeight="false" outlineLevel="0" collapsed="false">
      <c r="A728" s="7"/>
      <c r="B728" s="8"/>
      <c r="E728" s="3"/>
      <c r="F728" s="3"/>
      <c r="I728" s="10"/>
      <c r="K728" s="7"/>
      <c r="L728" s="7"/>
      <c r="O728" s="10"/>
      <c r="R728" s="10"/>
      <c r="U728" s="16"/>
      <c r="X728" s="10"/>
      <c r="AA728" s="10"/>
      <c r="AD728" s="10"/>
    </row>
    <row r="729" customFormat="false" ht="15.75" hidden="false" customHeight="false" outlineLevel="0" collapsed="false">
      <c r="A729" s="7"/>
      <c r="B729" s="8"/>
      <c r="E729" s="3"/>
      <c r="F729" s="3"/>
      <c r="I729" s="10"/>
      <c r="K729" s="7"/>
      <c r="L729" s="7"/>
      <c r="O729" s="10"/>
      <c r="R729" s="10"/>
      <c r="U729" s="16"/>
      <c r="X729" s="10"/>
      <c r="AA729" s="10"/>
      <c r="AD729" s="10"/>
    </row>
    <row r="730" customFormat="false" ht="15.75" hidden="false" customHeight="false" outlineLevel="0" collapsed="false">
      <c r="A730" s="7"/>
      <c r="B730" s="8"/>
      <c r="E730" s="3"/>
      <c r="F730" s="3"/>
      <c r="I730" s="10"/>
      <c r="K730" s="7"/>
      <c r="L730" s="7"/>
      <c r="O730" s="10"/>
      <c r="R730" s="10"/>
      <c r="U730" s="16"/>
      <c r="X730" s="10"/>
      <c r="AA730" s="10"/>
      <c r="AD730" s="10"/>
    </row>
    <row r="731" customFormat="false" ht="15.75" hidden="false" customHeight="false" outlineLevel="0" collapsed="false">
      <c r="A731" s="7"/>
      <c r="B731" s="8"/>
      <c r="E731" s="3"/>
      <c r="F731" s="3"/>
      <c r="I731" s="10"/>
      <c r="K731" s="7"/>
      <c r="L731" s="7"/>
      <c r="O731" s="10"/>
      <c r="R731" s="10"/>
      <c r="U731" s="16"/>
      <c r="X731" s="10"/>
      <c r="AA731" s="10"/>
      <c r="AD731" s="10"/>
    </row>
    <row r="732" customFormat="false" ht="15.75" hidden="false" customHeight="false" outlineLevel="0" collapsed="false">
      <c r="A732" s="7"/>
      <c r="B732" s="8"/>
      <c r="E732" s="3"/>
      <c r="F732" s="3"/>
      <c r="I732" s="10"/>
      <c r="K732" s="7"/>
      <c r="L732" s="7"/>
      <c r="O732" s="10"/>
      <c r="R732" s="10"/>
      <c r="U732" s="16"/>
      <c r="X732" s="10"/>
      <c r="AA732" s="10"/>
      <c r="AD732" s="10"/>
    </row>
    <row r="733" customFormat="false" ht="15.75" hidden="false" customHeight="false" outlineLevel="0" collapsed="false">
      <c r="A733" s="7"/>
      <c r="B733" s="8"/>
      <c r="E733" s="3"/>
      <c r="F733" s="3"/>
      <c r="I733" s="10"/>
      <c r="K733" s="7"/>
      <c r="L733" s="7"/>
      <c r="O733" s="10"/>
      <c r="R733" s="10"/>
      <c r="U733" s="16"/>
      <c r="X733" s="10"/>
      <c r="AA733" s="10"/>
      <c r="AD733" s="10"/>
    </row>
    <row r="734" customFormat="false" ht="15.75" hidden="false" customHeight="false" outlineLevel="0" collapsed="false">
      <c r="A734" s="7"/>
      <c r="B734" s="8"/>
      <c r="E734" s="3"/>
      <c r="F734" s="3"/>
      <c r="I734" s="10"/>
      <c r="K734" s="7"/>
      <c r="L734" s="7"/>
      <c r="O734" s="10"/>
      <c r="R734" s="10"/>
      <c r="U734" s="16"/>
      <c r="X734" s="10"/>
      <c r="AA734" s="10"/>
      <c r="AD734" s="10"/>
    </row>
    <row r="735" customFormat="false" ht="15.75" hidden="false" customHeight="false" outlineLevel="0" collapsed="false">
      <c r="A735" s="7"/>
      <c r="B735" s="8"/>
      <c r="E735" s="3"/>
      <c r="F735" s="3"/>
      <c r="I735" s="10"/>
      <c r="K735" s="7"/>
      <c r="L735" s="7"/>
      <c r="O735" s="10"/>
      <c r="R735" s="10"/>
      <c r="U735" s="16"/>
      <c r="X735" s="10"/>
      <c r="AA735" s="10"/>
      <c r="AD735" s="10"/>
    </row>
    <row r="736" customFormat="false" ht="15.75" hidden="false" customHeight="false" outlineLevel="0" collapsed="false">
      <c r="A736" s="7"/>
      <c r="B736" s="8"/>
      <c r="E736" s="3"/>
      <c r="F736" s="3"/>
      <c r="I736" s="10"/>
      <c r="K736" s="7"/>
      <c r="L736" s="7"/>
      <c r="O736" s="10"/>
      <c r="R736" s="10"/>
      <c r="U736" s="16"/>
      <c r="X736" s="10"/>
      <c r="AA736" s="10"/>
      <c r="AD736" s="10"/>
    </row>
    <row r="737" customFormat="false" ht="15.75" hidden="false" customHeight="false" outlineLevel="0" collapsed="false">
      <c r="A737" s="7"/>
      <c r="B737" s="8"/>
      <c r="E737" s="3"/>
      <c r="F737" s="3"/>
      <c r="I737" s="10"/>
      <c r="K737" s="7"/>
      <c r="L737" s="7"/>
      <c r="O737" s="10"/>
      <c r="R737" s="10"/>
      <c r="U737" s="16"/>
      <c r="X737" s="10"/>
      <c r="AA737" s="10"/>
      <c r="AD737" s="10"/>
    </row>
    <row r="738" customFormat="false" ht="15.75" hidden="false" customHeight="false" outlineLevel="0" collapsed="false">
      <c r="A738" s="7"/>
      <c r="B738" s="8"/>
      <c r="E738" s="3"/>
      <c r="F738" s="3"/>
      <c r="I738" s="10"/>
      <c r="K738" s="7"/>
      <c r="L738" s="7"/>
      <c r="O738" s="10"/>
      <c r="R738" s="10"/>
      <c r="U738" s="16"/>
      <c r="X738" s="10"/>
      <c r="AA738" s="10"/>
      <c r="AD738" s="10"/>
    </row>
    <row r="739" customFormat="false" ht="15.75" hidden="false" customHeight="false" outlineLevel="0" collapsed="false">
      <c r="A739" s="7"/>
      <c r="B739" s="8"/>
      <c r="E739" s="3"/>
      <c r="F739" s="3"/>
      <c r="I739" s="10"/>
      <c r="K739" s="7"/>
      <c r="L739" s="7"/>
      <c r="O739" s="10"/>
      <c r="R739" s="10"/>
      <c r="U739" s="16"/>
      <c r="X739" s="10"/>
      <c r="AA739" s="10"/>
      <c r="AD739" s="10"/>
    </row>
    <row r="740" customFormat="false" ht="15.75" hidden="false" customHeight="false" outlineLevel="0" collapsed="false">
      <c r="A740" s="7"/>
      <c r="B740" s="8"/>
      <c r="E740" s="3"/>
      <c r="F740" s="3"/>
      <c r="I740" s="10"/>
      <c r="K740" s="7"/>
      <c r="L740" s="7"/>
      <c r="O740" s="10"/>
      <c r="R740" s="10"/>
      <c r="U740" s="16"/>
      <c r="X740" s="10"/>
      <c r="AA740" s="10"/>
      <c r="AD740" s="10"/>
    </row>
    <row r="741" customFormat="false" ht="15.75" hidden="false" customHeight="false" outlineLevel="0" collapsed="false">
      <c r="A741" s="7"/>
      <c r="B741" s="8"/>
      <c r="E741" s="3"/>
      <c r="F741" s="3"/>
      <c r="I741" s="10"/>
      <c r="K741" s="7"/>
      <c r="L741" s="7"/>
      <c r="O741" s="10"/>
      <c r="R741" s="10"/>
      <c r="U741" s="16"/>
      <c r="X741" s="10"/>
      <c r="AA741" s="10"/>
      <c r="AD741" s="10"/>
    </row>
    <row r="742" customFormat="false" ht="15.75" hidden="false" customHeight="false" outlineLevel="0" collapsed="false">
      <c r="A742" s="7"/>
      <c r="B742" s="8"/>
      <c r="E742" s="3"/>
      <c r="F742" s="3"/>
      <c r="I742" s="10"/>
      <c r="K742" s="7"/>
      <c r="L742" s="7"/>
      <c r="O742" s="10"/>
      <c r="R742" s="10"/>
      <c r="U742" s="16"/>
      <c r="X742" s="10"/>
      <c r="AA742" s="10"/>
      <c r="AD742" s="10"/>
    </row>
    <row r="743" customFormat="false" ht="15.75" hidden="false" customHeight="false" outlineLevel="0" collapsed="false">
      <c r="A743" s="7"/>
      <c r="B743" s="8"/>
      <c r="E743" s="3"/>
      <c r="F743" s="3"/>
      <c r="I743" s="10"/>
      <c r="K743" s="7"/>
      <c r="L743" s="7"/>
      <c r="O743" s="10"/>
      <c r="R743" s="10"/>
      <c r="U743" s="16"/>
      <c r="X743" s="10"/>
      <c r="AA743" s="10"/>
      <c r="AD743" s="10"/>
    </row>
    <row r="744" customFormat="false" ht="15.75" hidden="false" customHeight="false" outlineLevel="0" collapsed="false">
      <c r="A744" s="7"/>
      <c r="B744" s="8"/>
      <c r="E744" s="3"/>
      <c r="F744" s="3"/>
      <c r="I744" s="10"/>
      <c r="K744" s="7"/>
      <c r="L744" s="7"/>
      <c r="O744" s="10"/>
      <c r="R744" s="10"/>
      <c r="U744" s="16"/>
      <c r="X744" s="10"/>
      <c r="AA744" s="10"/>
      <c r="AD744" s="10"/>
    </row>
    <row r="745" customFormat="false" ht="15.75" hidden="false" customHeight="false" outlineLevel="0" collapsed="false">
      <c r="A745" s="7"/>
      <c r="B745" s="8"/>
      <c r="E745" s="3"/>
      <c r="F745" s="3"/>
      <c r="I745" s="10"/>
      <c r="K745" s="7"/>
      <c r="L745" s="7"/>
      <c r="O745" s="10"/>
      <c r="R745" s="10"/>
      <c r="U745" s="16"/>
      <c r="X745" s="10"/>
      <c r="AA745" s="10"/>
      <c r="AD745" s="10"/>
    </row>
    <row r="746" customFormat="false" ht="15.75" hidden="false" customHeight="false" outlineLevel="0" collapsed="false">
      <c r="A746" s="7"/>
      <c r="B746" s="8"/>
      <c r="E746" s="3"/>
      <c r="F746" s="3"/>
      <c r="I746" s="10"/>
      <c r="K746" s="7"/>
      <c r="L746" s="7"/>
      <c r="O746" s="10"/>
      <c r="R746" s="10"/>
      <c r="U746" s="16"/>
      <c r="X746" s="10"/>
      <c r="AA746" s="10"/>
      <c r="AD746" s="10"/>
    </row>
    <row r="747" customFormat="false" ht="15.75" hidden="false" customHeight="false" outlineLevel="0" collapsed="false">
      <c r="A747" s="7"/>
      <c r="B747" s="8"/>
      <c r="E747" s="3"/>
      <c r="F747" s="3"/>
      <c r="I747" s="10"/>
      <c r="K747" s="7"/>
      <c r="L747" s="7"/>
      <c r="O747" s="10"/>
      <c r="R747" s="10"/>
      <c r="U747" s="16"/>
      <c r="X747" s="10"/>
      <c r="AA747" s="10"/>
      <c r="AD747" s="10"/>
    </row>
    <row r="748" customFormat="false" ht="15.75" hidden="false" customHeight="false" outlineLevel="0" collapsed="false">
      <c r="A748" s="7"/>
      <c r="B748" s="8"/>
      <c r="E748" s="3"/>
      <c r="F748" s="3"/>
      <c r="I748" s="10"/>
      <c r="K748" s="7"/>
      <c r="L748" s="7"/>
      <c r="O748" s="10"/>
      <c r="R748" s="10"/>
      <c r="U748" s="16"/>
      <c r="X748" s="10"/>
      <c r="AA748" s="10"/>
      <c r="AD748" s="10"/>
    </row>
    <row r="749" customFormat="false" ht="15.75" hidden="false" customHeight="false" outlineLevel="0" collapsed="false">
      <c r="A749" s="7"/>
      <c r="B749" s="8"/>
      <c r="E749" s="3"/>
      <c r="F749" s="3"/>
      <c r="I749" s="10"/>
      <c r="K749" s="7"/>
      <c r="L749" s="7"/>
      <c r="O749" s="10"/>
      <c r="R749" s="10"/>
      <c r="U749" s="16"/>
      <c r="X749" s="10"/>
      <c r="AA749" s="10"/>
      <c r="AD749" s="10"/>
    </row>
    <row r="750" customFormat="false" ht="15.75" hidden="false" customHeight="false" outlineLevel="0" collapsed="false">
      <c r="A750" s="7"/>
      <c r="B750" s="8"/>
      <c r="E750" s="3"/>
      <c r="F750" s="3"/>
      <c r="I750" s="10"/>
      <c r="K750" s="7"/>
      <c r="L750" s="7"/>
      <c r="O750" s="10"/>
      <c r="R750" s="10"/>
      <c r="U750" s="16"/>
      <c r="X750" s="10"/>
      <c r="AA750" s="10"/>
      <c r="AD750" s="10"/>
    </row>
    <row r="751" customFormat="false" ht="15.75" hidden="false" customHeight="false" outlineLevel="0" collapsed="false">
      <c r="A751" s="7"/>
      <c r="B751" s="8"/>
      <c r="E751" s="3"/>
      <c r="F751" s="3"/>
      <c r="I751" s="10"/>
      <c r="K751" s="7"/>
      <c r="L751" s="7"/>
      <c r="O751" s="10"/>
      <c r="R751" s="10"/>
      <c r="U751" s="16"/>
      <c r="X751" s="10"/>
      <c r="AA751" s="10"/>
      <c r="AD751" s="10"/>
    </row>
    <row r="752" customFormat="false" ht="15.75" hidden="false" customHeight="false" outlineLevel="0" collapsed="false">
      <c r="A752" s="7"/>
      <c r="B752" s="8"/>
      <c r="E752" s="3"/>
      <c r="F752" s="3"/>
      <c r="I752" s="10"/>
      <c r="K752" s="7"/>
      <c r="L752" s="7"/>
      <c r="O752" s="10"/>
      <c r="R752" s="10"/>
      <c r="U752" s="16"/>
      <c r="X752" s="10"/>
      <c r="AA752" s="10"/>
      <c r="AD752" s="10"/>
    </row>
    <row r="753" customFormat="false" ht="15.75" hidden="false" customHeight="false" outlineLevel="0" collapsed="false">
      <c r="A753" s="7"/>
      <c r="B753" s="8"/>
      <c r="E753" s="3"/>
      <c r="F753" s="3"/>
      <c r="I753" s="10"/>
      <c r="K753" s="7"/>
      <c r="L753" s="7"/>
      <c r="O753" s="10"/>
      <c r="R753" s="10"/>
      <c r="U753" s="16"/>
      <c r="X753" s="10"/>
      <c r="AA753" s="10"/>
      <c r="AD753" s="10"/>
    </row>
    <row r="754" customFormat="false" ht="15.75" hidden="false" customHeight="false" outlineLevel="0" collapsed="false">
      <c r="A754" s="7"/>
      <c r="B754" s="8"/>
      <c r="E754" s="3"/>
      <c r="F754" s="3"/>
      <c r="I754" s="10"/>
      <c r="K754" s="7"/>
      <c r="L754" s="7"/>
      <c r="O754" s="10"/>
      <c r="R754" s="10"/>
      <c r="U754" s="16"/>
      <c r="X754" s="10"/>
      <c r="AA754" s="10"/>
      <c r="AD754" s="10"/>
    </row>
    <row r="755" customFormat="false" ht="15.75" hidden="false" customHeight="false" outlineLevel="0" collapsed="false">
      <c r="A755" s="7"/>
      <c r="B755" s="8"/>
      <c r="E755" s="3"/>
      <c r="F755" s="3"/>
      <c r="I755" s="10"/>
      <c r="K755" s="7"/>
      <c r="L755" s="7"/>
      <c r="O755" s="10"/>
      <c r="R755" s="10"/>
      <c r="U755" s="16"/>
      <c r="X755" s="10"/>
      <c r="AA755" s="10"/>
      <c r="AD755" s="10"/>
    </row>
    <row r="756" customFormat="false" ht="15.75" hidden="false" customHeight="false" outlineLevel="0" collapsed="false">
      <c r="A756" s="7"/>
      <c r="B756" s="8"/>
      <c r="E756" s="3"/>
      <c r="F756" s="3"/>
      <c r="I756" s="10"/>
      <c r="K756" s="7"/>
      <c r="L756" s="7"/>
      <c r="O756" s="10"/>
      <c r="R756" s="10"/>
      <c r="U756" s="16"/>
      <c r="X756" s="10"/>
      <c r="AA756" s="10"/>
      <c r="AD756" s="10"/>
    </row>
    <row r="757" customFormat="false" ht="15.75" hidden="false" customHeight="false" outlineLevel="0" collapsed="false">
      <c r="A757" s="7"/>
      <c r="B757" s="8"/>
      <c r="E757" s="3"/>
      <c r="F757" s="3"/>
      <c r="I757" s="10"/>
      <c r="K757" s="7"/>
      <c r="L757" s="7"/>
      <c r="O757" s="10"/>
      <c r="R757" s="10"/>
      <c r="U757" s="16"/>
      <c r="X757" s="10"/>
      <c r="AA757" s="10"/>
      <c r="AD757" s="10"/>
    </row>
    <row r="758" customFormat="false" ht="15.75" hidden="false" customHeight="false" outlineLevel="0" collapsed="false">
      <c r="A758" s="7"/>
      <c r="B758" s="8"/>
      <c r="E758" s="3"/>
      <c r="F758" s="3"/>
      <c r="I758" s="10"/>
      <c r="K758" s="7"/>
      <c r="L758" s="7"/>
      <c r="O758" s="10"/>
      <c r="R758" s="10"/>
      <c r="U758" s="16"/>
      <c r="X758" s="10"/>
      <c r="AA758" s="10"/>
      <c r="AD758" s="10"/>
    </row>
    <row r="759" customFormat="false" ht="15.75" hidden="false" customHeight="false" outlineLevel="0" collapsed="false">
      <c r="A759" s="7"/>
      <c r="B759" s="8"/>
      <c r="E759" s="3"/>
      <c r="F759" s="3"/>
      <c r="I759" s="10"/>
      <c r="K759" s="7"/>
      <c r="L759" s="7"/>
      <c r="O759" s="10"/>
      <c r="R759" s="10"/>
      <c r="U759" s="16"/>
      <c r="X759" s="10"/>
      <c r="AA759" s="10"/>
      <c r="AD759" s="10"/>
    </row>
    <row r="760" customFormat="false" ht="15.75" hidden="false" customHeight="false" outlineLevel="0" collapsed="false">
      <c r="A760" s="7"/>
      <c r="B760" s="8"/>
      <c r="E760" s="3"/>
      <c r="F760" s="3"/>
      <c r="I760" s="10"/>
      <c r="K760" s="7"/>
      <c r="L760" s="7"/>
      <c r="O760" s="10"/>
      <c r="R760" s="10"/>
      <c r="U760" s="16"/>
      <c r="X760" s="10"/>
      <c r="AA760" s="10"/>
      <c r="AD760" s="10"/>
    </row>
    <row r="761" customFormat="false" ht="15.75" hidden="false" customHeight="false" outlineLevel="0" collapsed="false">
      <c r="A761" s="7"/>
      <c r="B761" s="8"/>
      <c r="E761" s="3"/>
      <c r="F761" s="3"/>
      <c r="I761" s="10"/>
      <c r="K761" s="7"/>
      <c r="L761" s="7"/>
      <c r="O761" s="10"/>
      <c r="R761" s="10"/>
      <c r="U761" s="16"/>
      <c r="X761" s="10"/>
      <c r="AA761" s="10"/>
      <c r="AD761" s="10"/>
    </row>
    <row r="762" customFormat="false" ht="15.75" hidden="false" customHeight="false" outlineLevel="0" collapsed="false">
      <c r="A762" s="7"/>
      <c r="B762" s="8"/>
      <c r="E762" s="3"/>
      <c r="F762" s="3"/>
      <c r="I762" s="10"/>
      <c r="K762" s="7"/>
      <c r="L762" s="7"/>
      <c r="O762" s="10"/>
      <c r="R762" s="10"/>
      <c r="U762" s="16"/>
      <c r="X762" s="10"/>
      <c r="AA762" s="10"/>
      <c r="AD762" s="10"/>
    </row>
    <row r="763" customFormat="false" ht="15.75" hidden="false" customHeight="false" outlineLevel="0" collapsed="false">
      <c r="A763" s="7"/>
      <c r="B763" s="8"/>
      <c r="E763" s="3"/>
      <c r="F763" s="3"/>
      <c r="I763" s="10"/>
      <c r="K763" s="7"/>
      <c r="L763" s="7"/>
      <c r="O763" s="10"/>
      <c r="R763" s="10"/>
      <c r="U763" s="16"/>
      <c r="X763" s="10"/>
      <c r="AA763" s="10"/>
      <c r="AD763" s="10"/>
    </row>
    <row r="764" customFormat="false" ht="15.75" hidden="false" customHeight="false" outlineLevel="0" collapsed="false">
      <c r="A764" s="7"/>
      <c r="B764" s="8"/>
      <c r="E764" s="3"/>
      <c r="F764" s="3"/>
      <c r="I764" s="10"/>
      <c r="K764" s="7"/>
      <c r="L764" s="7"/>
      <c r="O764" s="10"/>
      <c r="R764" s="10"/>
      <c r="U764" s="16"/>
      <c r="X764" s="10"/>
      <c r="AA764" s="10"/>
      <c r="AD764" s="10"/>
    </row>
    <row r="765" customFormat="false" ht="15.75" hidden="false" customHeight="false" outlineLevel="0" collapsed="false">
      <c r="A765" s="7"/>
      <c r="B765" s="8"/>
      <c r="E765" s="3"/>
      <c r="F765" s="3"/>
      <c r="I765" s="10"/>
      <c r="K765" s="7"/>
      <c r="L765" s="7"/>
      <c r="O765" s="10"/>
      <c r="R765" s="10"/>
      <c r="U765" s="16"/>
      <c r="X765" s="10"/>
      <c r="AA765" s="10"/>
      <c r="AD765" s="10"/>
    </row>
    <row r="766" customFormat="false" ht="15.75" hidden="false" customHeight="false" outlineLevel="0" collapsed="false">
      <c r="A766" s="7"/>
      <c r="B766" s="8"/>
      <c r="E766" s="3"/>
      <c r="F766" s="3"/>
      <c r="I766" s="10"/>
      <c r="K766" s="7"/>
      <c r="L766" s="7"/>
      <c r="O766" s="10"/>
      <c r="R766" s="10"/>
      <c r="U766" s="16"/>
      <c r="X766" s="10"/>
      <c r="AA766" s="10"/>
      <c r="AD766" s="10"/>
    </row>
    <row r="767" customFormat="false" ht="15.75" hidden="false" customHeight="false" outlineLevel="0" collapsed="false">
      <c r="A767" s="7"/>
      <c r="B767" s="8"/>
      <c r="E767" s="3"/>
      <c r="F767" s="3"/>
      <c r="I767" s="10"/>
      <c r="K767" s="7"/>
      <c r="L767" s="7"/>
      <c r="O767" s="10"/>
      <c r="R767" s="10"/>
      <c r="U767" s="16"/>
      <c r="X767" s="10"/>
      <c r="AA767" s="10"/>
      <c r="AD767" s="10"/>
    </row>
    <row r="768" customFormat="false" ht="15.75" hidden="false" customHeight="false" outlineLevel="0" collapsed="false">
      <c r="A768" s="7"/>
      <c r="B768" s="8"/>
      <c r="E768" s="3"/>
      <c r="F768" s="3"/>
      <c r="I768" s="10"/>
      <c r="K768" s="7"/>
      <c r="L768" s="7"/>
      <c r="O768" s="10"/>
      <c r="R768" s="10"/>
      <c r="U768" s="16"/>
      <c r="X768" s="10"/>
      <c r="AA768" s="10"/>
      <c r="AD768" s="10"/>
    </row>
    <row r="769" customFormat="false" ht="15.75" hidden="false" customHeight="false" outlineLevel="0" collapsed="false">
      <c r="A769" s="7"/>
      <c r="B769" s="8"/>
      <c r="E769" s="3"/>
      <c r="F769" s="3"/>
      <c r="I769" s="10"/>
      <c r="K769" s="7"/>
      <c r="L769" s="7"/>
      <c r="O769" s="10"/>
      <c r="R769" s="10"/>
      <c r="U769" s="16"/>
      <c r="X769" s="10"/>
      <c r="AA769" s="10"/>
      <c r="AD769" s="10"/>
    </row>
    <row r="770" customFormat="false" ht="15.75" hidden="false" customHeight="false" outlineLevel="0" collapsed="false">
      <c r="A770" s="7"/>
      <c r="B770" s="8"/>
      <c r="E770" s="3"/>
      <c r="F770" s="3"/>
      <c r="I770" s="10"/>
      <c r="K770" s="7"/>
      <c r="L770" s="7"/>
      <c r="O770" s="10"/>
      <c r="R770" s="10"/>
      <c r="U770" s="16"/>
      <c r="X770" s="10"/>
      <c r="AA770" s="10"/>
      <c r="AD770" s="10"/>
    </row>
    <row r="771" customFormat="false" ht="15.75" hidden="false" customHeight="false" outlineLevel="0" collapsed="false">
      <c r="A771" s="7"/>
      <c r="B771" s="8"/>
      <c r="E771" s="3"/>
      <c r="F771" s="3"/>
      <c r="I771" s="10"/>
      <c r="K771" s="7"/>
      <c r="L771" s="7"/>
      <c r="O771" s="10"/>
      <c r="R771" s="10"/>
      <c r="U771" s="16"/>
      <c r="X771" s="10"/>
      <c r="AA771" s="10"/>
      <c r="AD771" s="10"/>
    </row>
    <row r="772" customFormat="false" ht="15.75" hidden="false" customHeight="false" outlineLevel="0" collapsed="false">
      <c r="A772" s="7"/>
      <c r="B772" s="8"/>
      <c r="E772" s="3"/>
      <c r="F772" s="3"/>
      <c r="I772" s="10"/>
      <c r="K772" s="7"/>
      <c r="L772" s="7"/>
      <c r="O772" s="10"/>
      <c r="R772" s="10"/>
      <c r="U772" s="16"/>
      <c r="X772" s="10"/>
      <c r="AA772" s="10"/>
      <c r="AD772" s="10"/>
    </row>
    <row r="773" customFormat="false" ht="15.75" hidden="false" customHeight="false" outlineLevel="0" collapsed="false">
      <c r="A773" s="7"/>
      <c r="B773" s="8"/>
      <c r="E773" s="3"/>
      <c r="F773" s="3"/>
      <c r="I773" s="10"/>
      <c r="K773" s="7"/>
      <c r="L773" s="7"/>
      <c r="O773" s="10"/>
      <c r="R773" s="10"/>
      <c r="U773" s="16"/>
      <c r="X773" s="10"/>
      <c r="AA773" s="10"/>
      <c r="AD773" s="10"/>
    </row>
    <row r="774" customFormat="false" ht="15.75" hidden="false" customHeight="false" outlineLevel="0" collapsed="false">
      <c r="A774" s="7"/>
      <c r="B774" s="8"/>
      <c r="E774" s="3"/>
      <c r="F774" s="3"/>
      <c r="I774" s="10"/>
      <c r="K774" s="7"/>
      <c r="L774" s="7"/>
      <c r="O774" s="10"/>
      <c r="R774" s="10"/>
      <c r="U774" s="16"/>
      <c r="X774" s="10"/>
      <c r="AA774" s="10"/>
      <c r="AD774" s="10"/>
    </row>
    <row r="775" customFormat="false" ht="15.75" hidden="false" customHeight="false" outlineLevel="0" collapsed="false">
      <c r="A775" s="7"/>
      <c r="B775" s="8"/>
      <c r="E775" s="3"/>
      <c r="F775" s="3"/>
      <c r="I775" s="10"/>
      <c r="K775" s="7"/>
      <c r="L775" s="7"/>
      <c r="O775" s="10"/>
      <c r="R775" s="10"/>
      <c r="U775" s="16"/>
      <c r="X775" s="10"/>
      <c r="AA775" s="10"/>
      <c r="AD775" s="10"/>
    </row>
    <row r="776" customFormat="false" ht="15.75" hidden="false" customHeight="false" outlineLevel="0" collapsed="false">
      <c r="A776" s="7"/>
      <c r="B776" s="8"/>
      <c r="E776" s="3"/>
      <c r="F776" s="3"/>
      <c r="I776" s="10"/>
      <c r="K776" s="7"/>
      <c r="L776" s="7"/>
      <c r="O776" s="10"/>
      <c r="R776" s="10"/>
      <c r="U776" s="16"/>
      <c r="X776" s="10"/>
      <c r="AA776" s="10"/>
      <c r="AD776" s="10"/>
    </row>
    <row r="777" customFormat="false" ht="15.75" hidden="false" customHeight="false" outlineLevel="0" collapsed="false">
      <c r="A777" s="7"/>
      <c r="B777" s="8"/>
      <c r="E777" s="3"/>
      <c r="F777" s="3"/>
      <c r="I777" s="10"/>
      <c r="K777" s="7"/>
      <c r="L777" s="7"/>
      <c r="O777" s="10"/>
      <c r="R777" s="10"/>
      <c r="U777" s="16"/>
      <c r="X777" s="10"/>
      <c r="AA777" s="10"/>
      <c r="AD777" s="10"/>
    </row>
    <row r="778" customFormat="false" ht="15.75" hidden="false" customHeight="false" outlineLevel="0" collapsed="false">
      <c r="A778" s="7"/>
      <c r="B778" s="8"/>
      <c r="E778" s="3"/>
      <c r="F778" s="3"/>
      <c r="I778" s="10"/>
      <c r="K778" s="7"/>
      <c r="L778" s="7"/>
      <c r="O778" s="10"/>
      <c r="R778" s="10"/>
      <c r="U778" s="16"/>
      <c r="X778" s="10"/>
      <c r="AA778" s="10"/>
      <c r="AD778" s="10"/>
    </row>
    <row r="779" customFormat="false" ht="15.75" hidden="false" customHeight="false" outlineLevel="0" collapsed="false">
      <c r="A779" s="7"/>
      <c r="B779" s="8"/>
      <c r="E779" s="3"/>
      <c r="F779" s="3"/>
      <c r="I779" s="10"/>
      <c r="K779" s="7"/>
      <c r="L779" s="7"/>
      <c r="O779" s="10"/>
      <c r="R779" s="10"/>
      <c r="U779" s="16"/>
      <c r="X779" s="10"/>
      <c r="AA779" s="10"/>
      <c r="AD779" s="10"/>
    </row>
    <row r="780" customFormat="false" ht="15.75" hidden="false" customHeight="false" outlineLevel="0" collapsed="false">
      <c r="A780" s="7"/>
      <c r="B780" s="8"/>
      <c r="E780" s="3"/>
      <c r="F780" s="3"/>
      <c r="I780" s="10"/>
      <c r="K780" s="7"/>
      <c r="L780" s="7"/>
      <c r="O780" s="10"/>
      <c r="R780" s="10"/>
      <c r="U780" s="16"/>
      <c r="X780" s="10"/>
      <c r="AA780" s="10"/>
      <c r="AD780" s="10"/>
    </row>
    <row r="781" customFormat="false" ht="15.75" hidden="false" customHeight="false" outlineLevel="0" collapsed="false">
      <c r="A781" s="7"/>
      <c r="B781" s="8"/>
      <c r="E781" s="3"/>
      <c r="F781" s="3"/>
      <c r="I781" s="10"/>
      <c r="K781" s="7"/>
      <c r="L781" s="7"/>
      <c r="O781" s="10"/>
      <c r="R781" s="10"/>
      <c r="U781" s="16"/>
      <c r="X781" s="10"/>
      <c r="AA781" s="10"/>
      <c r="AD781" s="10"/>
    </row>
    <row r="782" customFormat="false" ht="15.75" hidden="false" customHeight="false" outlineLevel="0" collapsed="false">
      <c r="A782" s="7"/>
      <c r="B782" s="8"/>
      <c r="E782" s="3"/>
      <c r="F782" s="3"/>
      <c r="I782" s="10"/>
      <c r="K782" s="7"/>
      <c r="L782" s="7"/>
      <c r="O782" s="10"/>
      <c r="R782" s="10"/>
      <c r="U782" s="16"/>
      <c r="X782" s="10"/>
      <c r="AA782" s="10"/>
      <c r="AD782" s="10"/>
    </row>
    <row r="783" customFormat="false" ht="15.75" hidden="false" customHeight="false" outlineLevel="0" collapsed="false">
      <c r="A783" s="7"/>
      <c r="B783" s="8"/>
      <c r="E783" s="3"/>
      <c r="F783" s="3"/>
      <c r="I783" s="10"/>
      <c r="K783" s="7"/>
      <c r="L783" s="7"/>
      <c r="O783" s="10"/>
      <c r="R783" s="10"/>
      <c r="U783" s="16"/>
      <c r="X783" s="10"/>
      <c r="AA783" s="10"/>
      <c r="AD783" s="10"/>
    </row>
    <row r="784" customFormat="false" ht="15.75" hidden="false" customHeight="false" outlineLevel="0" collapsed="false">
      <c r="A784" s="7"/>
      <c r="B784" s="8"/>
      <c r="E784" s="3"/>
      <c r="F784" s="3"/>
      <c r="I784" s="10"/>
      <c r="K784" s="7"/>
      <c r="L784" s="7"/>
      <c r="O784" s="10"/>
      <c r="R784" s="10"/>
      <c r="U784" s="16"/>
      <c r="X784" s="10"/>
      <c r="AA784" s="10"/>
      <c r="AD784" s="10"/>
    </row>
    <row r="785" customFormat="false" ht="15.75" hidden="false" customHeight="false" outlineLevel="0" collapsed="false">
      <c r="A785" s="7"/>
      <c r="B785" s="8"/>
      <c r="E785" s="3"/>
      <c r="F785" s="3"/>
      <c r="I785" s="10"/>
      <c r="K785" s="7"/>
      <c r="L785" s="7"/>
      <c r="O785" s="10"/>
      <c r="R785" s="10"/>
      <c r="U785" s="16"/>
      <c r="X785" s="10"/>
      <c r="AA785" s="10"/>
      <c r="AD785" s="10"/>
    </row>
    <row r="786" customFormat="false" ht="15.75" hidden="false" customHeight="false" outlineLevel="0" collapsed="false">
      <c r="A786" s="7"/>
      <c r="B786" s="8"/>
      <c r="E786" s="3"/>
      <c r="F786" s="3"/>
      <c r="I786" s="10"/>
      <c r="K786" s="7"/>
      <c r="L786" s="7"/>
      <c r="O786" s="10"/>
      <c r="R786" s="10"/>
      <c r="U786" s="16"/>
      <c r="X786" s="10"/>
      <c r="AA786" s="10"/>
      <c r="AD786" s="10"/>
    </row>
    <row r="787" customFormat="false" ht="15.75" hidden="false" customHeight="false" outlineLevel="0" collapsed="false">
      <c r="A787" s="7"/>
      <c r="B787" s="8"/>
      <c r="E787" s="3"/>
      <c r="F787" s="3"/>
      <c r="I787" s="10"/>
      <c r="K787" s="7"/>
      <c r="L787" s="7"/>
      <c r="O787" s="10"/>
      <c r="R787" s="10"/>
      <c r="U787" s="16"/>
      <c r="X787" s="10"/>
      <c r="AA787" s="10"/>
      <c r="AD787" s="10"/>
    </row>
    <row r="788" customFormat="false" ht="15.75" hidden="false" customHeight="false" outlineLevel="0" collapsed="false">
      <c r="A788" s="7"/>
      <c r="B788" s="8"/>
      <c r="E788" s="3"/>
      <c r="F788" s="3"/>
      <c r="I788" s="10"/>
      <c r="K788" s="7"/>
      <c r="L788" s="7"/>
      <c r="O788" s="10"/>
      <c r="R788" s="10"/>
      <c r="U788" s="16"/>
      <c r="X788" s="10"/>
      <c r="AA788" s="10"/>
      <c r="AD788" s="10"/>
    </row>
    <row r="789" customFormat="false" ht="15.75" hidden="false" customHeight="false" outlineLevel="0" collapsed="false">
      <c r="A789" s="7"/>
      <c r="B789" s="8"/>
      <c r="E789" s="3"/>
      <c r="F789" s="3"/>
      <c r="I789" s="10"/>
      <c r="K789" s="7"/>
      <c r="L789" s="7"/>
      <c r="O789" s="10"/>
      <c r="R789" s="10"/>
      <c r="U789" s="16"/>
      <c r="X789" s="10"/>
      <c r="AA789" s="10"/>
      <c r="AD789" s="10"/>
    </row>
    <row r="790" customFormat="false" ht="15.75" hidden="false" customHeight="false" outlineLevel="0" collapsed="false">
      <c r="A790" s="7"/>
      <c r="B790" s="8"/>
      <c r="E790" s="3"/>
      <c r="F790" s="3"/>
      <c r="I790" s="10"/>
      <c r="K790" s="7"/>
      <c r="L790" s="7"/>
      <c r="O790" s="10"/>
      <c r="R790" s="10"/>
      <c r="U790" s="16"/>
      <c r="X790" s="10"/>
      <c r="AA790" s="10"/>
      <c r="AD790" s="10"/>
    </row>
    <row r="791" customFormat="false" ht="15.75" hidden="false" customHeight="false" outlineLevel="0" collapsed="false">
      <c r="A791" s="7"/>
      <c r="B791" s="8"/>
      <c r="E791" s="3"/>
      <c r="F791" s="3"/>
      <c r="I791" s="10"/>
      <c r="K791" s="7"/>
      <c r="L791" s="7"/>
      <c r="O791" s="10"/>
      <c r="R791" s="10"/>
      <c r="U791" s="16"/>
      <c r="X791" s="10"/>
      <c r="AA791" s="10"/>
      <c r="AD791" s="10"/>
    </row>
    <row r="792" customFormat="false" ht="15.75" hidden="false" customHeight="false" outlineLevel="0" collapsed="false">
      <c r="A792" s="7"/>
      <c r="B792" s="8"/>
      <c r="E792" s="3"/>
      <c r="F792" s="3"/>
      <c r="I792" s="10"/>
      <c r="K792" s="7"/>
      <c r="L792" s="7"/>
      <c r="O792" s="10"/>
      <c r="R792" s="10"/>
      <c r="U792" s="16"/>
      <c r="X792" s="10"/>
      <c r="AA792" s="10"/>
      <c r="AD792" s="10"/>
    </row>
    <row r="793" customFormat="false" ht="15.75" hidden="false" customHeight="false" outlineLevel="0" collapsed="false">
      <c r="A793" s="7"/>
      <c r="B793" s="8"/>
      <c r="E793" s="3"/>
      <c r="F793" s="3"/>
      <c r="I793" s="10"/>
      <c r="K793" s="7"/>
      <c r="L793" s="7"/>
      <c r="O793" s="10"/>
      <c r="R793" s="10"/>
      <c r="U793" s="16"/>
      <c r="X793" s="10"/>
      <c r="AA793" s="10"/>
      <c r="AD793" s="10"/>
    </row>
    <row r="794" customFormat="false" ht="15.75" hidden="false" customHeight="false" outlineLevel="0" collapsed="false">
      <c r="A794" s="7"/>
      <c r="B794" s="8"/>
      <c r="E794" s="3"/>
      <c r="F794" s="3"/>
      <c r="I794" s="10"/>
      <c r="K794" s="7"/>
      <c r="L794" s="7"/>
      <c r="O794" s="10"/>
      <c r="R794" s="10"/>
      <c r="U794" s="16"/>
      <c r="X794" s="10"/>
      <c r="AA794" s="10"/>
      <c r="AD794" s="10"/>
    </row>
    <row r="795" customFormat="false" ht="15.75" hidden="false" customHeight="false" outlineLevel="0" collapsed="false">
      <c r="A795" s="7"/>
      <c r="B795" s="8"/>
      <c r="E795" s="3"/>
      <c r="F795" s="3"/>
      <c r="I795" s="10"/>
      <c r="K795" s="7"/>
      <c r="L795" s="7"/>
      <c r="O795" s="10"/>
      <c r="R795" s="10"/>
      <c r="U795" s="16"/>
      <c r="X795" s="10"/>
      <c r="AA795" s="10"/>
      <c r="AD795" s="10"/>
    </row>
    <row r="796" customFormat="false" ht="15.75" hidden="false" customHeight="false" outlineLevel="0" collapsed="false">
      <c r="A796" s="7"/>
      <c r="B796" s="8"/>
      <c r="E796" s="3"/>
      <c r="F796" s="3"/>
      <c r="I796" s="10"/>
      <c r="K796" s="7"/>
      <c r="L796" s="7"/>
      <c r="O796" s="10"/>
      <c r="R796" s="10"/>
      <c r="U796" s="16"/>
      <c r="X796" s="10"/>
      <c r="AA796" s="10"/>
      <c r="AD796" s="10"/>
    </row>
    <row r="797" customFormat="false" ht="15.75" hidden="false" customHeight="false" outlineLevel="0" collapsed="false">
      <c r="A797" s="7"/>
      <c r="B797" s="8"/>
      <c r="E797" s="3"/>
      <c r="F797" s="3"/>
      <c r="I797" s="10"/>
      <c r="K797" s="7"/>
      <c r="L797" s="7"/>
      <c r="O797" s="10"/>
      <c r="R797" s="10"/>
      <c r="U797" s="16"/>
      <c r="X797" s="10"/>
      <c r="AA797" s="10"/>
      <c r="AD797" s="10"/>
    </row>
    <row r="798" customFormat="false" ht="15.75" hidden="false" customHeight="false" outlineLevel="0" collapsed="false">
      <c r="A798" s="7"/>
      <c r="B798" s="8"/>
      <c r="E798" s="3"/>
      <c r="F798" s="3"/>
      <c r="I798" s="10"/>
      <c r="K798" s="7"/>
      <c r="L798" s="7"/>
      <c r="O798" s="10"/>
      <c r="R798" s="10"/>
      <c r="U798" s="16"/>
      <c r="X798" s="10"/>
      <c r="AA798" s="10"/>
      <c r="AD798" s="10"/>
    </row>
    <row r="799" customFormat="false" ht="15.75" hidden="false" customHeight="false" outlineLevel="0" collapsed="false">
      <c r="A799" s="7"/>
      <c r="B799" s="8"/>
      <c r="E799" s="3"/>
      <c r="F799" s="3"/>
      <c r="I799" s="10"/>
      <c r="K799" s="7"/>
      <c r="L799" s="7"/>
      <c r="O799" s="10"/>
      <c r="R799" s="10"/>
      <c r="U799" s="16"/>
      <c r="X799" s="10"/>
      <c r="AA799" s="10"/>
      <c r="AD799" s="10"/>
    </row>
    <row r="800" customFormat="false" ht="15.75" hidden="false" customHeight="false" outlineLevel="0" collapsed="false">
      <c r="A800" s="7"/>
      <c r="B800" s="8"/>
      <c r="E800" s="3"/>
      <c r="F800" s="3"/>
      <c r="I800" s="10"/>
      <c r="K800" s="7"/>
      <c r="L800" s="7"/>
      <c r="O800" s="10"/>
      <c r="R800" s="10"/>
      <c r="U800" s="16"/>
      <c r="X800" s="10"/>
      <c r="AA800" s="10"/>
      <c r="AD800" s="10"/>
    </row>
    <row r="801" customFormat="false" ht="15.75" hidden="false" customHeight="false" outlineLevel="0" collapsed="false">
      <c r="A801" s="7"/>
      <c r="B801" s="8"/>
      <c r="E801" s="3"/>
      <c r="F801" s="3"/>
      <c r="I801" s="10"/>
      <c r="K801" s="7"/>
      <c r="L801" s="7"/>
      <c r="O801" s="10"/>
      <c r="R801" s="10"/>
      <c r="U801" s="16"/>
      <c r="X801" s="10"/>
      <c r="AA801" s="10"/>
      <c r="AD801" s="10"/>
    </row>
    <row r="802" customFormat="false" ht="15.75" hidden="false" customHeight="false" outlineLevel="0" collapsed="false">
      <c r="A802" s="7"/>
      <c r="B802" s="8"/>
      <c r="E802" s="3"/>
      <c r="F802" s="3"/>
      <c r="I802" s="10"/>
      <c r="K802" s="7"/>
      <c r="L802" s="7"/>
      <c r="O802" s="10"/>
      <c r="R802" s="10"/>
      <c r="U802" s="16"/>
      <c r="X802" s="10"/>
      <c r="AA802" s="10"/>
      <c r="AD802" s="10"/>
    </row>
    <row r="803" customFormat="false" ht="15.75" hidden="false" customHeight="false" outlineLevel="0" collapsed="false">
      <c r="A803" s="7"/>
      <c r="B803" s="8"/>
      <c r="E803" s="3"/>
      <c r="F803" s="3"/>
      <c r="I803" s="10"/>
      <c r="K803" s="7"/>
      <c r="L803" s="7"/>
      <c r="O803" s="10"/>
      <c r="R803" s="10"/>
      <c r="U803" s="16"/>
      <c r="X803" s="10"/>
      <c r="AA803" s="10"/>
      <c r="AD803" s="10"/>
    </row>
    <row r="804" customFormat="false" ht="15.75" hidden="false" customHeight="false" outlineLevel="0" collapsed="false">
      <c r="A804" s="7"/>
      <c r="B804" s="8"/>
      <c r="E804" s="3"/>
      <c r="F804" s="3"/>
      <c r="I804" s="10"/>
      <c r="K804" s="7"/>
      <c r="L804" s="7"/>
      <c r="O804" s="10"/>
      <c r="R804" s="10"/>
      <c r="U804" s="16"/>
      <c r="X804" s="10"/>
      <c r="AA804" s="10"/>
      <c r="AD804" s="10"/>
    </row>
    <row r="805" customFormat="false" ht="15.75" hidden="false" customHeight="false" outlineLevel="0" collapsed="false">
      <c r="A805" s="7"/>
      <c r="B805" s="8"/>
      <c r="E805" s="3"/>
      <c r="F805" s="3"/>
      <c r="I805" s="10"/>
      <c r="K805" s="7"/>
      <c r="L805" s="7"/>
      <c r="O805" s="10"/>
      <c r="R805" s="10"/>
      <c r="U805" s="16"/>
      <c r="X805" s="10"/>
      <c r="AA805" s="10"/>
      <c r="AD805" s="10"/>
    </row>
    <row r="806" customFormat="false" ht="15.75" hidden="false" customHeight="false" outlineLevel="0" collapsed="false">
      <c r="A806" s="7"/>
      <c r="B806" s="8"/>
      <c r="E806" s="3"/>
      <c r="F806" s="3"/>
      <c r="I806" s="10"/>
      <c r="K806" s="7"/>
      <c r="L806" s="7"/>
      <c r="O806" s="10"/>
      <c r="R806" s="10"/>
      <c r="U806" s="16"/>
      <c r="X806" s="10"/>
      <c r="AA806" s="10"/>
      <c r="AD806" s="10"/>
    </row>
    <row r="807" customFormat="false" ht="15.75" hidden="false" customHeight="false" outlineLevel="0" collapsed="false">
      <c r="A807" s="7"/>
      <c r="B807" s="8"/>
      <c r="E807" s="3"/>
      <c r="F807" s="3"/>
      <c r="I807" s="10"/>
      <c r="K807" s="7"/>
      <c r="L807" s="7"/>
      <c r="O807" s="10"/>
      <c r="R807" s="10"/>
      <c r="U807" s="16"/>
      <c r="X807" s="10"/>
      <c r="AA807" s="10"/>
      <c r="AD807" s="10"/>
    </row>
    <row r="808" customFormat="false" ht="15.75" hidden="false" customHeight="false" outlineLevel="0" collapsed="false">
      <c r="A808" s="7"/>
      <c r="B808" s="8"/>
      <c r="E808" s="3"/>
      <c r="F808" s="3"/>
      <c r="I808" s="10"/>
      <c r="K808" s="7"/>
      <c r="L808" s="7"/>
      <c r="O808" s="10"/>
      <c r="R808" s="10"/>
      <c r="U808" s="16"/>
      <c r="X808" s="10"/>
      <c r="AA808" s="10"/>
      <c r="AD808" s="10"/>
    </row>
    <row r="809" customFormat="false" ht="15.75" hidden="false" customHeight="false" outlineLevel="0" collapsed="false">
      <c r="A809" s="7"/>
      <c r="B809" s="8"/>
      <c r="E809" s="3"/>
      <c r="F809" s="3"/>
      <c r="I809" s="10"/>
      <c r="K809" s="7"/>
      <c r="L809" s="7"/>
      <c r="O809" s="10"/>
      <c r="R809" s="10"/>
      <c r="U809" s="16"/>
      <c r="X809" s="10"/>
      <c r="AA809" s="10"/>
      <c r="AD809" s="10"/>
    </row>
    <row r="810" customFormat="false" ht="15.75" hidden="false" customHeight="false" outlineLevel="0" collapsed="false">
      <c r="A810" s="7"/>
      <c r="B810" s="8"/>
      <c r="E810" s="3"/>
      <c r="F810" s="3"/>
      <c r="I810" s="10"/>
      <c r="K810" s="7"/>
      <c r="L810" s="7"/>
      <c r="O810" s="10"/>
      <c r="R810" s="10"/>
      <c r="U810" s="16"/>
      <c r="X810" s="10"/>
      <c r="AA810" s="10"/>
      <c r="AD810" s="10"/>
    </row>
    <row r="811" customFormat="false" ht="15.75" hidden="false" customHeight="false" outlineLevel="0" collapsed="false">
      <c r="A811" s="7"/>
      <c r="B811" s="8"/>
      <c r="E811" s="3"/>
      <c r="F811" s="3"/>
      <c r="I811" s="10"/>
      <c r="K811" s="7"/>
      <c r="L811" s="7"/>
      <c r="O811" s="10"/>
      <c r="R811" s="10"/>
      <c r="U811" s="16"/>
      <c r="X811" s="10"/>
      <c r="AA811" s="10"/>
      <c r="AD811" s="10"/>
    </row>
    <row r="812" customFormat="false" ht="15.75" hidden="false" customHeight="false" outlineLevel="0" collapsed="false">
      <c r="A812" s="7"/>
      <c r="B812" s="8"/>
      <c r="E812" s="3"/>
      <c r="F812" s="3"/>
      <c r="I812" s="10"/>
      <c r="K812" s="7"/>
      <c r="L812" s="7"/>
      <c r="O812" s="10"/>
      <c r="R812" s="10"/>
      <c r="U812" s="16"/>
      <c r="X812" s="10"/>
      <c r="AA812" s="10"/>
      <c r="AD812" s="10"/>
    </row>
    <row r="813" customFormat="false" ht="15.75" hidden="false" customHeight="false" outlineLevel="0" collapsed="false">
      <c r="A813" s="7"/>
      <c r="B813" s="8"/>
      <c r="E813" s="3"/>
      <c r="F813" s="3"/>
      <c r="I813" s="10"/>
      <c r="K813" s="7"/>
      <c r="L813" s="7"/>
      <c r="O813" s="10"/>
      <c r="R813" s="10"/>
      <c r="U813" s="16"/>
      <c r="X813" s="10"/>
      <c r="AA813" s="10"/>
      <c r="AD813" s="10"/>
    </row>
    <row r="814" customFormat="false" ht="15.75" hidden="false" customHeight="false" outlineLevel="0" collapsed="false">
      <c r="A814" s="7"/>
      <c r="B814" s="8"/>
      <c r="E814" s="3"/>
      <c r="F814" s="3"/>
      <c r="I814" s="10"/>
      <c r="K814" s="7"/>
      <c r="L814" s="7"/>
      <c r="O814" s="10"/>
      <c r="R814" s="10"/>
      <c r="U814" s="16"/>
      <c r="X814" s="10"/>
      <c r="AA814" s="10"/>
      <c r="AD814" s="10"/>
    </row>
    <row r="815" customFormat="false" ht="15.75" hidden="false" customHeight="false" outlineLevel="0" collapsed="false">
      <c r="A815" s="7"/>
      <c r="B815" s="8"/>
      <c r="E815" s="3"/>
      <c r="F815" s="3"/>
      <c r="I815" s="10"/>
      <c r="K815" s="7"/>
      <c r="L815" s="7"/>
      <c r="O815" s="10"/>
      <c r="R815" s="10"/>
      <c r="U815" s="16"/>
      <c r="X815" s="10"/>
      <c r="AA815" s="10"/>
      <c r="AD815" s="10"/>
    </row>
    <row r="816" customFormat="false" ht="15.75" hidden="false" customHeight="false" outlineLevel="0" collapsed="false">
      <c r="A816" s="7"/>
      <c r="B816" s="8"/>
      <c r="E816" s="3"/>
      <c r="F816" s="3"/>
      <c r="I816" s="10"/>
      <c r="K816" s="7"/>
      <c r="L816" s="7"/>
      <c r="O816" s="10"/>
      <c r="R816" s="10"/>
      <c r="U816" s="16"/>
      <c r="X816" s="10"/>
      <c r="AA816" s="10"/>
      <c r="AD816" s="10"/>
    </row>
    <row r="817" customFormat="false" ht="15.75" hidden="false" customHeight="false" outlineLevel="0" collapsed="false">
      <c r="A817" s="7"/>
      <c r="B817" s="8"/>
      <c r="E817" s="3"/>
      <c r="F817" s="3"/>
      <c r="I817" s="10"/>
      <c r="K817" s="7"/>
      <c r="L817" s="7"/>
      <c r="O817" s="10"/>
      <c r="R817" s="10"/>
      <c r="U817" s="16"/>
      <c r="X817" s="10"/>
      <c r="AA817" s="10"/>
      <c r="AD817" s="10"/>
    </row>
    <row r="818" customFormat="false" ht="15.75" hidden="false" customHeight="false" outlineLevel="0" collapsed="false">
      <c r="A818" s="7"/>
      <c r="B818" s="8"/>
      <c r="E818" s="3"/>
      <c r="F818" s="3"/>
      <c r="I818" s="10"/>
      <c r="K818" s="7"/>
      <c r="L818" s="7"/>
      <c r="O818" s="10"/>
      <c r="R818" s="10"/>
      <c r="U818" s="16"/>
      <c r="X818" s="10"/>
      <c r="AA818" s="10"/>
      <c r="AD818" s="10"/>
    </row>
    <row r="819" customFormat="false" ht="15.75" hidden="false" customHeight="false" outlineLevel="0" collapsed="false">
      <c r="A819" s="7"/>
      <c r="B819" s="8"/>
      <c r="E819" s="3"/>
      <c r="F819" s="3"/>
      <c r="I819" s="10"/>
      <c r="K819" s="7"/>
      <c r="L819" s="7"/>
      <c r="O819" s="10"/>
      <c r="R819" s="10"/>
      <c r="U819" s="16"/>
      <c r="X819" s="10"/>
      <c r="AA819" s="10"/>
      <c r="AD819" s="10"/>
    </row>
    <row r="820" customFormat="false" ht="15.75" hidden="false" customHeight="false" outlineLevel="0" collapsed="false">
      <c r="A820" s="7"/>
      <c r="B820" s="8"/>
      <c r="E820" s="3"/>
      <c r="F820" s="3"/>
      <c r="I820" s="10"/>
      <c r="K820" s="7"/>
      <c r="L820" s="7"/>
      <c r="O820" s="10"/>
      <c r="R820" s="10"/>
      <c r="U820" s="16"/>
      <c r="X820" s="10"/>
      <c r="AA820" s="10"/>
      <c r="AD820" s="10"/>
    </row>
    <row r="821" customFormat="false" ht="15.75" hidden="false" customHeight="false" outlineLevel="0" collapsed="false">
      <c r="A821" s="7"/>
      <c r="B821" s="8"/>
      <c r="E821" s="3"/>
      <c r="F821" s="3"/>
      <c r="I821" s="10"/>
      <c r="K821" s="7"/>
      <c r="L821" s="7"/>
      <c r="O821" s="10"/>
      <c r="R821" s="10"/>
      <c r="U821" s="16"/>
      <c r="X821" s="10"/>
      <c r="AA821" s="10"/>
      <c r="AD821" s="10"/>
    </row>
    <row r="822" customFormat="false" ht="15.75" hidden="false" customHeight="false" outlineLevel="0" collapsed="false">
      <c r="A822" s="7"/>
      <c r="B822" s="8"/>
      <c r="E822" s="3"/>
      <c r="F822" s="3"/>
      <c r="I822" s="10"/>
      <c r="K822" s="7"/>
      <c r="L822" s="7"/>
      <c r="O822" s="10"/>
      <c r="R822" s="10"/>
      <c r="U822" s="16"/>
      <c r="X822" s="10"/>
      <c r="AA822" s="10"/>
      <c r="AD822" s="10"/>
    </row>
    <row r="823" customFormat="false" ht="15.75" hidden="false" customHeight="false" outlineLevel="0" collapsed="false">
      <c r="A823" s="7"/>
      <c r="B823" s="8"/>
      <c r="E823" s="3"/>
      <c r="F823" s="3"/>
      <c r="I823" s="10"/>
      <c r="K823" s="7"/>
      <c r="L823" s="7"/>
      <c r="O823" s="10"/>
      <c r="R823" s="10"/>
      <c r="U823" s="16"/>
      <c r="X823" s="10"/>
      <c r="AA823" s="10"/>
      <c r="AD823" s="10"/>
    </row>
    <row r="824" customFormat="false" ht="15.75" hidden="false" customHeight="false" outlineLevel="0" collapsed="false">
      <c r="A824" s="7"/>
      <c r="B824" s="8"/>
      <c r="E824" s="3"/>
      <c r="F824" s="3"/>
      <c r="I824" s="10"/>
      <c r="K824" s="7"/>
      <c r="L824" s="7"/>
      <c r="O824" s="10"/>
      <c r="R824" s="10"/>
      <c r="U824" s="16"/>
      <c r="X824" s="10"/>
      <c r="AA824" s="10"/>
      <c r="AD824" s="10"/>
    </row>
    <row r="825" customFormat="false" ht="15.75" hidden="false" customHeight="false" outlineLevel="0" collapsed="false">
      <c r="A825" s="7"/>
      <c r="B825" s="8"/>
      <c r="E825" s="3"/>
      <c r="F825" s="3"/>
      <c r="I825" s="10"/>
      <c r="K825" s="7"/>
      <c r="L825" s="7"/>
      <c r="O825" s="10"/>
      <c r="R825" s="10"/>
      <c r="U825" s="16"/>
      <c r="X825" s="10"/>
      <c r="AA825" s="10"/>
      <c r="AD825" s="10"/>
    </row>
    <row r="826" customFormat="false" ht="15.75" hidden="false" customHeight="false" outlineLevel="0" collapsed="false">
      <c r="A826" s="7"/>
      <c r="B826" s="8"/>
      <c r="E826" s="3"/>
      <c r="F826" s="3"/>
      <c r="I826" s="10"/>
      <c r="K826" s="7"/>
      <c r="L826" s="7"/>
      <c r="O826" s="10"/>
      <c r="R826" s="10"/>
      <c r="U826" s="16"/>
      <c r="X826" s="10"/>
      <c r="AA826" s="10"/>
      <c r="AD826" s="10"/>
    </row>
    <row r="827" customFormat="false" ht="15.75" hidden="false" customHeight="false" outlineLevel="0" collapsed="false">
      <c r="A827" s="7"/>
      <c r="B827" s="8"/>
      <c r="E827" s="3"/>
      <c r="F827" s="3"/>
      <c r="I827" s="10"/>
      <c r="K827" s="7"/>
      <c r="L827" s="7"/>
      <c r="O827" s="10"/>
      <c r="R827" s="10"/>
      <c r="U827" s="16"/>
      <c r="X827" s="10"/>
      <c r="AA827" s="10"/>
      <c r="AD827" s="10"/>
    </row>
    <row r="828" customFormat="false" ht="15.75" hidden="false" customHeight="false" outlineLevel="0" collapsed="false">
      <c r="A828" s="7"/>
      <c r="B828" s="8"/>
      <c r="E828" s="3"/>
      <c r="F828" s="3"/>
      <c r="I828" s="10"/>
      <c r="K828" s="7"/>
      <c r="L828" s="7"/>
      <c r="O828" s="10"/>
      <c r="R828" s="10"/>
      <c r="U828" s="16"/>
      <c r="X828" s="10"/>
      <c r="AA828" s="10"/>
      <c r="AD828" s="10"/>
    </row>
    <row r="829" customFormat="false" ht="15.75" hidden="false" customHeight="false" outlineLevel="0" collapsed="false">
      <c r="A829" s="7"/>
      <c r="B829" s="8"/>
      <c r="E829" s="3"/>
      <c r="F829" s="3"/>
      <c r="I829" s="10"/>
      <c r="K829" s="7"/>
      <c r="L829" s="7"/>
      <c r="O829" s="10"/>
      <c r="R829" s="10"/>
      <c r="U829" s="16"/>
      <c r="X829" s="10"/>
      <c r="AA829" s="10"/>
      <c r="AD829" s="10"/>
    </row>
    <row r="830" customFormat="false" ht="15.75" hidden="false" customHeight="false" outlineLevel="0" collapsed="false">
      <c r="A830" s="7"/>
      <c r="B830" s="8"/>
      <c r="E830" s="3"/>
      <c r="F830" s="3"/>
      <c r="I830" s="10"/>
      <c r="K830" s="7"/>
      <c r="L830" s="7"/>
      <c r="O830" s="10"/>
      <c r="R830" s="10"/>
      <c r="U830" s="16"/>
      <c r="X830" s="10"/>
      <c r="AA830" s="10"/>
      <c r="AD830" s="10"/>
    </row>
    <row r="831" customFormat="false" ht="15.75" hidden="false" customHeight="false" outlineLevel="0" collapsed="false">
      <c r="A831" s="7"/>
      <c r="B831" s="8"/>
      <c r="E831" s="3"/>
      <c r="F831" s="3"/>
      <c r="I831" s="10"/>
      <c r="K831" s="7"/>
      <c r="L831" s="7"/>
      <c r="O831" s="10"/>
      <c r="R831" s="10"/>
      <c r="U831" s="16"/>
      <c r="X831" s="10"/>
      <c r="AA831" s="10"/>
      <c r="AD831" s="10"/>
    </row>
    <row r="832" customFormat="false" ht="15.75" hidden="false" customHeight="false" outlineLevel="0" collapsed="false">
      <c r="A832" s="7"/>
      <c r="B832" s="8"/>
      <c r="E832" s="3"/>
      <c r="F832" s="3"/>
      <c r="I832" s="10"/>
      <c r="K832" s="7"/>
      <c r="L832" s="7"/>
      <c r="O832" s="10"/>
      <c r="R832" s="10"/>
      <c r="U832" s="16"/>
      <c r="X832" s="10"/>
      <c r="AA832" s="10"/>
      <c r="AD832" s="10"/>
    </row>
    <row r="833" customFormat="false" ht="15.75" hidden="false" customHeight="false" outlineLevel="0" collapsed="false">
      <c r="A833" s="7"/>
      <c r="B833" s="8"/>
      <c r="E833" s="3"/>
      <c r="F833" s="3"/>
      <c r="I833" s="10"/>
      <c r="K833" s="7"/>
      <c r="L833" s="7"/>
      <c r="O833" s="10"/>
      <c r="R833" s="10"/>
      <c r="U833" s="16"/>
      <c r="X833" s="10"/>
      <c r="AA833" s="10"/>
      <c r="AD833" s="10"/>
    </row>
    <row r="834" customFormat="false" ht="15.75" hidden="false" customHeight="false" outlineLevel="0" collapsed="false">
      <c r="A834" s="7"/>
      <c r="B834" s="8"/>
      <c r="E834" s="3"/>
      <c r="F834" s="3"/>
      <c r="I834" s="10"/>
      <c r="K834" s="7"/>
      <c r="L834" s="7"/>
      <c r="O834" s="10"/>
      <c r="R834" s="10"/>
      <c r="U834" s="16"/>
      <c r="X834" s="10"/>
      <c r="AA834" s="10"/>
      <c r="AD834" s="10"/>
    </row>
    <row r="835" customFormat="false" ht="15.75" hidden="false" customHeight="false" outlineLevel="0" collapsed="false">
      <c r="A835" s="7"/>
      <c r="B835" s="8"/>
      <c r="E835" s="3"/>
      <c r="F835" s="3"/>
      <c r="I835" s="10"/>
      <c r="K835" s="7"/>
      <c r="L835" s="7"/>
      <c r="O835" s="10"/>
      <c r="R835" s="10"/>
      <c r="U835" s="16"/>
      <c r="X835" s="10"/>
      <c r="AA835" s="10"/>
      <c r="AD835" s="10"/>
    </row>
    <row r="836" customFormat="false" ht="15.75" hidden="false" customHeight="false" outlineLevel="0" collapsed="false">
      <c r="A836" s="7"/>
      <c r="B836" s="8"/>
      <c r="E836" s="3"/>
      <c r="F836" s="3"/>
      <c r="I836" s="10"/>
      <c r="K836" s="7"/>
      <c r="L836" s="7"/>
      <c r="O836" s="10"/>
      <c r="R836" s="10"/>
      <c r="U836" s="16"/>
      <c r="X836" s="10"/>
      <c r="AA836" s="10"/>
      <c r="AD836" s="10"/>
    </row>
    <row r="837" customFormat="false" ht="15.75" hidden="false" customHeight="false" outlineLevel="0" collapsed="false">
      <c r="A837" s="7"/>
      <c r="B837" s="8"/>
      <c r="E837" s="3"/>
      <c r="F837" s="3"/>
      <c r="I837" s="10"/>
      <c r="K837" s="7"/>
      <c r="L837" s="7"/>
      <c r="O837" s="10"/>
      <c r="R837" s="10"/>
      <c r="U837" s="16"/>
      <c r="X837" s="10"/>
      <c r="AA837" s="10"/>
      <c r="AD837" s="10"/>
    </row>
    <row r="838" customFormat="false" ht="15.75" hidden="false" customHeight="false" outlineLevel="0" collapsed="false">
      <c r="A838" s="7"/>
      <c r="B838" s="8"/>
      <c r="E838" s="3"/>
      <c r="F838" s="3"/>
      <c r="I838" s="10"/>
      <c r="K838" s="7"/>
      <c r="L838" s="7"/>
      <c r="O838" s="10"/>
      <c r="R838" s="10"/>
      <c r="U838" s="16"/>
      <c r="X838" s="10"/>
      <c r="AA838" s="10"/>
      <c r="AD838" s="10"/>
    </row>
    <row r="839" customFormat="false" ht="15.75" hidden="false" customHeight="false" outlineLevel="0" collapsed="false">
      <c r="A839" s="7"/>
      <c r="B839" s="8"/>
      <c r="E839" s="3"/>
      <c r="F839" s="3"/>
      <c r="I839" s="10"/>
      <c r="K839" s="7"/>
      <c r="L839" s="7"/>
      <c r="O839" s="10"/>
      <c r="R839" s="10"/>
      <c r="U839" s="16"/>
      <c r="X839" s="10"/>
      <c r="AA839" s="10"/>
      <c r="AD839" s="10"/>
    </row>
    <row r="840" customFormat="false" ht="15.75" hidden="false" customHeight="false" outlineLevel="0" collapsed="false">
      <c r="A840" s="7"/>
      <c r="B840" s="8"/>
      <c r="E840" s="3"/>
      <c r="F840" s="3"/>
      <c r="I840" s="10"/>
      <c r="K840" s="7"/>
      <c r="L840" s="7"/>
      <c r="O840" s="10"/>
      <c r="R840" s="10"/>
      <c r="U840" s="16"/>
      <c r="X840" s="10"/>
      <c r="AA840" s="10"/>
      <c r="AD840" s="10"/>
    </row>
    <row r="841" customFormat="false" ht="15.75" hidden="false" customHeight="false" outlineLevel="0" collapsed="false">
      <c r="A841" s="7"/>
      <c r="B841" s="8"/>
      <c r="E841" s="3"/>
      <c r="F841" s="3"/>
      <c r="I841" s="10"/>
      <c r="K841" s="7"/>
      <c r="L841" s="7"/>
      <c r="O841" s="10"/>
      <c r="R841" s="10"/>
      <c r="U841" s="16"/>
      <c r="X841" s="10"/>
      <c r="AA841" s="10"/>
      <c r="AD841" s="10"/>
    </row>
    <row r="842" customFormat="false" ht="15.75" hidden="false" customHeight="false" outlineLevel="0" collapsed="false">
      <c r="A842" s="7"/>
      <c r="B842" s="8"/>
      <c r="E842" s="3"/>
      <c r="F842" s="3"/>
      <c r="I842" s="10"/>
      <c r="K842" s="7"/>
      <c r="L842" s="7"/>
      <c r="O842" s="10"/>
      <c r="R842" s="10"/>
      <c r="U842" s="16"/>
      <c r="X842" s="10"/>
      <c r="AA842" s="10"/>
      <c r="AD842" s="10"/>
    </row>
    <row r="843" customFormat="false" ht="15.75" hidden="false" customHeight="false" outlineLevel="0" collapsed="false">
      <c r="A843" s="7"/>
      <c r="B843" s="8"/>
      <c r="E843" s="3"/>
      <c r="F843" s="3"/>
      <c r="I843" s="10"/>
      <c r="K843" s="7"/>
      <c r="L843" s="7"/>
      <c r="O843" s="10"/>
      <c r="R843" s="10"/>
      <c r="U843" s="16"/>
      <c r="X843" s="10"/>
      <c r="AA843" s="10"/>
      <c r="AD843" s="10"/>
    </row>
    <row r="844" customFormat="false" ht="15.75" hidden="false" customHeight="false" outlineLevel="0" collapsed="false">
      <c r="A844" s="7"/>
      <c r="B844" s="8"/>
      <c r="E844" s="3"/>
      <c r="F844" s="3"/>
      <c r="I844" s="10"/>
      <c r="K844" s="7"/>
      <c r="L844" s="7"/>
      <c r="O844" s="10"/>
      <c r="R844" s="10"/>
      <c r="U844" s="16"/>
      <c r="X844" s="10"/>
      <c r="AA844" s="10"/>
      <c r="AD844" s="10"/>
    </row>
    <row r="845" customFormat="false" ht="15.75" hidden="false" customHeight="false" outlineLevel="0" collapsed="false">
      <c r="A845" s="7"/>
      <c r="B845" s="8"/>
      <c r="E845" s="3"/>
      <c r="F845" s="3"/>
      <c r="I845" s="10"/>
      <c r="K845" s="7"/>
      <c r="L845" s="7"/>
      <c r="O845" s="10"/>
      <c r="R845" s="10"/>
      <c r="U845" s="16"/>
      <c r="X845" s="10"/>
      <c r="AA845" s="10"/>
      <c r="AD845" s="10"/>
    </row>
    <row r="846" customFormat="false" ht="15.75" hidden="false" customHeight="false" outlineLevel="0" collapsed="false">
      <c r="A846" s="7"/>
      <c r="B846" s="8"/>
      <c r="E846" s="3"/>
      <c r="F846" s="3"/>
      <c r="I846" s="10"/>
      <c r="K846" s="7"/>
      <c r="L846" s="7"/>
      <c r="O846" s="10"/>
      <c r="R846" s="10"/>
      <c r="U846" s="16"/>
      <c r="X846" s="10"/>
      <c r="AA846" s="10"/>
      <c r="AD846" s="10"/>
    </row>
    <row r="847" customFormat="false" ht="15.75" hidden="false" customHeight="false" outlineLevel="0" collapsed="false">
      <c r="A847" s="7"/>
      <c r="B847" s="8"/>
      <c r="E847" s="3"/>
      <c r="F847" s="3"/>
      <c r="I847" s="10"/>
      <c r="K847" s="7"/>
      <c r="L847" s="7"/>
      <c r="O847" s="10"/>
      <c r="R847" s="10"/>
      <c r="U847" s="16"/>
      <c r="X847" s="10"/>
      <c r="AA847" s="10"/>
      <c r="AD847" s="10"/>
    </row>
    <row r="848" customFormat="false" ht="15.75" hidden="false" customHeight="false" outlineLevel="0" collapsed="false">
      <c r="A848" s="7"/>
      <c r="B848" s="8"/>
      <c r="E848" s="3"/>
      <c r="F848" s="3"/>
      <c r="I848" s="10"/>
      <c r="K848" s="7"/>
      <c r="L848" s="7"/>
      <c r="O848" s="10"/>
      <c r="R848" s="10"/>
      <c r="U848" s="16"/>
      <c r="X848" s="10"/>
      <c r="AA848" s="10"/>
      <c r="AD848" s="10"/>
    </row>
    <row r="849" customFormat="false" ht="15.75" hidden="false" customHeight="false" outlineLevel="0" collapsed="false">
      <c r="A849" s="7"/>
      <c r="B849" s="8"/>
      <c r="E849" s="3"/>
      <c r="F849" s="3"/>
      <c r="I849" s="10"/>
      <c r="K849" s="7"/>
      <c r="L849" s="7"/>
      <c r="O849" s="10"/>
      <c r="R849" s="10"/>
      <c r="U849" s="16"/>
      <c r="X849" s="10"/>
      <c r="AA849" s="10"/>
      <c r="AD849" s="10"/>
    </row>
    <row r="850" customFormat="false" ht="15.75" hidden="false" customHeight="false" outlineLevel="0" collapsed="false">
      <c r="A850" s="7"/>
      <c r="B850" s="8"/>
      <c r="E850" s="3"/>
      <c r="F850" s="3"/>
      <c r="I850" s="10"/>
      <c r="K850" s="7"/>
      <c r="L850" s="7"/>
      <c r="O850" s="10"/>
      <c r="R850" s="10"/>
      <c r="U850" s="16"/>
      <c r="X850" s="10"/>
      <c r="AA850" s="10"/>
      <c r="AD850" s="10"/>
    </row>
    <row r="851" customFormat="false" ht="15.75" hidden="false" customHeight="false" outlineLevel="0" collapsed="false">
      <c r="A851" s="7"/>
      <c r="B851" s="8"/>
      <c r="E851" s="3"/>
      <c r="F851" s="3"/>
      <c r="I851" s="10"/>
      <c r="K851" s="7"/>
      <c r="L851" s="7"/>
      <c r="O851" s="10"/>
      <c r="R851" s="10"/>
      <c r="U851" s="16"/>
      <c r="X851" s="10"/>
      <c r="AA851" s="10"/>
      <c r="AD851" s="10"/>
    </row>
    <row r="852" customFormat="false" ht="15.75" hidden="false" customHeight="false" outlineLevel="0" collapsed="false">
      <c r="A852" s="7"/>
      <c r="B852" s="8"/>
      <c r="E852" s="3"/>
      <c r="F852" s="3"/>
      <c r="I852" s="10"/>
      <c r="K852" s="7"/>
      <c r="L852" s="7"/>
      <c r="O852" s="10"/>
      <c r="R852" s="10"/>
      <c r="U852" s="16"/>
      <c r="X852" s="10"/>
      <c r="AA852" s="10"/>
      <c r="AD852" s="10"/>
    </row>
    <row r="853" customFormat="false" ht="15.75" hidden="false" customHeight="false" outlineLevel="0" collapsed="false">
      <c r="A853" s="7"/>
      <c r="B853" s="8"/>
      <c r="E853" s="3"/>
      <c r="F853" s="3"/>
      <c r="I853" s="10"/>
      <c r="K853" s="7"/>
      <c r="L853" s="7"/>
      <c r="O853" s="10"/>
      <c r="R853" s="10"/>
      <c r="U853" s="16"/>
      <c r="X853" s="10"/>
      <c r="AA853" s="10"/>
      <c r="AD853" s="10"/>
    </row>
    <row r="854" customFormat="false" ht="15.75" hidden="false" customHeight="false" outlineLevel="0" collapsed="false">
      <c r="A854" s="7"/>
      <c r="B854" s="8"/>
      <c r="E854" s="3"/>
      <c r="F854" s="3"/>
      <c r="I854" s="10"/>
      <c r="K854" s="7"/>
      <c r="L854" s="7"/>
      <c r="O854" s="10"/>
      <c r="R854" s="10"/>
      <c r="U854" s="16"/>
      <c r="X854" s="10"/>
      <c r="AA854" s="10"/>
      <c r="AD854" s="10"/>
    </row>
    <row r="855" customFormat="false" ht="15.75" hidden="false" customHeight="false" outlineLevel="0" collapsed="false">
      <c r="A855" s="7"/>
      <c r="B855" s="8"/>
      <c r="E855" s="3"/>
      <c r="F855" s="3"/>
      <c r="I855" s="10"/>
      <c r="K855" s="7"/>
      <c r="L855" s="7"/>
      <c r="O855" s="10"/>
      <c r="R855" s="10"/>
      <c r="U855" s="16"/>
      <c r="X855" s="10"/>
      <c r="AA855" s="10"/>
      <c r="AD855" s="10"/>
    </row>
    <row r="856" customFormat="false" ht="15.75" hidden="false" customHeight="false" outlineLevel="0" collapsed="false">
      <c r="A856" s="7"/>
      <c r="B856" s="8"/>
      <c r="E856" s="3"/>
      <c r="F856" s="3"/>
      <c r="I856" s="10"/>
      <c r="K856" s="7"/>
      <c r="L856" s="7"/>
      <c r="O856" s="10"/>
      <c r="R856" s="10"/>
      <c r="U856" s="16"/>
      <c r="X856" s="10"/>
      <c r="AA856" s="10"/>
      <c r="AD856" s="10"/>
    </row>
    <row r="857" customFormat="false" ht="15.75" hidden="false" customHeight="false" outlineLevel="0" collapsed="false">
      <c r="A857" s="7"/>
      <c r="B857" s="8"/>
      <c r="E857" s="3"/>
      <c r="F857" s="3"/>
      <c r="I857" s="10"/>
      <c r="K857" s="7"/>
      <c r="L857" s="7"/>
      <c r="O857" s="10"/>
      <c r="R857" s="10"/>
      <c r="U857" s="16"/>
      <c r="X857" s="10"/>
      <c r="AA857" s="10"/>
      <c r="AD857" s="10"/>
    </row>
    <row r="858" customFormat="false" ht="15.75" hidden="false" customHeight="false" outlineLevel="0" collapsed="false">
      <c r="A858" s="7"/>
      <c r="B858" s="8"/>
      <c r="E858" s="3"/>
      <c r="F858" s="3"/>
      <c r="I858" s="10"/>
      <c r="K858" s="7"/>
      <c r="L858" s="7"/>
      <c r="O858" s="10"/>
      <c r="R858" s="10"/>
      <c r="U858" s="16"/>
      <c r="X858" s="10"/>
      <c r="AA858" s="10"/>
      <c r="AD858" s="10"/>
    </row>
    <row r="859" customFormat="false" ht="15.75" hidden="false" customHeight="false" outlineLevel="0" collapsed="false">
      <c r="A859" s="7"/>
      <c r="B859" s="8"/>
      <c r="E859" s="3"/>
      <c r="F859" s="3"/>
      <c r="I859" s="10"/>
      <c r="K859" s="7"/>
      <c r="L859" s="7"/>
      <c r="O859" s="10"/>
      <c r="R859" s="10"/>
      <c r="U859" s="16"/>
      <c r="X859" s="10"/>
      <c r="AA859" s="10"/>
      <c r="AD859" s="10"/>
    </row>
    <row r="860" customFormat="false" ht="15.75" hidden="false" customHeight="false" outlineLevel="0" collapsed="false">
      <c r="A860" s="7"/>
      <c r="B860" s="8"/>
      <c r="E860" s="3"/>
      <c r="F860" s="3"/>
      <c r="I860" s="10"/>
      <c r="K860" s="7"/>
      <c r="L860" s="7"/>
      <c r="O860" s="10"/>
      <c r="R860" s="10"/>
      <c r="U860" s="16"/>
      <c r="X860" s="10"/>
      <c r="AA860" s="10"/>
      <c r="AD860" s="10"/>
    </row>
    <row r="861" customFormat="false" ht="15.75" hidden="false" customHeight="false" outlineLevel="0" collapsed="false">
      <c r="A861" s="7"/>
      <c r="B861" s="8"/>
      <c r="E861" s="3"/>
      <c r="F861" s="3"/>
      <c r="I861" s="10"/>
      <c r="K861" s="7"/>
      <c r="L861" s="7"/>
      <c r="O861" s="10"/>
      <c r="R861" s="10"/>
      <c r="U861" s="16"/>
      <c r="X861" s="10"/>
      <c r="AA861" s="10"/>
      <c r="AD861" s="10"/>
    </row>
    <row r="862" customFormat="false" ht="15.75" hidden="false" customHeight="false" outlineLevel="0" collapsed="false">
      <c r="A862" s="7"/>
      <c r="B862" s="8"/>
      <c r="E862" s="3"/>
      <c r="F862" s="3"/>
      <c r="I862" s="10"/>
      <c r="K862" s="7"/>
      <c r="L862" s="7"/>
      <c r="O862" s="10"/>
      <c r="R862" s="10"/>
      <c r="U862" s="16"/>
      <c r="X862" s="10"/>
      <c r="AA862" s="10"/>
      <c r="AD862" s="10"/>
    </row>
    <row r="863" customFormat="false" ht="15.75" hidden="false" customHeight="false" outlineLevel="0" collapsed="false">
      <c r="A863" s="7"/>
      <c r="B863" s="8"/>
      <c r="E863" s="3"/>
      <c r="F863" s="3"/>
      <c r="I863" s="10"/>
      <c r="K863" s="7"/>
      <c r="L863" s="7"/>
      <c r="O863" s="10"/>
      <c r="R863" s="10"/>
      <c r="U863" s="16"/>
      <c r="X863" s="10"/>
      <c r="AA863" s="10"/>
      <c r="AD863" s="10"/>
    </row>
    <row r="864" customFormat="false" ht="15.75" hidden="false" customHeight="false" outlineLevel="0" collapsed="false">
      <c r="A864" s="7"/>
      <c r="B864" s="8"/>
      <c r="E864" s="3"/>
      <c r="F864" s="3"/>
      <c r="I864" s="10"/>
      <c r="K864" s="7"/>
      <c r="L864" s="7"/>
      <c r="O864" s="10"/>
      <c r="R864" s="10"/>
      <c r="U864" s="16"/>
      <c r="X864" s="10"/>
      <c r="AA864" s="10"/>
      <c r="AD864" s="10"/>
    </row>
    <row r="865" customFormat="false" ht="15.75" hidden="false" customHeight="false" outlineLevel="0" collapsed="false">
      <c r="A865" s="7"/>
      <c r="B865" s="8"/>
      <c r="E865" s="3"/>
      <c r="F865" s="3"/>
      <c r="I865" s="10"/>
      <c r="K865" s="7"/>
      <c r="L865" s="7"/>
      <c r="O865" s="10"/>
      <c r="R865" s="10"/>
      <c r="U865" s="16"/>
      <c r="X865" s="10"/>
      <c r="AA865" s="10"/>
      <c r="AD865" s="10"/>
    </row>
    <row r="866" customFormat="false" ht="15.75" hidden="false" customHeight="false" outlineLevel="0" collapsed="false">
      <c r="A866" s="7"/>
      <c r="B866" s="8"/>
      <c r="E866" s="3"/>
      <c r="F866" s="3"/>
      <c r="I866" s="10"/>
      <c r="K866" s="7"/>
      <c r="L866" s="7"/>
      <c r="O866" s="10"/>
      <c r="R866" s="10"/>
      <c r="U866" s="16"/>
      <c r="X866" s="10"/>
      <c r="AA866" s="10"/>
      <c r="AD866" s="10"/>
    </row>
    <row r="867" customFormat="false" ht="15.75" hidden="false" customHeight="false" outlineLevel="0" collapsed="false">
      <c r="A867" s="7"/>
      <c r="B867" s="8"/>
      <c r="E867" s="3"/>
      <c r="F867" s="3"/>
      <c r="I867" s="10"/>
      <c r="K867" s="7"/>
      <c r="L867" s="7"/>
      <c r="O867" s="10"/>
      <c r="R867" s="10"/>
      <c r="U867" s="16"/>
      <c r="X867" s="10"/>
      <c r="AA867" s="10"/>
      <c r="AD867" s="10"/>
    </row>
    <row r="868" customFormat="false" ht="15.75" hidden="false" customHeight="false" outlineLevel="0" collapsed="false">
      <c r="A868" s="7"/>
      <c r="B868" s="8"/>
      <c r="E868" s="3"/>
      <c r="F868" s="3"/>
      <c r="I868" s="10"/>
      <c r="K868" s="7"/>
      <c r="L868" s="7"/>
      <c r="O868" s="10"/>
      <c r="R868" s="10"/>
      <c r="U868" s="16"/>
      <c r="X868" s="10"/>
      <c r="AA868" s="10"/>
      <c r="AD868" s="10"/>
    </row>
    <row r="869" customFormat="false" ht="15.75" hidden="false" customHeight="false" outlineLevel="0" collapsed="false">
      <c r="A869" s="7"/>
      <c r="B869" s="8"/>
      <c r="E869" s="3"/>
      <c r="F869" s="3"/>
      <c r="I869" s="10"/>
      <c r="K869" s="7"/>
      <c r="L869" s="7"/>
      <c r="O869" s="10"/>
      <c r="R869" s="10"/>
      <c r="U869" s="16"/>
      <c r="X869" s="10"/>
      <c r="AA869" s="10"/>
      <c r="AD869" s="10"/>
    </row>
    <row r="870" customFormat="false" ht="15.75" hidden="false" customHeight="false" outlineLevel="0" collapsed="false">
      <c r="A870" s="7"/>
      <c r="B870" s="8"/>
      <c r="E870" s="3"/>
      <c r="F870" s="3"/>
      <c r="I870" s="10"/>
      <c r="K870" s="7"/>
      <c r="L870" s="7"/>
      <c r="O870" s="10"/>
      <c r="R870" s="10"/>
      <c r="U870" s="16"/>
      <c r="X870" s="10"/>
      <c r="AA870" s="10"/>
      <c r="AD870" s="10"/>
    </row>
    <row r="871" customFormat="false" ht="15.75" hidden="false" customHeight="false" outlineLevel="0" collapsed="false">
      <c r="A871" s="7"/>
      <c r="B871" s="8"/>
      <c r="E871" s="3"/>
      <c r="F871" s="3"/>
      <c r="I871" s="10"/>
      <c r="K871" s="7"/>
      <c r="L871" s="7"/>
      <c r="O871" s="10"/>
      <c r="R871" s="10"/>
      <c r="U871" s="16"/>
      <c r="X871" s="10"/>
      <c r="AA871" s="10"/>
      <c r="AD871" s="10"/>
    </row>
    <row r="872" customFormat="false" ht="15.75" hidden="false" customHeight="false" outlineLevel="0" collapsed="false">
      <c r="A872" s="7"/>
      <c r="B872" s="8"/>
      <c r="E872" s="3"/>
      <c r="F872" s="3"/>
      <c r="I872" s="10"/>
      <c r="K872" s="7"/>
      <c r="L872" s="7"/>
      <c r="O872" s="10"/>
      <c r="R872" s="10"/>
      <c r="U872" s="16"/>
      <c r="X872" s="10"/>
      <c r="AA872" s="10"/>
      <c r="AD872" s="10"/>
    </row>
    <row r="873" customFormat="false" ht="15.75" hidden="false" customHeight="false" outlineLevel="0" collapsed="false">
      <c r="A873" s="7"/>
      <c r="B873" s="8"/>
      <c r="E873" s="3"/>
      <c r="F873" s="3"/>
      <c r="I873" s="10"/>
      <c r="K873" s="7"/>
      <c r="L873" s="7"/>
      <c r="O873" s="10"/>
      <c r="R873" s="10"/>
      <c r="U873" s="16"/>
      <c r="X873" s="10"/>
      <c r="AA873" s="10"/>
      <c r="AD873" s="10"/>
    </row>
    <row r="874" customFormat="false" ht="15.75" hidden="false" customHeight="false" outlineLevel="0" collapsed="false">
      <c r="A874" s="7"/>
      <c r="B874" s="8"/>
      <c r="E874" s="3"/>
      <c r="F874" s="3"/>
      <c r="I874" s="10"/>
      <c r="K874" s="7"/>
      <c r="L874" s="7"/>
      <c r="O874" s="10"/>
      <c r="R874" s="10"/>
      <c r="U874" s="16"/>
      <c r="X874" s="10"/>
      <c r="AA874" s="10"/>
      <c r="AD874" s="10"/>
    </row>
    <row r="875" customFormat="false" ht="15.75" hidden="false" customHeight="false" outlineLevel="0" collapsed="false">
      <c r="A875" s="7"/>
      <c r="B875" s="8"/>
      <c r="E875" s="3"/>
      <c r="F875" s="3"/>
      <c r="I875" s="10"/>
      <c r="K875" s="7"/>
      <c r="L875" s="7"/>
      <c r="O875" s="10"/>
      <c r="R875" s="10"/>
      <c r="U875" s="16"/>
      <c r="X875" s="10"/>
      <c r="AA875" s="10"/>
      <c r="AD875" s="10"/>
    </row>
    <row r="876" customFormat="false" ht="15.75" hidden="false" customHeight="false" outlineLevel="0" collapsed="false">
      <c r="A876" s="7"/>
      <c r="B876" s="8"/>
      <c r="E876" s="3"/>
      <c r="F876" s="3"/>
      <c r="I876" s="10"/>
      <c r="K876" s="7"/>
      <c r="L876" s="7"/>
      <c r="O876" s="10"/>
      <c r="R876" s="10"/>
      <c r="U876" s="16"/>
      <c r="X876" s="10"/>
      <c r="AA876" s="10"/>
      <c r="AD876" s="10"/>
    </row>
    <row r="877" customFormat="false" ht="15.75" hidden="false" customHeight="false" outlineLevel="0" collapsed="false">
      <c r="A877" s="7"/>
      <c r="B877" s="8"/>
      <c r="E877" s="3"/>
      <c r="F877" s="3"/>
      <c r="I877" s="10"/>
      <c r="K877" s="7"/>
      <c r="L877" s="7"/>
      <c r="O877" s="10"/>
      <c r="R877" s="10"/>
      <c r="U877" s="16"/>
      <c r="X877" s="10"/>
      <c r="AA877" s="10"/>
      <c r="AD877" s="10"/>
    </row>
    <row r="878" customFormat="false" ht="15.75" hidden="false" customHeight="false" outlineLevel="0" collapsed="false">
      <c r="A878" s="7"/>
      <c r="B878" s="8"/>
      <c r="E878" s="3"/>
      <c r="F878" s="3"/>
      <c r="I878" s="10"/>
      <c r="K878" s="7"/>
      <c r="L878" s="7"/>
      <c r="O878" s="10"/>
      <c r="R878" s="10"/>
      <c r="U878" s="16"/>
      <c r="X878" s="10"/>
      <c r="AA878" s="10"/>
      <c r="AD878" s="10"/>
    </row>
    <row r="879" customFormat="false" ht="15.75" hidden="false" customHeight="false" outlineLevel="0" collapsed="false">
      <c r="A879" s="7"/>
      <c r="B879" s="8"/>
      <c r="E879" s="3"/>
      <c r="F879" s="3"/>
      <c r="I879" s="10"/>
      <c r="K879" s="7"/>
      <c r="L879" s="7"/>
      <c r="O879" s="10"/>
      <c r="R879" s="10"/>
      <c r="U879" s="16"/>
      <c r="X879" s="10"/>
      <c r="AA879" s="10"/>
      <c r="AD879" s="10"/>
    </row>
    <row r="880" customFormat="false" ht="15.75" hidden="false" customHeight="false" outlineLevel="0" collapsed="false">
      <c r="A880" s="7"/>
      <c r="B880" s="8"/>
      <c r="E880" s="3"/>
      <c r="F880" s="3"/>
      <c r="I880" s="10"/>
      <c r="K880" s="7"/>
      <c r="L880" s="7"/>
      <c r="O880" s="10"/>
      <c r="R880" s="10"/>
      <c r="U880" s="16"/>
      <c r="X880" s="10"/>
      <c r="AA880" s="10"/>
      <c r="AD880" s="10"/>
    </row>
    <row r="881" customFormat="false" ht="15.75" hidden="false" customHeight="false" outlineLevel="0" collapsed="false">
      <c r="A881" s="7"/>
      <c r="B881" s="8"/>
      <c r="E881" s="3"/>
      <c r="F881" s="3"/>
      <c r="I881" s="10"/>
      <c r="K881" s="7"/>
      <c r="L881" s="7"/>
      <c r="O881" s="10"/>
      <c r="R881" s="10"/>
      <c r="U881" s="16"/>
      <c r="X881" s="10"/>
      <c r="AA881" s="10"/>
      <c r="AD881" s="10"/>
    </row>
    <row r="882" customFormat="false" ht="15.75" hidden="false" customHeight="false" outlineLevel="0" collapsed="false">
      <c r="A882" s="7"/>
      <c r="B882" s="8"/>
      <c r="E882" s="3"/>
      <c r="F882" s="3"/>
      <c r="I882" s="10"/>
      <c r="K882" s="7"/>
      <c r="L882" s="7"/>
      <c r="O882" s="10"/>
      <c r="R882" s="10"/>
      <c r="U882" s="16"/>
      <c r="X882" s="10"/>
      <c r="AA882" s="10"/>
      <c r="AD882" s="10"/>
    </row>
    <row r="883" customFormat="false" ht="15.75" hidden="false" customHeight="false" outlineLevel="0" collapsed="false">
      <c r="A883" s="7"/>
      <c r="B883" s="8"/>
      <c r="E883" s="3"/>
      <c r="F883" s="3"/>
      <c r="I883" s="10"/>
      <c r="K883" s="7"/>
      <c r="L883" s="7"/>
      <c r="O883" s="10"/>
      <c r="R883" s="10"/>
      <c r="U883" s="16"/>
      <c r="X883" s="10"/>
      <c r="AA883" s="10"/>
      <c r="AD883" s="10"/>
    </row>
    <row r="884" customFormat="false" ht="15.75" hidden="false" customHeight="false" outlineLevel="0" collapsed="false">
      <c r="A884" s="7"/>
      <c r="B884" s="8"/>
      <c r="E884" s="3"/>
      <c r="F884" s="3"/>
      <c r="I884" s="10"/>
      <c r="K884" s="7"/>
      <c r="L884" s="7"/>
      <c r="O884" s="10"/>
      <c r="R884" s="10"/>
      <c r="U884" s="16"/>
      <c r="X884" s="10"/>
      <c r="AA884" s="10"/>
      <c r="AD884" s="10"/>
    </row>
    <row r="885" customFormat="false" ht="15.75" hidden="false" customHeight="false" outlineLevel="0" collapsed="false">
      <c r="A885" s="7"/>
      <c r="B885" s="8"/>
      <c r="E885" s="3"/>
      <c r="F885" s="3"/>
      <c r="I885" s="10"/>
      <c r="K885" s="7"/>
      <c r="L885" s="7"/>
      <c r="O885" s="10"/>
      <c r="R885" s="10"/>
      <c r="U885" s="16"/>
      <c r="X885" s="10"/>
      <c r="AA885" s="10"/>
      <c r="AD885" s="10"/>
    </row>
    <row r="886" customFormat="false" ht="15.75" hidden="false" customHeight="false" outlineLevel="0" collapsed="false">
      <c r="A886" s="7"/>
      <c r="B886" s="8"/>
      <c r="E886" s="3"/>
      <c r="F886" s="3"/>
      <c r="I886" s="10"/>
      <c r="K886" s="7"/>
      <c r="L886" s="7"/>
      <c r="O886" s="10"/>
      <c r="R886" s="10"/>
      <c r="U886" s="16"/>
      <c r="X886" s="10"/>
      <c r="AA886" s="10"/>
      <c r="AD886" s="10"/>
    </row>
    <row r="887" customFormat="false" ht="15.75" hidden="false" customHeight="false" outlineLevel="0" collapsed="false">
      <c r="A887" s="7"/>
      <c r="B887" s="8"/>
      <c r="E887" s="3"/>
      <c r="F887" s="3"/>
      <c r="I887" s="10"/>
      <c r="K887" s="7"/>
      <c r="L887" s="7"/>
      <c r="O887" s="10"/>
      <c r="R887" s="10"/>
      <c r="U887" s="16"/>
      <c r="X887" s="10"/>
      <c r="AA887" s="10"/>
      <c r="AD887" s="10"/>
    </row>
    <row r="888" customFormat="false" ht="15.75" hidden="false" customHeight="false" outlineLevel="0" collapsed="false">
      <c r="A888" s="7"/>
      <c r="B888" s="8"/>
      <c r="E888" s="3"/>
      <c r="F888" s="3"/>
      <c r="I888" s="10"/>
      <c r="K888" s="7"/>
      <c r="L888" s="7"/>
      <c r="O888" s="10"/>
      <c r="R888" s="10"/>
      <c r="U888" s="16"/>
      <c r="X888" s="10"/>
      <c r="AA888" s="10"/>
      <c r="AD888" s="10"/>
    </row>
    <row r="889" customFormat="false" ht="15.75" hidden="false" customHeight="false" outlineLevel="0" collapsed="false">
      <c r="A889" s="7"/>
      <c r="B889" s="8"/>
      <c r="E889" s="3"/>
      <c r="F889" s="3"/>
      <c r="I889" s="10"/>
      <c r="K889" s="7"/>
      <c r="L889" s="7"/>
      <c r="O889" s="10"/>
      <c r="R889" s="10"/>
      <c r="U889" s="16"/>
      <c r="X889" s="10"/>
      <c r="AA889" s="10"/>
      <c r="AD889" s="10"/>
    </row>
    <row r="890" customFormat="false" ht="15.75" hidden="false" customHeight="false" outlineLevel="0" collapsed="false">
      <c r="A890" s="7"/>
      <c r="B890" s="8"/>
      <c r="E890" s="3"/>
      <c r="F890" s="3"/>
      <c r="I890" s="10"/>
      <c r="K890" s="7"/>
      <c r="L890" s="7"/>
      <c r="O890" s="10"/>
      <c r="R890" s="10"/>
      <c r="U890" s="16"/>
      <c r="X890" s="10"/>
      <c r="AA890" s="10"/>
      <c r="AD890" s="10"/>
    </row>
    <row r="891" customFormat="false" ht="15.75" hidden="false" customHeight="false" outlineLevel="0" collapsed="false">
      <c r="A891" s="7"/>
      <c r="B891" s="8"/>
      <c r="E891" s="3"/>
      <c r="F891" s="3"/>
      <c r="I891" s="10"/>
      <c r="K891" s="7"/>
      <c r="L891" s="7"/>
      <c r="O891" s="10"/>
      <c r="R891" s="10"/>
      <c r="U891" s="16"/>
      <c r="X891" s="10"/>
      <c r="AA891" s="10"/>
      <c r="AD891" s="10"/>
    </row>
    <row r="892" customFormat="false" ht="15.75" hidden="false" customHeight="false" outlineLevel="0" collapsed="false">
      <c r="A892" s="7"/>
      <c r="B892" s="8"/>
      <c r="E892" s="3"/>
      <c r="F892" s="3"/>
      <c r="I892" s="10"/>
      <c r="K892" s="7"/>
      <c r="L892" s="7"/>
      <c r="O892" s="10"/>
      <c r="R892" s="10"/>
      <c r="U892" s="16"/>
      <c r="X892" s="10"/>
      <c r="AA892" s="10"/>
      <c r="AD892" s="10"/>
    </row>
    <row r="893" customFormat="false" ht="15.75" hidden="false" customHeight="false" outlineLevel="0" collapsed="false">
      <c r="A893" s="7"/>
      <c r="B893" s="8"/>
      <c r="E893" s="3"/>
      <c r="F893" s="3"/>
      <c r="I893" s="10"/>
      <c r="K893" s="7"/>
      <c r="L893" s="7"/>
      <c r="O893" s="10"/>
      <c r="R893" s="10"/>
      <c r="U893" s="16"/>
      <c r="X893" s="10"/>
      <c r="AA893" s="10"/>
      <c r="AD893" s="10"/>
    </row>
    <row r="894" customFormat="false" ht="15.75" hidden="false" customHeight="false" outlineLevel="0" collapsed="false">
      <c r="A894" s="7"/>
      <c r="B894" s="8"/>
      <c r="E894" s="3"/>
      <c r="F894" s="3"/>
      <c r="I894" s="10"/>
      <c r="K894" s="7"/>
      <c r="L894" s="7"/>
      <c r="O894" s="10"/>
      <c r="R894" s="10"/>
      <c r="U894" s="16"/>
      <c r="X894" s="10"/>
      <c r="AA894" s="10"/>
      <c r="AD894" s="10"/>
    </row>
    <row r="895" customFormat="false" ht="15.75" hidden="false" customHeight="false" outlineLevel="0" collapsed="false">
      <c r="A895" s="7"/>
      <c r="B895" s="8"/>
      <c r="E895" s="3"/>
      <c r="F895" s="3"/>
      <c r="I895" s="10"/>
      <c r="K895" s="7"/>
      <c r="L895" s="7"/>
      <c r="O895" s="10"/>
      <c r="R895" s="10"/>
      <c r="U895" s="16"/>
      <c r="X895" s="10"/>
      <c r="AA895" s="10"/>
      <c r="AD895" s="10"/>
    </row>
    <row r="896" customFormat="false" ht="15.75" hidden="false" customHeight="false" outlineLevel="0" collapsed="false">
      <c r="A896" s="7"/>
      <c r="B896" s="8"/>
      <c r="E896" s="3"/>
      <c r="F896" s="3"/>
      <c r="I896" s="10"/>
      <c r="K896" s="7"/>
      <c r="L896" s="7"/>
      <c r="O896" s="10"/>
      <c r="R896" s="10"/>
      <c r="U896" s="16"/>
      <c r="X896" s="10"/>
      <c r="AA896" s="10"/>
      <c r="AD896" s="10"/>
    </row>
    <row r="897" customFormat="false" ht="15.75" hidden="false" customHeight="false" outlineLevel="0" collapsed="false">
      <c r="A897" s="7"/>
      <c r="B897" s="8"/>
      <c r="E897" s="3"/>
      <c r="F897" s="3"/>
      <c r="I897" s="10"/>
      <c r="K897" s="7"/>
      <c r="L897" s="7"/>
      <c r="O897" s="10"/>
      <c r="R897" s="10"/>
      <c r="U897" s="16"/>
      <c r="X897" s="10"/>
      <c r="AA897" s="10"/>
      <c r="AD897" s="10"/>
    </row>
    <row r="898" customFormat="false" ht="15.75" hidden="false" customHeight="false" outlineLevel="0" collapsed="false">
      <c r="A898" s="7"/>
      <c r="B898" s="8"/>
      <c r="E898" s="3"/>
      <c r="F898" s="3"/>
      <c r="I898" s="10"/>
      <c r="K898" s="7"/>
      <c r="L898" s="7"/>
      <c r="O898" s="10"/>
      <c r="R898" s="10"/>
      <c r="U898" s="16"/>
      <c r="X898" s="10"/>
      <c r="AA898" s="10"/>
      <c r="AD898" s="10"/>
    </row>
    <row r="899" customFormat="false" ht="15.75" hidden="false" customHeight="false" outlineLevel="0" collapsed="false">
      <c r="A899" s="7"/>
      <c r="B899" s="8"/>
      <c r="E899" s="3"/>
      <c r="F899" s="3"/>
      <c r="I899" s="10"/>
      <c r="K899" s="7"/>
      <c r="L899" s="7"/>
      <c r="O899" s="10"/>
      <c r="R899" s="10"/>
      <c r="U899" s="16"/>
      <c r="X899" s="10"/>
      <c r="AA899" s="10"/>
      <c r="AD899" s="10"/>
    </row>
    <row r="900" customFormat="false" ht="15.75" hidden="false" customHeight="false" outlineLevel="0" collapsed="false">
      <c r="A900" s="7"/>
      <c r="B900" s="8"/>
      <c r="E900" s="3"/>
      <c r="F900" s="3"/>
      <c r="I900" s="10"/>
      <c r="K900" s="7"/>
      <c r="L900" s="7"/>
      <c r="O900" s="10"/>
      <c r="R900" s="10"/>
      <c r="U900" s="16"/>
      <c r="X900" s="10"/>
      <c r="AA900" s="10"/>
      <c r="AD900" s="10"/>
    </row>
    <row r="901" customFormat="false" ht="15.75" hidden="false" customHeight="false" outlineLevel="0" collapsed="false">
      <c r="A901" s="7"/>
      <c r="B901" s="8"/>
      <c r="E901" s="3"/>
      <c r="F901" s="3"/>
      <c r="I901" s="10"/>
      <c r="K901" s="7"/>
      <c r="L901" s="7"/>
      <c r="O901" s="10"/>
      <c r="R901" s="10"/>
      <c r="U901" s="16"/>
      <c r="X901" s="10"/>
      <c r="AA901" s="10"/>
      <c r="AD901" s="10"/>
    </row>
    <row r="902" customFormat="false" ht="15.75" hidden="false" customHeight="false" outlineLevel="0" collapsed="false">
      <c r="A902" s="7"/>
      <c r="B902" s="8"/>
      <c r="E902" s="3"/>
      <c r="F902" s="3"/>
      <c r="I902" s="10"/>
      <c r="K902" s="7"/>
      <c r="L902" s="7"/>
      <c r="O902" s="10"/>
      <c r="R902" s="10"/>
      <c r="U902" s="16"/>
      <c r="X902" s="10"/>
      <c r="AA902" s="10"/>
      <c r="AD902" s="10"/>
    </row>
    <row r="903" customFormat="false" ht="15.75" hidden="false" customHeight="false" outlineLevel="0" collapsed="false">
      <c r="A903" s="7"/>
      <c r="B903" s="8"/>
      <c r="E903" s="3"/>
      <c r="F903" s="3"/>
      <c r="I903" s="10"/>
      <c r="K903" s="7"/>
      <c r="L903" s="7"/>
      <c r="O903" s="10"/>
      <c r="R903" s="10"/>
      <c r="U903" s="16"/>
      <c r="X903" s="10"/>
      <c r="AA903" s="10"/>
      <c r="AD903" s="10"/>
    </row>
    <row r="904" customFormat="false" ht="15.75" hidden="false" customHeight="false" outlineLevel="0" collapsed="false">
      <c r="A904" s="7"/>
      <c r="B904" s="8"/>
      <c r="E904" s="3"/>
      <c r="F904" s="3"/>
      <c r="I904" s="10"/>
      <c r="K904" s="7"/>
      <c r="L904" s="7"/>
      <c r="O904" s="10"/>
      <c r="R904" s="10"/>
      <c r="U904" s="16"/>
      <c r="X904" s="10"/>
      <c r="AA904" s="10"/>
      <c r="AD904" s="10"/>
    </row>
    <row r="905" customFormat="false" ht="15.75" hidden="false" customHeight="false" outlineLevel="0" collapsed="false">
      <c r="A905" s="7"/>
      <c r="B905" s="8"/>
      <c r="E905" s="3"/>
      <c r="F905" s="3"/>
      <c r="I905" s="10"/>
      <c r="K905" s="7"/>
      <c r="L905" s="7"/>
      <c r="O905" s="10"/>
      <c r="R905" s="10"/>
      <c r="U905" s="16"/>
      <c r="X905" s="10"/>
      <c r="AA905" s="10"/>
      <c r="AD905" s="10"/>
    </row>
    <row r="906" customFormat="false" ht="15.75" hidden="false" customHeight="false" outlineLevel="0" collapsed="false">
      <c r="A906" s="7"/>
      <c r="B906" s="8"/>
      <c r="E906" s="3"/>
      <c r="F906" s="3"/>
      <c r="I906" s="10"/>
      <c r="K906" s="7"/>
      <c r="L906" s="7"/>
      <c r="O906" s="10"/>
      <c r="R906" s="10"/>
      <c r="U906" s="16"/>
      <c r="X906" s="10"/>
      <c r="AA906" s="10"/>
      <c r="AD906" s="10"/>
    </row>
    <row r="907" customFormat="false" ht="15.75" hidden="false" customHeight="false" outlineLevel="0" collapsed="false">
      <c r="A907" s="7"/>
      <c r="B907" s="8"/>
      <c r="E907" s="3"/>
      <c r="F907" s="3"/>
      <c r="I907" s="10"/>
      <c r="K907" s="7"/>
      <c r="L907" s="7"/>
      <c r="O907" s="10"/>
      <c r="R907" s="10"/>
      <c r="U907" s="16"/>
      <c r="X907" s="10"/>
      <c r="AA907" s="10"/>
      <c r="AD907" s="10"/>
    </row>
    <row r="908" customFormat="false" ht="15.75" hidden="false" customHeight="false" outlineLevel="0" collapsed="false">
      <c r="A908" s="7"/>
      <c r="B908" s="8"/>
      <c r="E908" s="3"/>
      <c r="F908" s="3"/>
      <c r="I908" s="10"/>
      <c r="K908" s="7"/>
      <c r="L908" s="7"/>
      <c r="O908" s="10"/>
      <c r="R908" s="10"/>
      <c r="U908" s="16"/>
      <c r="X908" s="10"/>
      <c r="AA908" s="10"/>
      <c r="AD908" s="10"/>
    </row>
    <row r="909" customFormat="false" ht="15.75" hidden="false" customHeight="false" outlineLevel="0" collapsed="false">
      <c r="A909" s="7"/>
      <c r="B909" s="8"/>
      <c r="E909" s="3"/>
      <c r="F909" s="3"/>
      <c r="I909" s="10"/>
      <c r="K909" s="7"/>
      <c r="L909" s="7"/>
      <c r="O909" s="10"/>
      <c r="R909" s="10"/>
      <c r="U909" s="16"/>
      <c r="X909" s="10"/>
      <c r="AA909" s="10"/>
      <c r="AD909" s="10"/>
    </row>
    <row r="910" customFormat="false" ht="15.75" hidden="false" customHeight="false" outlineLevel="0" collapsed="false">
      <c r="A910" s="7"/>
      <c r="B910" s="8"/>
      <c r="E910" s="3"/>
      <c r="F910" s="3"/>
      <c r="I910" s="10"/>
      <c r="K910" s="7"/>
      <c r="L910" s="7"/>
      <c r="O910" s="10"/>
      <c r="R910" s="10"/>
      <c r="U910" s="16"/>
      <c r="X910" s="10"/>
      <c r="AA910" s="10"/>
      <c r="AD910" s="10"/>
    </row>
    <row r="911" customFormat="false" ht="15.75" hidden="false" customHeight="false" outlineLevel="0" collapsed="false">
      <c r="A911" s="7"/>
      <c r="B911" s="8"/>
      <c r="E911" s="3"/>
      <c r="F911" s="3"/>
      <c r="I911" s="10"/>
      <c r="K911" s="7"/>
      <c r="L911" s="7"/>
      <c r="O911" s="10"/>
      <c r="R911" s="10"/>
      <c r="U911" s="16"/>
      <c r="X911" s="10"/>
      <c r="AA911" s="10"/>
      <c r="AD911" s="10"/>
    </row>
    <row r="912" customFormat="false" ht="15.75" hidden="false" customHeight="false" outlineLevel="0" collapsed="false">
      <c r="A912" s="7"/>
      <c r="B912" s="8"/>
      <c r="E912" s="3"/>
      <c r="F912" s="3"/>
      <c r="I912" s="10"/>
      <c r="K912" s="7"/>
      <c r="L912" s="7"/>
      <c r="O912" s="10"/>
      <c r="R912" s="10"/>
      <c r="U912" s="16"/>
      <c r="X912" s="10"/>
      <c r="AA912" s="10"/>
      <c r="AD912" s="10"/>
    </row>
    <row r="913" customFormat="false" ht="15.75" hidden="false" customHeight="false" outlineLevel="0" collapsed="false">
      <c r="A913" s="7"/>
      <c r="B913" s="8"/>
      <c r="E913" s="3"/>
      <c r="F913" s="3"/>
      <c r="I913" s="10"/>
      <c r="K913" s="7"/>
      <c r="L913" s="7"/>
      <c r="O913" s="10"/>
      <c r="R913" s="10"/>
      <c r="U913" s="16"/>
      <c r="X913" s="10"/>
      <c r="AA913" s="10"/>
      <c r="AD913" s="10"/>
    </row>
    <row r="914" customFormat="false" ht="15.75" hidden="false" customHeight="false" outlineLevel="0" collapsed="false">
      <c r="A914" s="7"/>
      <c r="B914" s="8"/>
      <c r="E914" s="3"/>
      <c r="F914" s="3"/>
      <c r="I914" s="10"/>
      <c r="K914" s="7"/>
      <c r="L914" s="7"/>
      <c r="O914" s="10"/>
      <c r="R914" s="10"/>
      <c r="U914" s="16"/>
      <c r="X914" s="10"/>
      <c r="AA914" s="10"/>
      <c r="AD914" s="10"/>
    </row>
    <row r="915" customFormat="false" ht="15.75" hidden="false" customHeight="false" outlineLevel="0" collapsed="false">
      <c r="A915" s="7"/>
      <c r="B915" s="8"/>
      <c r="E915" s="3"/>
      <c r="F915" s="3"/>
      <c r="I915" s="10"/>
      <c r="K915" s="7"/>
      <c r="L915" s="7"/>
      <c r="O915" s="10"/>
      <c r="R915" s="10"/>
      <c r="U915" s="16"/>
      <c r="X915" s="10"/>
      <c r="AA915" s="10"/>
      <c r="AD915" s="10"/>
    </row>
    <row r="916" customFormat="false" ht="15.75" hidden="false" customHeight="false" outlineLevel="0" collapsed="false">
      <c r="A916" s="7"/>
      <c r="B916" s="8"/>
      <c r="E916" s="3"/>
      <c r="F916" s="3"/>
      <c r="I916" s="10"/>
      <c r="K916" s="7"/>
      <c r="L916" s="7"/>
      <c r="O916" s="10"/>
      <c r="R916" s="10"/>
      <c r="U916" s="16"/>
      <c r="X916" s="10"/>
      <c r="AA916" s="10"/>
      <c r="AD916" s="10"/>
    </row>
    <row r="917" customFormat="false" ht="15.75" hidden="false" customHeight="false" outlineLevel="0" collapsed="false">
      <c r="A917" s="7"/>
      <c r="B917" s="8"/>
      <c r="E917" s="3"/>
      <c r="F917" s="3"/>
      <c r="I917" s="10"/>
      <c r="K917" s="7"/>
      <c r="L917" s="7"/>
      <c r="O917" s="10"/>
      <c r="R917" s="10"/>
      <c r="U917" s="16"/>
      <c r="X917" s="10"/>
      <c r="AA917" s="10"/>
      <c r="AD917" s="10"/>
    </row>
    <row r="918" customFormat="false" ht="15.75" hidden="false" customHeight="false" outlineLevel="0" collapsed="false">
      <c r="A918" s="7"/>
      <c r="B918" s="8"/>
      <c r="E918" s="3"/>
      <c r="F918" s="3"/>
      <c r="I918" s="10"/>
      <c r="K918" s="7"/>
      <c r="L918" s="7"/>
      <c r="O918" s="10"/>
      <c r="R918" s="10"/>
      <c r="U918" s="16"/>
      <c r="X918" s="10"/>
      <c r="AA918" s="10"/>
      <c r="AD918" s="10"/>
    </row>
    <row r="919" customFormat="false" ht="15.75" hidden="false" customHeight="false" outlineLevel="0" collapsed="false">
      <c r="A919" s="7"/>
      <c r="B919" s="8"/>
      <c r="E919" s="3"/>
      <c r="F919" s="3"/>
      <c r="I919" s="10"/>
      <c r="K919" s="7"/>
      <c r="L919" s="7"/>
      <c r="O919" s="10"/>
      <c r="R919" s="10"/>
      <c r="U919" s="16"/>
      <c r="X919" s="10"/>
      <c r="AA919" s="10"/>
      <c r="AD919" s="10"/>
    </row>
    <row r="920" customFormat="false" ht="15.75" hidden="false" customHeight="false" outlineLevel="0" collapsed="false">
      <c r="A920" s="7"/>
      <c r="B920" s="8"/>
      <c r="E920" s="3"/>
      <c r="F920" s="3"/>
      <c r="I920" s="10"/>
      <c r="K920" s="7"/>
      <c r="L920" s="7"/>
      <c r="O920" s="10"/>
      <c r="R920" s="10"/>
      <c r="U920" s="16"/>
      <c r="X920" s="10"/>
      <c r="AA920" s="10"/>
      <c r="AD920" s="10"/>
    </row>
    <row r="921" customFormat="false" ht="15.75" hidden="false" customHeight="false" outlineLevel="0" collapsed="false">
      <c r="A921" s="7"/>
      <c r="B921" s="8"/>
      <c r="E921" s="3"/>
      <c r="F921" s="3"/>
      <c r="I921" s="10"/>
      <c r="K921" s="7"/>
      <c r="L921" s="7"/>
      <c r="O921" s="10"/>
      <c r="R921" s="10"/>
      <c r="U921" s="16"/>
      <c r="X921" s="10"/>
      <c r="AA921" s="10"/>
      <c r="AD921" s="10"/>
    </row>
    <row r="922" customFormat="false" ht="15.75" hidden="false" customHeight="false" outlineLevel="0" collapsed="false">
      <c r="A922" s="7"/>
      <c r="B922" s="8"/>
      <c r="E922" s="3"/>
      <c r="F922" s="3"/>
      <c r="I922" s="10"/>
      <c r="K922" s="7"/>
      <c r="L922" s="7"/>
      <c r="O922" s="10"/>
      <c r="R922" s="10"/>
      <c r="U922" s="16"/>
      <c r="X922" s="10"/>
      <c r="AA922" s="10"/>
      <c r="AD922" s="10"/>
    </row>
    <row r="923" customFormat="false" ht="15.75" hidden="false" customHeight="false" outlineLevel="0" collapsed="false">
      <c r="A923" s="7"/>
      <c r="B923" s="8"/>
      <c r="E923" s="3"/>
      <c r="F923" s="3"/>
      <c r="I923" s="10"/>
      <c r="K923" s="7"/>
      <c r="L923" s="7"/>
      <c r="O923" s="10"/>
      <c r="R923" s="10"/>
      <c r="U923" s="16"/>
      <c r="X923" s="10"/>
      <c r="AA923" s="10"/>
      <c r="AD923" s="10"/>
    </row>
    <row r="924" customFormat="false" ht="15.75" hidden="false" customHeight="false" outlineLevel="0" collapsed="false">
      <c r="A924" s="7"/>
      <c r="B924" s="8"/>
      <c r="E924" s="3"/>
      <c r="F924" s="3"/>
      <c r="I924" s="10"/>
      <c r="K924" s="7"/>
      <c r="L924" s="7"/>
      <c r="O924" s="10"/>
      <c r="R924" s="10"/>
      <c r="U924" s="16"/>
      <c r="X924" s="10"/>
      <c r="AA924" s="10"/>
      <c r="AD924" s="10"/>
    </row>
    <row r="925" customFormat="false" ht="15.75" hidden="false" customHeight="false" outlineLevel="0" collapsed="false">
      <c r="A925" s="7"/>
      <c r="B925" s="8"/>
      <c r="E925" s="3"/>
      <c r="F925" s="3"/>
      <c r="I925" s="10"/>
      <c r="K925" s="7"/>
      <c r="L925" s="7"/>
      <c r="O925" s="10"/>
      <c r="R925" s="10"/>
      <c r="U925" s="16"/>
      <c r="X925" s="10"/>
      <c r="AA925" s="10"/>
      <c r="AD925" s="10"/>
    </row>
    <row r="926" customFormat="false" ht="15.75" hidden="false" customHeight="false" outlineLevel="0" collapsed="false">
      <c r="A926" s="7"/>
      <c r="B926" s="8"/>
      <c r="E926" s="3"/>
      <c r="F926" s="3"/>
      <c r="I926" s="10"/>
      <c r="K926" s="7"/>
      <c r="L926" s="7"/>
      <c r="O926" s="10"/>
      <c r="R926" s="10"/>
      <c r="U926" s="16"/>
      <c r="X926" s="10"/>
      <c r="AA926" s="10"/>
      <c r="AD926" s="10"/>
    </row>
    <row r="927" customFormat="false" ht="15.75" hidden="false" customHeight="false" outlineLevel="0" collapsed="false">
      <c r="A927" s="7"/>
      <c r="B927" s="8"/>
      <c r="E927" s="3"/>
      <c r="F927" s="3"/>
      <c r="I927" s="10"/>
      <c r="K927" s="7"/>
      <c r="L927" s="7"/>
      <c r="O927" s="10"/>
      <c r="R927" s="10"/>
      <c r="U927" s="16"/>
      <c r="X927" s="10"/>
      <c r="AA927" s="10"/>
      <c r="AD927" s="10"/>
    </row>
    <row r="928" customFormat="false" ht="15.75" hidden="false" customHeight="false" outlineLevel="0" collapsed="false">
      <c r="A928" s="7"/>
      <c r="B928" s="8"/>
      <c r="E928" s="3"/>
      <c r="F928" s="3"/>
      <c r="I928" s="10"/>
      <c r="K928" s="7"/>
      <c r="L928" s="7"/>
      <c r="O928" s="10"/>
      <c r="R928" s="10"/>
      <c r="U928" s="16"/>
      <c r="X928" s="10"/>
      <c r="AA928" s="10"/>
      <c r="AD928" s="10"/>
    </row>
    <row r="929" customFormat="false" ht="15.75" hidden="false" customHeight="false" outlineLevel="0" collapsed="false">
      <c r="A929" s="7"/>
      <c r="B929" s="8"/>
      <c r="E929" s="3"/>
      <c r="F929" s="3"/>
      <c r="I929" s="10"/>
      <c r="K929" s="7"/>
      <c r="L929" s="7"/>
      <c r="O929" s="10"/>
      <c r="R929" s="10"/>
      <c r="U929" s="16"/>
      <c r="X929" s="10"/>
      <c r="AA929" s="10"/>
      <c r="AD929" s="10"/>
    </row>
    <row r="930" customFormat="false" ht="15.75" hidden="false" customHeight="false" outlineLevel="0" collapsed="false">
      <c r="A930" s="7"/>
      <c r="B930" s="8"/>
      <c r="E930" s="3"/>
      <c r="F930" s="3"/>
      <c r="I930" s="10"/>
      <c r="K930" s="7"/>
      <c r="L930" s="7"/>
      <c r="O930" s="10"/>
      <c r="R930" s="10"/>
      <c r="U930" s="16"/>
      <c r="X930" s="10"/>
      <c r="AA930" s="10"/>
      <c r="AD930" s="10"/>
    </row>
    <row r="931" customFormat="false" ht="15.75" hidden="false" customHeight="false" outlineLevel="0" collapsed="false">
      <c r="A931" s="7"/>
      <c r="B931" s="8"/>
      <c r="E931" s="3"/>
      <c r="F931" s="3"/>
      <c r="I931" s="10"/>
      <c r="K931" s="7"/>
      <c r="L931" s="7"/>
      <c r="O931" s="10"/>
      <c r="R931" s="10"/>
      <c r="U931" s="16"/>
      <c r="X931" s="10"/>
      <c r="AA931" s="10"/>
      <c r="AD931" s="10"/>
    </row>
    <row r="932" customFormat="false" ht="15.75" hidden="false" customHeight="false" outlineLevel="0" collapsed="false">
      <c r="A932" s="7"/>
      <c r="B932" s="8"/>
      <c r="E932" s="3"/>
      <c r="F932" s="3"/>
      <c r="I932" s="10"/>
      <c r="K932" s="7"/>
      <c r="L932" s="7"/>
      <c r="O932" s="10"/>
      <c r="R932" s="10"/>
      <c r="U932" s="16"/>
      <c r="X932" s="10"/>
      <c r="AA932" s="10"/>
      <c r="AD932" s="10"/>
    </row>
    <row r="933" customFormat="false" ht="15.75" hidden="false" customHeight="false" outlineLevel="0" collapsed="false">
      <c r="A933" s="7"/>
      <c r="B933" s="8"/>
      <c r="E933" s="3"/>
      <c r="F933" s="3"/>
      <c r="I933" s="10"/>
      <c r="K933" s="7"/>
      <c r="L933" s="7"/>
      <c r="O933" s="10"/>
      <c r="R933" s="10"/>
      <c r="U933" s="16"/>
      <c r="X933" s="10"/>
      <c r="AA933" s="10"/>
      <c r="AD933" s="10"/>
    </row>
    <row r="934" customFormat="false" ht="15.75" hidden="false" customHeight="false" outlineLevel="0" collapsed="false">
      <c r="A934" s="7"/>
      <c r="B934" s="8"/>
      <c r="E934" s="3"/>
      <c r="F934" s="3"/>
      <c r="I934" s="10"/>
      <c r="K934" s="7"/>
      <c r="L934" s="7"/>
      <c r="O934" s="10"/>
      <c r="R934" s="10"/>
      <c r="U934" s="16"/>
      <c r="X934" s="10"/>
      <c r="AA934" s="10"/>
      <c r="AD934" s="10"/>
    </row>
    <row r="935" customFormat="false" ht="15.75" hidden="false" customHeight="false" outlineLevel="0" collapsed="false">
      <c r="A935" s="7"/>
      <c r="B935" s="8"/>
      <c r="E935" s="3"/>
      <c r="F935" s="3"/>
      <c r="I935" s="10"/>
      <c r="K935" s="7"/>
      <c r="L935" s="7"/>
      <c r="O935" s="10"/>
      <c r="R935" s="10"/>
      <c r="U935" s="16"/>
      <c r="X935" s="10"/>
      <c r="AA935" s="10"/>
      <c r="AD935" s="10"/>
    </row>
    <row r="936" customFormat="false" ht="15.75" hidden="false" customHeight="false" outlineLevel="0" collapsed="false">
      <c r="A936" s="7"/>
      <c r="B936" s="8"/>
      <c r="E936" s="3"/>
      <c r="F936" s="3"/>
      <c r="I936" s="10"/>
      <c r="K936" s="7"/>
      <c r="L936" s="7"/>
      <c r="O936" s="10"/>
      <c r="R936" s="10"/>
      <c r="U936" s="16"/>
      <c r="X936" s="10"/>
      <c r="AA936" s="10"/>
      <c r="AD936" s="10"/>
    </row>
    <row r="937" customFormat="false" ht="15.75" hidden="false" customHeight="false" outlineLevel="0" collapsed="false">
      <c r="A937" s="7"/>
      <c r="B937" s="8"/>
      <c r="E937" s="3"/>
      <c r="F937" s="3"/>
      <c r="I937" s="10"/>
      <c r="K937" s="7"/>
      <c r="L937" s="7"/>
      <c r="O937" s="10"/>
      <c r="R937" s="10"/>
      <c r="U937" s="16"/>
      <c r="X937" s="10"/>
      <c r="AA937" s="10"/>
      <c r="AD937" s="10"/>
    </row>
    <row r="938" customFormat="false" ht="15.75" hidden="false" customHeight="false" outlineLevel="0" collapsed="false">
      <c r="A938" s="7"/>
      <c r="B938" s="8"/>
      <c r="E938" s="3"/>
      <c r="F938" s="3"/>
      <c r="I938" s="10"/>
      <c r="K938" s="7"/>
      <c r="L938" s="7"/>
      <c r="O938" s="10"/>
      <c r="R938" s="10"/>
      <c r="U938" s="16"/>
      <c r="X938" s="10"/>
      <c r="AA938" s="10"/>
      <c r="AD938" s="10"/>
    </row>
    <row r="939" customFormat="false" ht="15.75" hidden="false" customHeight="false" outlineLevel="0" collapsed="false">
      <c r="A939" s="7"/>
      <c r="B939" s="8"/>
      <c r="E939" s="3"/>
      <c r="F939" s="3"/>
      <c r="I939" s="10"/>
      <c r="K939" s="7"/>
      <c r="L939" s="7"/>
      <c r="O939" s="10"/>
      <c r="R939" s="10"/>
      <c r="U939" s="16"/>
      <c r="X939" s="10"/>
      <c r="AA939" s="10"/>
      <c r="AD939" s="10"/>
    </row>
    <row r="940" customFormat="false" ht="15.75" hidden="false" customHeight="false" outlineLevel="0" collapsed="false">
      <c r="A940" s="7"/>
      <c r="B940" s="8"/>
      <c r="E940" s="3"/>
      <c r="F940" s="3"/>
      <c r="I940" s="10"/>
      <c r="K940" s="7"/>
      <c r="L940" s="7"/>
      <c r="O940" s="10"/>
      <c r="R940" s="10"/>
      <c r="U940" s="16"/>
      <c r="X940" s="10"/>
      <c r="AA940" s="10"/>
      <c r="AD940" s="10"/>
    </row>
    <row r="941" customFormat="false" ht="15.75" hidden="false" customHeight="false" outlineLevel="0" collapsed="false">
      <c r="A941" s="7"/>
      <c r="B941" s="8"/>
      <c r="E941" s="3"/>
      <c r="F941" s="3"/>
      <c r="I941" s="10"/>
      <c r="K941" s="7"/>
      <c r="L941" s="7"/>
      <c r="O941" s="10"/>
      <c r="R941" s="10"/>
      <c r="U941" s="16"/>
      <c r="X941" s="10"/>
      <c r="AA941" s="10"/>
      <c r="AD941" s="10"/>
    </row>
    <row r="942" customFormat="false" ht="15.75" hidden="false" customHeight="false" outlineLevel="0" collapsed="false">
      <c r="A942" s="7"/>
      <c r="B942" s="8"/>
      <c r="E942" s="3"/>
      <c r="F942" s="3"/>
      <c r="I942" s="10"/>
      <c r="K942" s="7"/>
      <c r="L942" s="7"/>
      <c r="O942" s="10"/>
      <c r="R942" s="10"/>
      <c r="U942" s="16"/>
      <c r="X942" s="10"/>
      <c r="AA942" s="10"/>
      <c r="AD942" s="10"/>
    </row>
    <row r="943" customFormat="false" ht="15.75" hidden="false" customHeight="false" outlineLevel="0" collapsed="false">
      <c r="A943" s="7"/>
      <c r="B943" s="8"/>
      <c r="E943" s="3"/>
      <c r="F943" s="3"/>
      <c r="I943" s="10"/>
      <c r="K943" s="7"/>
      <c r="L943" s="7"/>
      <c r="O943" s="10"/>
      <c r="R943" s="10"/>
      <c r="U943" s="16"/>
      <c r="X943" s="10"/>
      <c r="AA943" s="10"/>
      <c r="AD943" s="10"/>
    </row>
    <row r="944" customFormat="false" ht="15.75" hidden="false" customHeight="false" outlineLevel="0" collapsed="false">
      <c r="A944" s="7"/>
      <c r="B944" s="8"/>
      <c r="E944" s="3"/>
      <c r="F944" s="3"/>
      <c r="I944" s="10"/>
      <c r="K944" s="7"/>
      <c r="L944" s="7"/>
      <c r="O944" s="10"/>
      <c r="R944" s="10"/>
      <c r="U944" s="16"/>
      <c r="X944" s="10"/>
      <c r="AA944" s="10"/>
      <c r="AD944" s="10"/>
    </row>
    <row r="945" customFormat="false" ht="15.75" hidden="false" customHeight="false" outlineLevel="0" collapsed="false">
      <c r="A945" s="7"/>
      <c r="B945" s="8"/>
      <c r="E945" s="3"/>
      <c r="F945" s="3"/>
      <c r="I945" s="10"/>
      <c r="K945" s="7"/>
      <c r="L945" s="7"/>
      <c r="O945" s="10"/>
      <c r="R945" s="10"/>
      <c r="U945" s="16"/>
      <c r="X945" s="10"/>
      <c r="AA945" s="10"/>
      <c r="AD945" s="10"/>
    </row>
    <row r="946" customFormat="false" ht="15.75" hidden="false" customHeight="false" outlineLevel="0" collapsed="false">
      <c r="A946" s="7"/>
      <c r="B946" s="8"/>
      <c r="E946" s="3"/>
      <c r="F946" s="3"/>
      <c r="I946" s="10"/>
      <c r="K946" s="7"/>
      <c r="L946" s="7"/>
      <c r="O946" s="10"/>
      <c r="R946" s="10"/>
      <c r="U946" s="16"/>
      <c r="X946" s="10"/>
      <c r="AA946" s="10"/>
      <c r="AD946" s="10"/>
    </row>
    <row r="947" customFormat="false" ht="15.75" hidden="false" customHeight="false" outlineLevel="0" collapsed="false">
      <c r="A947" s="7"/>
      <c r="B947" s="8"/>
      <c r="E947" s="3"/>
      <c r="F947" s="3"/>
      <c r="I947" s="10"/>
      <c r="K947" s="7"/>
      <c r="L947" s="7"/>
      <c r="O947" s="10"/>
      <c r="R947" s="10"/>
      <c r="U947" s="16"/>
      <c r="X947" s="10"/>
      <c r="AA947" s="10"/>
      <c r="AD947" s="10"/>
    </row>
    <row r="948" customFormat="false" ht="15.75" hidden="false" customHeight="false" outlineLevel="0" collapsed="false">
      <c r="A948" s="7"/>
      <c r="B948" s="8"/>
      <c r="E948" s="3"/>
      <c r="F948" s="3"/>
      <c r="I948" s="10"/>
      <c r="K948" s="7"/>
      <c r="L948" s="7"/>
      <c r="O948" s="10"/>
      <c r="R948" s="10"/>
      <c r="U948" s="16"/>
      <c r="X948" s="10"/>
      <c r="AA948" s="10"/>
      <c r="AD948" s="10"/>
    </row>
    <row r="949" customFormat="false" ht="15.75" hidden="false" customHeight="false" outlineLevel="0" collapsed="false">
      <c r="A949" s="7"/>
      <c r="B949" s="8"/>
      <c r="E949" s="3"/>
      <c r="F949" s="3"/>
      <c r="I949" s="10"/>
      <c r="K949" s="7"/>
      <c r="L949" s="7"/>
      <c r="O949" s="10"/>
      <c r="R949" s="10"/>
      <c r="U949" s="16"/>
      <c r="X949" s="10"/>
      <c r="AA949" s="10"/>
      <c r="AD949" s="10"/>
    </row>
    <row r="950" customFormat="false" ht="15.75" hidden="false" customHeight="false" outlineLevel="0" collapsed="false">
      <c r="A950" s="7"/>
      <c r="B950" s="8"/>
      <c r="E950" s="3"/>
      <c r="F950" s="3"/>
      <c r="I950" s="10"/>
      <c r="K950" s="7"/>
      <c r="L950" s="7"/>
      <c r="O950" s="10"/>
      <c r="R950" s="10"/>
      <c r="U950" s="16"/>
      <c r="X950" s="10"/>
      <c r="AA950" s="10"/>
      <c r="AD950" s="10"/>
    </row>
    <row r="951" customFormat="false" ht="15.75" hidden="false" customHeight="false" outlineLevel="0" collapsed="false">
      <c r="A951" s="7"/>
      <c r="B951" s="8"/>
      <c r="E951" s="3"/>
      <c r="F951" s="3"/>
      <c r="I951" s="10"/>
      <c r="K951" s="7"/>
      <c r="L951" s="7"/>
      <c r="O951" s="10"/>
      <c r="R951" s="10"/>
      <c r="U951" s="16"/>
      <c r="X951" s="10"/>
      <c r="AA951" s="10"/>
      <c r="AD951" s="10"/>
    </row>
    <row r="952" customFormat="false" ht="15.75" hidden="false" customHeight="false" outlineLevel="0" collapsed="false">
      <c r="A952" s="7"/>
      <c r="B952" s="8"/>
      <c r="E952" s="3"/>
      <c r="F952" s="3"/>
      <c r="I952" s="10"/>
      <c r="K952" s="7"/>
      <c r="L952" s="7"/>
      <c r="O952" s="10"/>
      <c r="R952" s="10"/>
      <c r="U952" s="16"/>
      <c r="X952" s="10"/>
      <c r="AA952" s="10"/>
      <c r="AD952" s="10"/>
    </row>
    <row r="953" customFormat="false" ht="15.75" hidden="false" customHeight="false" outlineLevel="0" collapsed="false">
      <c r="A953" s="7"/>
      <c r="B953" s="8"/>
      <c r="E953" s="3"/>
      <c r="F953" s="3"/>
      <c r="I953" s="10"/>
      <c r="K953" s="7"/>
      <c r="L953" s="7"/>
      <c r="O953" s="10"/>
      <c r="R953" s="10"/>
      <c r="U953" s="16"/>
      <c r="X953" s="10"/>
      <c r="AA953" s="10"/>
      <c r="AD953" s="10"/>
    </row>
    <row r="954" customFormat="false" ht="15.75" hidden="false" customHeight="false" outlineLevel="0" collapsed="false">
      <c r="A954" s="7"/>
      <c r="B954" s="8"/>
      <c r="E954" s="3"/>
      <c r="F954" s="3"/>
      <c r="I954" s="10"/>
      <c r="K954" s="7"/>
      <c r="L954" s="7"/>
      <c r="O954" s="10"/>
      <c r="R954" s="10"/>
      <c r="U954" s="16"/>
      <c r="X954" s="10"/>
      <c r="AA954" s="10"/>
      <c r="AD954" s="10"/>
    </row>
    <row r="955" customFormat="false" ht="15.75" hidden="false" customHeight="false" outlineLevel="0" collapsed="false">
      <c r="A955" s="7"/>
      <c r="B955" s="8"/>
      <c r="E955" s="3"/>
      <c r="F955" s="3"/>
      <c r="I955" s="10"/>
      <c r="K955" s="7"/>
      <c r="L955" s="7"/>
      <c r="O955" s="10"/>
      <c r="R955" s="10"/>
      <c r="U955" s="16"/>
      <c r="X955" s="10"/>
      <c r="AA955" s="10"/>
      <c r="AD955" s="10"/>
    </row>
    <row r="956" customFormat="false" ht="15.75" hidden="false" customHeight="false" outlineLevel="0" collapsed="false">
      <c r="A956" s="7"/>
      <c r="B956" s="8"/>
      <c r="E956" s="3"/>
      <c r="F956" s="3"/>
      <c r="I956" s="10"/>
      <c r="K956" s="7"/>
      <c r="L956" s="7"/>
      <c r="O956" s="10"/>
      <c r="R956" s="10"/>
      <c r="U956" s="16"/>
      <c r="X956" s="10"/>
      <c r="AA956" s="10"/>
      <c r="AD956" s="10"/>
    </row>
    <row r="957" customFormat="false" ht="15.75" hidden="false" customHeight="false" outlineLevel="0" collapsed="false">
      <c r="A957" s="7"/>
      <c r="B957" s="8"/>
      <c r="E957" s="3"/>
      <c r="F957" s="3"/>
      <c r="I957" s="10"/>
      <c r="K957" s="7"/>
      <c r="L957" s="7"/>
      <c r="O957" s="10"/>
      <c r="R957" s="10"/>
      <c r="U957" s="16"/>
      <c r="X957" s="10"/>
      <c r="AA957" s="10"/>
      <c r="AD957" s="10"/>
    </row>
    <row r="958" customFormat="false" ht="15.75" hidden="false" customHeight="false" outlineLevel="0" collapsed="false">
      <c r="A958" s="7"/>
      <c r="B958" s="8"/>
      <c r="E958" s="3"/>
      <c r="F958" s="3"/>
      <c r="I958" s="10"/>
      <c r="K958" s="7"/>
      <c r="L958" s="7"/>
      <c r="O958" s="10"/>
      <c r="R958" s="10"/>
      <c r="U958" s="16"/>
      <c r="X958" s="10"/>
      <c r="AA958" s="10"/>
      <c r="AD958" s="10"/>
    </row>
    <row r="959" customFormat="false" ht="15.75" hidden="false" customHeight="false" outlineLevel="0" collapsed="false">
      <c r="A959" s="7"/>
      <c r="B959" s="8"/>
      <c r="E959" s="3"/>
      <c r="F959" s="3"/>
      <c r="I959" s="10"/>
      <c r="K959" s="7"/>
      <c r="L959" s="7"/>
      <c r="O959" s="10"/>
      <c r="R959" s="10"/>
      <c r="U959" s="16"/>
      <c r="X959" s="10"/>
      <c r="AA959" s="10"/>
      <c r="AD959" s="10"/>
    </row>
    <row r="960" customFormat="false" ht="15.75" hidden="false" customHeight="false" outlineLevel="0" collapsed="false">
      <c r="A960" s="7"/>
      <c r="B960" s="8"/>
      <c r="E960" s="3"/>
      <c r="F960" s="3"/>
      <c r="I960" s="10"/>
      <c r="K960" s="7"/>
      <c r="L960" s="7"/>
      <c r="O960" s="10"/>
      <c r="R960" s="10"/>
      <c r="U960" s="16"/>
      <c r="X960" s="10"/>
      <c r="AA960" s="10"/>
      <c r="AD960" s="10"/>
    </row>
    <row r="961" customFormat="false" ht="15.75" hidden="false" customHeight="false" outlineLevel="0" collapsed="false">
      <c r="A961" s="7"/>
      <c r="B961" s="8"/>
      <c r="E961" s="3"/>
      <c r="F961" s="3"/>
      <c r="I961" s="10"/>
      <c r="K961" s="7"/>
      <c r="L961" s="7"/>
      <c r="O961" s="10"/>
      <c r="R961" s="10"/>
      <c r="U961" s="16"/>
      <c r="X961" s="10"/>
      <c r="AA961" s="10"/>
      <c r="AD961" s="10"/>
    </row>
    <row r="962" customFormat="false" ht="15.75" hidden="false" customHeight="false" outlineLevel="0" collapsed="false">
      <c r="A962" s="7"/>
      <c r="B962" s="8"/>
      <c r="E962" s="3"/>
      <c r="F962" s="3"/>
      <c r="I962" s="10"/>
      <c r="K962" s="7"/>
      <c r="L962" s="7"/>
      <c r="O962" s="10"/>
      <c r="R962" s="10"/>
      <c r="U962" s="16"/>
      <c r="X962" s="10"/>
      <c r="AA962" s="10"/>
      <c r="AD962" s="10"/>
    </row>
    <row r="963" customFormat="false" ht="15.75" hidden="false" customHeight="false" outlineLevel="0" collapsed="false">
      <c r="A963" s="7"/>
      <c r="B963" s="8"/>
      <c r="E963" s="3"/>
      <c r="F963" s="3"/>
      <c r="I963" s="10"/>
      <c r="K963" s="7"/>
      <c r="L963" s="7"/>
      <c r="O963" s="10"/>
      <c r="R963" s="10"/>
      <c r="U963" s="16"/>
      <c r="X963" s="10"/>
      <c r="AA963" s="10"/>
      <c r="AD963" s="10"/>
    </row>
    <row r="964" customFormat="false" ht="15.75" hidden="false" customHeight="false" outlineLevel="0" collapsed="false">
      <c r="A964" s="7"/>
      <c r="B964" s="8"/>
      <c r="E964" s="3"/>
      <c r="F964" s="3"/>
      <c r="I964" s="10"/>
      <c r="K964" s="7"/>
      <c r="L964" s="7"/>
      <c r="O964" s="10"/>
      <c r="R964" s="10"/>
      <c r="U964" s="16"/>
      <c r="X964" s="10"/>
      <c r="AA964" s="10"/>
      <c r="AD964" s="10"/>
    </row>
    <row r="965" customFormat="false" ht="15.75" hidden="false" customHeight="false" outlineLevel="0" collapsed="false">
      <c r="A965" s="7"/>
      <c r="B965" s="8"/>
      <c r="E965" s="3"/>
      <c r="F965" s="3"/>
      <c r="I965" s="10"/>
      <c r="K965" s="7"/>
      <c r="L965" s="7"/>
      <c r="O965" s="10"/>
      <c r="R965" s="10"/>
      <c r="U965" s="16"/>
      <c r="X965" s="10"/>
      <c r="AA965" s="10"/>
      <c r="AD965" s="10"/>
    </row>
    <row r="966" customFormat="false" ht="15.75" hidden="false" customHeight="false" outlineLevel="0" collapsed="false">
      <c r="A966" s="7"/>
      <c r="B966" s="8"/>
      <c r="E966" s="3"/>
      <c r="F966" s="3"/>
      <c r="I966" s="10"/>
      <c r="K966" s="7"/>
      <c r="L966" s="7"/>
      <c r="O966" s="10"/>
      <c r="R966" s="10"/>
      <c r="U966" s="16"/>
      <c r="X966" s="10"/>
      <c r="AA966" s="10"/>
      <c r="AD966" s="10"/>
    </row>
    <row r="967" customFormat="false" ht="15.75" hidden="false" customHeight="false" outlineLevel="0" collapsed="false">
      <c r="A967" s="7"/>
      <c r="B967" s="8"/>
      <c r="E967" s="3"/>
      <c r="F967" s="3"/>
      <c r="I967" s="10"/>
      <c r="K967" s="7"/>
      <c r="L967" s="7"/>
      <c r="O967" s="10"/>
      <c r="R967" s="10"/>
      <c r="U967" s="16"/>
      <c r="X967" s="10"/>
      <c r="AA967" s="10"/>
      <c r="AD967" s="10"/>
    </row>
    <row r="968" customFormat="false" ht="15.75" hidden="false" customHeight="false" outlineLevel="0" collapsed="false">
      <c r="A968" s="7"/>
      <c r="B968" s="8"/>
      <c r="E968" s="3"/>
      <c r="F968" s="3"/>
      <c r="I968" s="10"/>
      <c r="K968" s="7"/>
      <c r="L968" s="7"/>
      <c r="O968" s="10"/>
      <c r="R968" s="10"/>
      <c r="U968" s="16"/>
      <c r="X968" s="10"/>
      <c r="AA968" s="10"/>
      <c r="AD968" s="10"/>
    </row>
    <row r="969" customFormat="false" ht="15.75" hidden="false" customHeight="false" outlineLevel="0" collapsed="false">
      <c r="A969" s="7"/>
      <c r="B969" s="8"/>
      <c r="E969" s="3"/>
      <c r="F969" s="3"/>
      <c r="I969" s="10"/>
      <c r="K969" s="7"/>
      <c r="L969" s="7"/>
      <c r="O969" s="10"/>
      <c r="R969" s="10"/>
      <c r="U969" s="16"/>
      <c r="X969" s="10"/>
      <c r="AA969" s="10"/>
      <c r="AD969" s="10"/>
    </row>
    <row r="970" customFormat="false" ht="15.75" hidden="false" customHeight="false" outlineLevel="0" collapsed="false">
      <c r="A970" s="7"/>
      <c r="B970" s="8"/>
      <c r="E970" s="3"/>
      <c r="F970" s="3"/>
      <c r="I970" s="10"/>
      <c r="K970" s="7"/>
      <c r="L970" s="7"/>
      <c r="O970" s="10"/>
      <c r="R970" s="10"/>
      <c r="U970" s="16"/>
      <c r="X970" s="10"/>
      <c r="AA970" s="10"/>
      <c r="AD970" s="10"/>
    </row>
    <row r="971" customFormat="false" ht="15.75" hidden="false" customHeight="false" outlineLevel="0" collapsed="false">
      <c r="A971" s="7"/>
      <c r="B971" s="8"/>
      <c r="E971" s="3"/>
      <c r="F971" s="3"/>
      <c r="I971" s="10"/>
      <c r="K971" s="7"/>
      <c r="L971" s="7"/>
      <c r="O971" s="10"/>
      <c r="R971" s="10"/>
      <c r="U971" s="16"/>
      <c r="X971" s="10"/>
      <c r="AA971" s="10"/>
      <c r="AD971" s="10"/>
    </row>
    <row r="972" customFormat="false" ht="15.75" hidden="false" customHeight="false" outlineLevel="0" collapsed="false">
      <c r="A972" s="7"/>
      <c r="B972" s="8"/>
      <c r="E972" s="3"/>
      <c r="F972" s="3"/>
      <c r="I972" s="10"/>
      <c r="K972" s="7"/>
      <c r="L972" s="7"/>
      <c r="O972" s="10"/>
      <c r="R972" s="10"/>
      <c r="U972" s="16"/>
      <c r="X972" s="10"/>
      <c r="AA972" s="10"/>
      <c r="AD972" s="10"/>
    </row>
    <row r="973" customFormat="false" ht="15.75" hidden="false" customHeight="false" outlineLevel="0" collapsed="false">
      <c r="A973" s="7"/>
      <c r="B973" s="8"/>
      <c r="E973" s="3"/>
      <c r="F973" s="3"/>
      <c r="I973" s="10"/>
      <c r="K973" s="7"/>
      <c r="L973" s="7"/>
      <c r="O973" s="10"/>
      <c r="R973" s="10"/>
      <c r="U973" s="16"/>
      <c r="X973" s="10"/>
      <c r="AA973" s="10"/>
      <c r="AD973" s="10"/>
    </row>
    <row r="974" customFormat="false" ht="15.75" hidden="false" customHeight="false" outlineLevel="0" collapsed="false">
      <c r="A974" s="7"/>
      <c r="B974" s="8"/>
      <c r="E974" s="3"/>
      <c r="F974" s="3"/>
      <c r="I974" s="10"/>
      <c r="K974" s="7"/>
      <c r="L974" s="7"/>
      <c r="O974" s="10"/>
      <c r="R974" s="10"/>
      <c r="U974" s="16"/>
      <c r="X974" s="10"/>
      <c r="AA974" s="10"/>
      <c r="AD974" s="10"/>
    </row>
    <row r="975" customFormat="false" ht="15.75" hidden="false" customHeight="false" outlineLevel="0" collapsed="false">
      <c r="A975" s="7"/>
      <c r="B975" s="8"/>
      <c r="E975" s="3"/>
      <c r="F975" s="3"/>
      <c r="I975" s="10"/>
      <c r="K975" s="7"/>
      <c r="L975" s="7"/>
      <c r="O975" s="10"/>
      <c r="R975" s="10"/>
      <c r="U975" s="16"/>
      <c r="X975" s="10"/>
      <c r="AA975" s="10"/>
      <c r="AD975" s="10"/>
    </row>
    <row r="976" customFormat="false" ht="15.75" hidden="false" customHeight="false" outlineLevel="0" collapsed="false">
      <c r="A976" s="7"/>
      <c r="B976" s="8"/>
      <c r="E976" s="3"/>
      <c r="F976" s="3"/>
      <c r="I976" s="10"/>
      <c r="K976" s="7"/>
      <c r="L976" s="7"/>
      <c r="O976" s="10"/>
      <c r="R976" s="10"/>
      <c r="U976" s="16"/>
      <c r="X976" s="10"/>
      <c r="AA976" s="10"/>
      <c r="AD976" s="10"/>
    </row>
    <row r="977" customFormat="false" ht="15.75" hidden="false" customHeight="false" outlineLevel="0" collapsed="false">
      <c r="A977" s="7"/>
      <c r="B977" s="8"/>
      <c r="E977" s="3"/>
      <c r="F977" s="3"/>
      <c r="I977" s="10"/>
      <c r="K977" s="7"/>
      <c r="L977" s="7"/>
      <c r="O977" s="10"/>
      <c r="R977" s="10"/>
      <c r="U977" s="16"/>
      <c r="X977" s="10"/>
      <c r="AA977" s="10"/>
      <c r="AD977" s="10"/>
    </row>
    <row r="978" customFormat="false" ht="15.75" hidden="false" customHeight="false" outlineLevel="0" collapsed="false">
      <c r="A978" s="7"/>
      <c r="B978" s="8"/>
      <c r="E978" s="3"/>
      <c r="F978" s="3"/>
      <c r="I978" s="10"/>
      <c r="K978" s="7"/>
      <c r="L978" s="7"/>
      <c r="O978" s="10"/>
      <c r="R978" s="10"/>
      <c r="U978" s="16"/>
      <c r="X978" s="10"/>
      <c r="AA978" s="10"/>
      <c r="AD978" s="10"/>
    </row>
    <row r="979" customFormat="false" ht="15.75" hidden="false" customHeight="false" outlineLevel="0" collapsed="false">
      <c r="A979" s="7"/>
      <c r="B979" s="8"/>
      <c r="E979" s="3"/>
      <c r="F979" s="3"/>
      <c r="I979" s="10"/>
      <c r="K979" s="7"/>
      <c r="L979" s="7"/>
      <c r="O979" s="10"/>
      <c r="R979" s="10"/>
      <c r="U979" s="16"/>
      <c r="X979" s="10"/>
      <c r="AA979" s="10"/>
      <c r="AD979" s="10"/>
    </row>
    <row r="980" customFormat="false" ht="15.75" hidden="false" customHeight="false" outlineLevel="0" collapsed="false">
      <c r="A980" s="7"/>
      <c r="B980" s="8"/>
      <c r="E980" s="3"/>
      <c r="F980" s="3"/>
      <c r="I980" s="10"/>
      <c r="K980" s="7"/>
      <c r="L980" s="7"/>
      <c r="O980" s="10"/>
      <c r="R980" s="10"/>
      <c r="U980" s="16"/>
      <c r="X980" s="10"/>
      <c r="AA980" s="10"/>
      <c r="AD980" s="10"/>
    </row>
    <row r="981" customFormat="false" ht="15.75" hidden="false" customHeight="false" outlineLevel="0" collapsed="false">
      <c r="A981" s="7"/>
      <c r="B981" s="8"/>
      <c r="E981" s="3"/>
      <c r="F981" s="3"/>
      <c r="I981" s="10"/>
      <c r="K981" s="7"/>
      <c r="L981" s="7"/>
      <c r="O981" s="10"/>
      <c r="R981" s="10"/>
      <c r="U981" s="16"/>
      <c r="X981" s="10"/>
      <c r="AA981" s="10"/>
      <c r="AD981" s="10"/>
    </row>
    <row r="982" customFormat="false" ht="15.75" hidden="false" customHeight="false" outlineLevel="0" collapsed="false">
      <c r="A982" s="7"/>
      <c r="B982" s="8"/>
      <c r="E982" s="3"/>
      <c r="F982" s="3"/>
      <c r="I982" s="10"/>
      <c r="K982" s="7"/>
      <c r="L982" s="7"/>
      <c r="O982" s="10"/>
      <c r="R982" s="10"/>
      <c r="U982" s="16"/>
      <c r="X982" s="10"/>
      <c r="AA982" s="10"/>
      <c r="AD982" s="10"/>
    </row>
    <row r="983" customFormat="false" ht="15.75" hidden="false" customHeight="false" outlineLevel="0" collapsed="false">
      <c r="A983" s="7"/>
      <c r="B983" s="8"/>
      <c r="E983" s="3"/>
      <c r="F983" s="3"/>
      <c r="I983" s="10"/>
      <c r="K983" s="7"/>
      <c r="L983" s="7"/>
      <c r="O983" s="10"/>
      <c r="R983" s="10"/>
      <c r="U983" s="16"/>
      <c r="X983" s="10"/>
      <c r="AA983" s="10"/>
      <c r="AD983" s="10"/>
    </row>
    <row r="984" customFormat="false" ht="15.75" hidden="false" customHeight="false" outlineLevel="0" collapsed="false">
      <c r="A984" s="7"/>
      <c r="B984" s="8"/>
      <c r="E984" s="3"/>
      <c r="F984" s="3"/>
      <c r="I984" s="10"/>
      <c r="K984" s="7"/>
      <c r="L984" s="7"/>
      <c r="O984" s="10"/>
      <c r="R984" s="10"/>
      <c r="U984" s="16"/>
      <c r="X984" s="10"/>
      <c r="AA984" s="10"/>
      <c r="AD984" s="10"/>
    </row>
    <row r="985" customFormat="false" ht="15.75" hidden="false" customHeight="false" outlineLevel="0" collapsed="false">
      <c r="A985" s="7"/>
      <c r="B985" s="8"/>
      <c r="E985" s="3"/>
      <c r="F985" s="3"/>
      <c r="I985" s="10"/>
      <c r="K985" s="7"/>
      <c r="L985" s="7"/>
      <c r="O985" s="10"/>
      <c r="R985" s="10"/>
      <c r="U985" s="16"/>
      <c r="X985" s="10"/>
      <c r="AA985" s="10"/>
      <c r="AD985" s="10"/>
    </row>
    <row r="986" customFormat="false" ht="15.75" hidden="false" customHeight="false" outlineLevel="0" collapsed="false">
      <c r="A986" s="7"/>
      <c r="B986" s="8"/>
      <c r="E986" s="3"/>
      <c r="F986" s="3"/>
      <c r="I986" s="10"/>
      <c r="K986" s="7"/>
      <c r="L986" s="7"/>
      <c r="O986" s="10"/>
      <c r="R986" s="10"/>
      <c r="U986" s="16"/>
      <c r="X986" s="10"/>
      <c r="AA986" s="10"/>
      <c r="AD986" s="10"/>
    </row>
    <row r="987" customFormat="false" ht="15.75" hidden="false" customHeight="false" outlineLevel="0" collapsed="false">
      <c r="A987" s="7"/>
      <c r="B987" s="8"/>
      <c r="E987" s="3"/>
      <c r="F987" s="3"/>
      <c r="I987" s="10"/>
      <c r="K987" s="7"/>
      <c r="L987" s="7"/>
      <c r="O987" s="10"/>
      <c r="R987" s="10"/>
      <c r="U987" s="16"/>
      <c r="X987" s="10"/>
      <c r="AA987" s="10"/>
      <c r="AD987" s="10"/>
    </row>
    <row r="988" customFormat="false" ht="15.75" hidden="false" customHeight="false" outlineLevel="0" collapsed="false">
      <c r="A988" s="7"/>
      <c r="B988" s="8"/>
      <c r="E988" s="3"/>
      <c r="F988" s="3"/>
      <c r="I988" s="10"/>
      <c r="K988" s="7"/>
      <c r="L988" s="7"/>
      <c r="O988" s="10"/>
      <c r="R988" s="10"/>
      <c r="U988" s="16"/>
      <c r="X988" s="10"/>
      <c r="AA988" s="10"/>
      <c r="AD988" s="10"/>
    </row>
    <row r="989" customFormat="false" ht="15.75" hidden="false" customHeight="false" outlineLevel="0" collapsed="false">
      <c r="A989" s="7"/>
      <c r="B989" s="8"/>
      <c r="E989" s="3"/>
      <c r="F989" s="3"/>
      <c r="I989" s="10"/>
      <c r="K989" s="7"/>
      <c r="L989" s="7"/>
      <c r="O989" s="10"/>
      <c r="R989" s="10"/>
      <c r="U989" s="16"/>
      <c r="X989" s="10"/>
      <c r="AA989" s="10"/>
      <c r="AD989" s="10"/>
    </row>
    <row r="990" customFormat="false" ht="15.75" hidden="false" customHeight="false" outlineLevel="0" collapsed="false">
      <c r="A990" s="7"/>
      <c r="B990" s="8"/>
      <c r="E990" s="3"/>
      <c r="F990" s="3"/>
      <c r="I990" s="10"/>
      <c r="K990" s="7"/>
      <c r="L990" s="7"/>
      <c r="O990" s="10"/>
      <c r="R990" s="10"/>
      <c r="U990" s="16"/>
      <c r="X990" s="10"/>
      <c r="AA990" s="10"/>
      <c r="AD990" s="10"/>
    </row>
    <row r="991" customFormat="false" ht="15.75" hidden="false" customHeight="false" outlineLevel="0" collapsed="false">
      <c r="A991" s="7"/>
      <c r="B991" s="8"/>
      <c r="E991" s="3"/>
      <c r="F991" s="3"/>
      <c r="I991" s="10"/>
      <c r="K991" s="7"/>
      <c r="L991" s="7"/>
      <c r="O991" s="10"/>
      <c r="R991" s="10"/>
      <c r="U991" s="16"/>
      <c r="X991" s="10"/>
      <c r="AA991" s="10"/>
      <c r="AD991" s="10"/>
    </row>
    <row r="992" customFormat="false" ht="15.75" hidden="false" customHeight="false" outlineLevel="0" collapsed="false">
      <c r="A992" s="7"/>
      <c r="B992" s="8"/>
      <c r="E992" s="3"/>
      <c r="F992" s="3"/>
      <c r="I992" s="10"/>
      <c r="K992" s="7"/>
      <c r="L992" s="7"/>
      <c r="O992" s="10"/>
      <c r="R992" s="10"/>
      <c r="U992" s="16"/>
      <c r="X992" s="10"/>
      <c r="AA992" s="10"/>
      <c r="AD992" s="10"/>
    </row>
    <row r="993" customFormat="false" ht="15.75" hidden="false" customHeight="false" outlineLevel="0" collapsed="false">
      <c r="A993" s="7"/>
      <c r="B993" s="8"/>
      <c r="E993" s="3"/>
      <c r="F993" s="3"/>
      <c r="I993" s="10"/>
      <c r="K993" s="7"/>
      <c r="L993" s="7"/>
      <c r="O993" s="10"/>
      <c r="R993" s="10"/>
      <c r="U993" s="16"/>
      <c r="X993" s="10"/>
      <c r="AA993" s="10"/>
      <c r="AD993" s="10"/>
    </row>
    <row r="994" customFormat="false" ht="15.75" hidden="false" customHeight="false" outlineLevel="0" collapsed="false">
      <c r="A994" s="7"/>
      <c r="B994" s="8"/>
      <c r="E994" s="3"/>
      <c r="F994" s="3"/>
      <c r="I994" s="10"/>
      <c r="K994" s="7"/>
      <c r="L994" s="7"/>
      <c r="O994" s="10"/>
      <c r="R994" s="10"/>
      <c r="U994" s="16"/>
      <c r="X994" s="10"/>
      <c r="AA994" s="10"/>
      <c r="AD994" s="10"/>
    </row>
    <row r="995" customFormat="false" ht="15.75" hidden="false" customHeight="false" outlineLevel="0" collapsed="false">
      <c r="A995" s="7"/>
      <c r="B995" s="8"/>
      <c r="E995" s="3"/>
      <c r="F995" s="3"/>
      <c r="I995" s="10"/>
      <c r="K995" s="7"/>
      <c r="L995" s="7"/>
      <c r="O995" s="10"/>
      <c r="R995" s="10"/>
      <c r="U995" s="16"/>
      <c r="X995" s="10"/>
      <c r="AA995" s="10"/>
      <c r="AD995" s="10"/>
    </row>
    <row r="996" customFormat="false" ht="15.75" hidden="false" customHeight="false" outlineLevel="0" collapsed="false">
      <c r="A996" s="7"/>
      <c r="B996" s="8"/>
      <c r="E996" s="3"/>
      <c r="F996" s="3"/>
      <c r="I996" s="10"/>
      <c r="K996" s="7"/>
      <c r="L996" s="7"/>
      <c r="O996" s="10"/>
      <c r="R996" s="10"/>
      <c r="U996" s="16"/>
      <c r="X996" s="10"/>
      <c r="AA996" s="10"/>
      <c r="AD996" s="10"/>
    </row>
    <row r="997" customFormat="false" ht="15.75" hidden="false" customHeight="false" outlineLevel="0" collapsed="false">
      <c r="A997" s="7"/>
      <c r="B997" s="8"/>
      <c r="E997" s="3"/>
      <c r="F997" s="3"/>
      <c r="I997" s="10"/>
      <c r="K997" s="7"/>
      <c r="L997" s="7"/>
      <c r="O997" s="10"/>
      <c r="R997" s="10"/>
      <c r="U997" s="16"/>
      <c r="X997" s="10"/>
      <c r="AA997" s="10"/>
      <c r="AD997" s="10"/>
    </row>
    <row r="998" customFormat="false" ht="15.75" hidden="false" customHeight="false" outlineLevel="0" collapsed="false">
      <c r="A998" s="7"/>
      <c r="B998" s="8"/>
      <c r="E998" s="3"/>
      <c r="F998" s="3"/>
      <c r="I998" s="10"/>
      <c r="K998" s="7"/>
      <c r="L998" s="7"/>
      <c r="O998" s="10"/>
      <c r="R998" s="10"/>
      <c r="U998" s="16"/>
      <c r="X998" s="10"/>
      <c r="AA998" s="10"/>
      <c r="AD998" s="10"/>
    </row>
    <row r="999" customFormat="false" ht="15.75" hidden="false" customHeight="false" outlineLevel="0" collapsed="false">
      <c r="A999" s="7"/>
      <c r="B999" s="8"/>
      <c r="E999" s="3"/>
      <c r="F999" s="3"/>
      <c r="I999" s="10"/>
      <c r="K999" s="7"/>
      <c r="L999" s="7"/>
      <c r="O999" s="10"/>
      <c r="R999" s="10"/>
      <c r="U999" s="16"/>
      <c r="X999" s="10"/>
      <c r="AA999" s="10"/>
      <c r="AD999" s="10"/>
    </row>
    <row r="1000" customFormat="false" ht="15.75" hidden="false" customHeight="false" outlineLevel="0" collapsed="false">
      <c r="A1000" s="7"/>
      <c r="B1000" s="8"/>
      <c r="E1000" s="3"/>
      <c r="F1000" s="3"/>
      <c r="I1000" s="10"/>
      <c r="K1000" s="7"/>
      <c r="L1000" s="7"/>
      <c r="O1000" s="10"/>
      <c r="R1000" s="10"/>
      <c r="U1000" s="16"/>
      <c r="X1000" s="10"/>
      <c r="AA1000" s="10"/>
      <c r="AD1000" s="10"/>
    </row>
    <row r="1001" customFormat="false" ht="15.75" hidden="false" customHeight="false" outlineLevel="0" collapsed="false">
      <c r="A1001" s="7"/>
      <c r="B1001" s="8"/>
      <c r="E1001" s="3"/>
      <c r="F1001" s="3"/>
      <c r="I1001" s="10"/>
      <c r="K1001" s="7"/>
      <c r="L1001" s="7"/>
      <c r="O1001" s="10"/>
      <c r="R1001" s="10"/>
      <c r="U1001" s="16"/>
      <c r="X1001" s="10"/>
      <c r="AA1001" s="10"/>
      <c r="AD1001" s="10"/>
    </row>
    <row r="1002" customFormat="false" ht="15.75" hidden="false" customHeight="false" outlineLevel="0" collapsed="false">
      <c r="A1002" s="7"/>
      <c r="B1002" s="8"/>
      <c r="E1002" s="3"/>
      <c r="F1002" s="3"/>
      <c r="I1002" s="10"/>
      <c r="K1002" s="7"/>
      <c r="L1002" s="7"/>
      <c r="O1002" s="10"/>
      <c r="R1002" s="10"/>
      <c r="U1002" s="16"/>
      <c r="X1002" s="10"/>
      <c r="AA1002" s="10"/>
      <c r="AD1002" s="10"/>
    </row>
    <row r="1003" customFormat="false" ht="15.75" hidden="false" customHeight="false" outlineLevel="0" collapsed="false">
      <c r="A1003" s="7"/>
      <c r="B1003" s="8"/>
      <c r="E1003" s="3"/>
      <c r="F1003" s="3"/>
      <c r="I1003" s="10"/>
      <c r="K1003" s="7"/>
      <c r="L1003" s="7"/>
      <c r="O1003" s="10"/>
      <c r="R1003" s="10"/>
      <c r="U1003" s="16"/>
      <c r="X1003" s="10"/>
      <c r="AA1003" s="10"/>
      <c r="AD1003" s="10"/>
    </row>
    <row r="1004" customFormat="false" ht="15.75" hidden="false" customHeight="false" outlineLevel="0" collapsed="false">
      <c r="A1004" s="7"/>
      <c r="B1004" s="8"/>
      <c r="E1004" s="3"/>
      <c r="F1004" s="3"/>
      <c r="I1004" s="10"/>
      <c r="K1004" s="7"/>
      <c r="L1004" s="7"/>
      <c r="O1004" s="10"/>
      <c r="R1004" s="10"/>
      <c r="U1004" s="16"/>
      <c r="X1004" s="10"/>
      <c r="AA1004" s="10"/>
      <c r="AD1004" s="10"/>
    </row>
    <row r="1005" customFormat="false" ht="15.75" hidden="false" customHeight="false" outlineLevel="0" collapsed="false">
      <c r="A1005" s="7"/>
      <c r="B1005" s="8"/>
      <c r="E1005" s="3"/>
      <c r="F1005" s="3"/>
      <c r="I1005" s="10"/>
      <c r="K1005" s="7"/>
      <c r="L1005" s="7"/>
      <c r="O1005" s="10"/>
      <c r="R1005" s="10"/>
      <c r="U1005" s="16"/>
      <c r="X1005" s="10"/>
      <c r="AA1005" s="10"/>
      <c r="AD1005" s="10"/>
    </row>
    <row r="1006" customFormat="false" ht="15.75" hidden="false" customHeight="false" outlineLevel="0" collapsed="false">
      <c r="A1006" s="7"/>
      <c r="B1006" s="8"/>
      <c r="E1006" s="3"/>
      <c r="F1006" s="3"/>
      <c r="I1006" s="10"/>
      <c r="K1006" s="7"/>
      <c r="L1006" s="7"/>
      <c r="O1006" s="10"/>
      <c r="R1006" s="10"/>
      <c r="U1006" s="16"/>
      <c r="X1006" s="10"/>
      <c r="AA1006" s="10"/>
      <c r="AD1006" s="10"/>
    </row>
    <row r="1007" customFormat="false" ht="15.75" hidden="false" customHeight="false" outlineLevel="0" collapsed="false">
      <c r="A1007" s="7"/>
      <c r="B1007" s="8"/>
      <c r="E1007" s="3"/>
      <c r="F1007" s="3"/>
      <c r="I1007" s="10"/>
      <c r="K1007" s="7"/>
      <c r="L1007" s="7"/>
      <c r="O1007" s="10"/>
      <c r="R1007" s="10"/>
      <c r="U1007" s="16"/>
      <c r="X1007" s="10"/>
      <c r="AA1007" s="10"/>
      <c r="AD1007" s="10"/>
    </row>
    <row r="1008" customFormat="false" ht="15.75" hidden="false" customHeight="false" outlineLevel="0" collapsed="false">
      <c r="A1008" s="7"/>
      <c r="B1008" s="8"/>
      <c r="E1008" s="3"/>
      <c r="F1008" s="3"/>
      <c r="I1008" s="10"/>
      <c r="K1008" s="7"/>
      <c r="L1008" s="7"/>
      <c r="O1008" s="10"/>
      <c r="R1008" s="10"/>
      <c r="U1008" s="16"/>
      <c r="X1008" s="10"/>
      <c r="AA1008" s="10"/>
      <c r="AD1008" s="10"/>
    </row>
    <row r="1009" customFormat="false" ht="15.75" hidden="false" customHeight="false" outlineLevel="0" collapsed="false">
      <c r="A1009" s="7"/>
      <c r="B1009" s="8"/>
      <c r="E1009" s="3"/>
      <c r="F1009" s="3"/>
      <c r="I1009" s="10"/>
      <c r="K1009" s="7"/>
      <c r="L1009" s="7"/>
      <c r="O1009" s="10"/>
      <c r="R1009" s="10"/>
      <c r="U1009" s="16"/>
      <c r="X1009" s="10"/>
      <c r="AA1009" s="10"/>
      <c r="AD1009" s="10"/>
    </row>
    <row r="1010" customFormat="false" ht="15.75" hidden="false" customHeight="false" outlineLevel="0" collapsed="false">
      <c r="A1010" s="7"/>
      <c r="B1010" s="8"/>
      <c r="E1010" s="3"/>
      <c r="F1010" s="3"/>
      <c r="I1010" s="10"/>
      <c r="K1010" s="7"/>
      <c r="L1010" s="7"/>
      <c r="O1010" s="10"/>
      <c r="R1010" s="10"/>
      <c r="U1010" s="16"/>
      <c r="X1010" s="10"/>
      <c r="AA1010" s="10"/>
      <c r="AD1010" s="10"/>
    </row>
    <row r="1011" customFormat="false" ht="15.75" hidden="false" customHeight="false" outlineLevel="0" collapsed="false">
      <c r="A1011" s="7"/>
      <c r="B1011" s="8"/>
      <c r="E1011" s="3"/>
      <c r="F1011" s="3"/>
      <c r="I1011" s="10"/>
      <c r="K1011" s="7"/>
      <c r="L1011" s="7"/>
      <c r="O1011" s="10"/>
      <c r="R1011" s="10"/>
      <c r="U1011" s="16"/>
      <c r="X1011" s="10"/>
      <c r="AA1011" s="10"/>
      <c r="AD1011" s="10"/>
    </row>
    <row r="1012" customFormat="false" ht="15.75" hidden="false" customHeight="false" outlineLevel="0" collapsed="false">
      <c r="A1012" s="7"/>
      <c r="B1012" s="8"/>
      <c r="E1012" s="3"/>
      <c r="F1012" s="3"/>
      <c r="I1012" s="10"/>
      <c r="K1012" s="7"/>
      <c r="L1012" s="7"/>
      <c r="O1012" s="10"/>
      <c r="R1012" s="10"/>
      <c r="U1012" s="16"/>
      <c r="X1012" s="10"/>
      <c r="AA1012" s="10"/>
      <c r="AD1012" s="10"/>
    </row>
    <row r="1013" customFormat="false" ht="15.75" hidden="false" customHeight="false" outlineLevel="0" collapsed="false">
      <c r="A1013" s="7"/>
      <c r="B1013" s="8"/>
      <c r="E1013" s="3"/>
      <c r="F1013" s="3"/>
      <c r="I1013" s="10"/>
      <c r="K1013" s="7"/>
      <c r="L1013" s="7"/>
      <c r="O1013" s="10"/>
      <c r="R1013" s="10"/>
      <c r="U1013" s="16"/>
      <c r="X1013" s="10"/>
      <c r="AA1013" s="10"/>
      <c r="AD1013" s="10"/>
    </row>
    <row r="1014" customFormat="false" ht="15.75" hidden="false" customHeight="false" outlineLevel="0" collapsed="false">
      <c r="A1014" s="7"/>
      <c r="B1014" s="8"/>
      <c r="E1014" s="3"/>
      <c r="F1014" s="3"/>
      <c r="I1014" s="10"/>
      <c r="K1014" s="7"/>
      <c r="L1014" s="7"/>
      <c r="O1014" s="10"/>
      <c r="R1014" s="10"/>
      <c r="U1014" s="16"/>
      <c r="X1014" s="10"/>
      <c r="AA1014" s="10"/>
      <c r="AD1014" s="10"/>
    </row>
    <row r="1015" customFormat="false" ht="15.75" hidden="false" customHeight="false" outlineLevel="0" collapsed="false">
      <c r="A1015" s="7"/>
      <c r="B1015" s="8"/>
      <c r="E1015" s="3"/>
      <c r="F1015" s="3"/>
      <c r="I1015" s="10"/>
      <c r="K1015" s="7"/>
      <c r="L1015" s="7"/>
      <c r="O1015" s="10"/>
      <c r="R1015" s="10"/>
      <c r="U1015" s="16"/>
      <c r="X1015" s="10"/>
      <c r="AA1015" s="10"/>
      <c r="AD1015" s="10"/>
    </row>
    <row r="1016" customFormat="false" ht="15.75" hidden="false" customHeight="false" outlineLevel="0" collapsed="false">
      <c r="A1016" s="7"/>
      <c r="B1016" s="8"/>
      <c r="E1016" s="3"/>
      <c r="F1016" s="3"/>
      <c r="I1016" s="10"/>
      <c r="K1016" s="7"/>
      <c r="L1016" s="7"/>
      <c r="O1016" s="10"/>
      <c r="R1016" s="10"/>
      <c r="U1016" s="16"/>
      <c r="X1016" s="10"/>
      <c r="AA1016" s="10"/>
      <c r="AD1016" s="10"/>
    </row>
    <row r="1017" customFormat="false" ht="15.75" hidden="false" customHeight="false" outlineLevel="0" collapsed="false">
      <c r="A1017" s="7"/>
      <c r="B1017" s="8"/>
      <c r="E1017" s="3"/>
      <c r="F1017" s="3"/>
      <c r="I1017" s="10"/>
      <c r="K1017" s="7"/>
      <c r="L1017" s="7"/>
      <c r="O1017" s="10"/>
      <c r="R1017" s="10"/>
      <c r="U1017" s="16"/>
      <c r="X1017" s="10"/>
      <c r="AA1017" s="10"/>
      <c r="AD1017" s="10"/>
    </row>
    <row r="1018" customFormat="false" ht="15.75" hidden="false" customHeight="false" outlineLevel="0" collapsed="false">
      <c r="A1018" s="7"/>
      <c r="B1018" s="8"/>
      <c r="E1018" s="3"/>
      <c r="F1018" s="3"/>
      <c r="I1018" s="10"/>
      <c r="K1018" s="7"/>
      <c r="L1018" s="7"/>
      <c r="O1018" s="10"/>
      <c r="R1018" s="10"/>
      <c r="U1018" s="16"/>
      <c r="X1018" s="10"/>
      <c r="AA1018" s="10"/>
      <c r="AD1018" s="10"/>
    </row>
    <row r="1019" customFormat="false" ht="15.75" hidden="false" customHeight="false" outlineLevel="0" collapsed="false">
      <c r="A1019" s="7"/>
      <c r="B1019" s="8"/>
      <c r="E1019" s="3"/>
      <c r="F1019" s="3"/>
      <c r="I1019" s="10"/>
      <c r="K1019" s="7"/>
      <c r="L1019" s="7"/>
      <c r="O1019" s="10"/>
      <c r="R1019" s="10"/>
      <c r="U1019" s="16"/>
      <c r="X1019" s="10"/>
      <c r="AA1019" s="10"/>
      <c r="AD1019" s="10"/>
    </row>
    <row r="1020" customFormat="false" ht="15.75" hidden="false" customHeight="false" outlineLevel="0" collapsed="false">
      <c r="A1020" s="7"/>
      <c r="B1020" s="8"/>
      <c r="E1020" s="3"/>
      <c r="F1020" s="3"/>
      <c r="I1020" s="10"/>
      <c r="K1020" s="7"/>
      <c r="L1020" s="7"/>
      <c r="O1020" s="10"/>
      <c r="R1020" s="10"/>
      <c r="U1020" s="16"/>
      <c r="X1020" s="10"/>
      <c r="AA1020" s="10"/>
      <c r="AD1020" s="10"/>
    </row>
    <row r="1021" customFormat="false" ht="15.75" hidden="false" customHeight="false" outlineLevel="0" collapsed="false">
      <c r="A1021" s="7"/>
      <c r="B1021" s="8"/>
      <c r="E1021" s="3"/>
      <c r="F1021" s="3"/>
      <c r="I1021" s="10"/>
      <c r="K1021" s="7"/>
      <c r="L1021" s="7"/>
      <c r="O1021" s="10"/>
      <c r="R1021" s="10"/>
      <c r="U1021" s="16"/>
      <c r="X1021" s="10"/>
      <c r="AA1021" s="10"/>
      <c r="AD1021" s="10"/>
    </row>
    <row r="1022" customFormat="false" ht="15.75" hidden="false" customHeight="false" outlineLevel="0" collapsed="false">
      <c r="A1022" s="7"/>
      <c r="B1022" s="8"/>
      <c r="E1022" s="3"/>
      <c r="F1022" s="3"/>
      <c r="I1022" s="10"/>
      <c r="K1022" s="7"/>
      <c r="L1022" s="7"/>
      <c r="O1022" s="10"/>
      <c r="R1022" s="10"/>
      <c r="U1022" s="16"/>
      <c r="X1022" s="10"/>
      <c r="AA1022" s="10"/>
      <c r="AD1022" s="10"/>
    </row>
    <row r="1023" customFormat="false" ht="15.75" hidden="false" customHeight="false" outlineLevel="0" collapsed="false">
      <c r="A1023" s="7"/>
      <c r="B1023" s="8"/>
      <c r="E1023" s="3"/>
      <c r="F1023" s="3"/>
      <c r="I1023" s="10"/>
      <c r="K1023" s="7"/>
      <c r="L1023" s="7"/>
      <c r="O1023" s="10"/>
      <c r="R1023" s="10"/>
      <c r="U1023" s="16"/>
      <c r="X1023" s="10"/>
      <c r="AA1023" s="10"/>
      <c r="AD1023" s="10"/>
    </row>
    <row r="1024" customFormat="false" ht="15.75" hidden="false" customHeight="false" outlineLevel="0" collapsed="false">
      <c r="A1024" s="7"/>
      <c r="B1024" s="8"/>
      <c r="E1024" s="3"/>
      <c r="F1024" s="3"/>
      <c r="I1024" s="10"/>
      <c r="K1024" s="7"/>
      <c r="L1024" s="7"/>
      <c r="O1024" s="10"/>
      <c r="R1024" s="10"/>
      <c r="U1024" s="16"/>
      <c r="X1024" s="10"/>
      <c r="AA1024" s="10"/>
      <c r="AD10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4.75"/>
    <col collapsed="false" customWidth="true" hidden="false" outlineLevel="0" max="2" min="2" style="0" width="24.87"/>
    <col collapsed="false" customWidth="true" hidden="false" outlineLevel="0" max="5" min="3" style="0" width="24.75"/>
    <col collapsed="false" customWidth="true" hidden="false" outlineLevel="0" max="6" min="6" style="0" width="23.38"/>
    <col collapsed="false" customWidth="true" hidden="false" outlineLevel="0" max="20" min="20" style="0" width="19.5"/>
  </cols>
  <sheetData>
    <row r="1" customFormat="false" ht="15.75" hidden="false" customHeight="false" outlineLevel="0" collapsed="false">
      <c r="A1" s="2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  <c r="M1" s="3" t="s">
        <v>133</v>
      </c>
      <c r="N1" s="2" t="s">
        <v>134</v>
      </c>
      <c r="O1" s="2" t="s">
        <v>135</v>
      </c>
      <c r="P1" s="2" t="s">
        <v>136</v>
      </c>
      <c r="Q1" s="28"/>
      <c r="R1" s="2" t="s">
        <v>137</v>
      </c>
      <c r="S1" s="2" t="s">
        <v>138</v>
      </c>
      <c r="T1" s="2" t="s">
        <v>130</v>
      </c>
      <c r="U1" s="2" t="s">
        <v>139</v>
      </c>
      <c r="V1" s="3"/>
      <c r="W1" s="3"/>
      <c r="X1" s="3"/>
      <c r="Y1" s="3"/>
    </row>
    <row r="2" customFormat="false" ht="15.75" hidden="false" customHeight="false" outlineLevel="0" collapsed="false">
      <c r="A2" s="8" t="str">
        <f aca="false">SUBSTITUTE(Histmag!B2,"-","")</f>
        <v>9788365156860</v>
      </c>
      <c r="B2" s="9" t="n">
        <f aca="false">VALUE(SUBSTITUTE(Histmag!D2,".",","))</f>
        <v>144.9</v>
      </c>
      <c r="C2" s="8" t="str">
        <f aca="false">SUBSTITUTE(Virtualo!G2,"-","")</f>
        <v>9788365156716</v>
      </c>
      <c r="D2" s="8" t="str">
        <f aca="false">SUBSTITUTE(Empik!F2,"-","")</f>
        <v>9788365156808</v>
      </c>
      <c r="E2" s="8" t="str">
        <f aca="false">SUBSTITUTE(Publio!H2,"-","")</f>
        <v>9788365156556</v>
      </c>
      <c r="F2" s="8" t="n">
        <f aca="false">VALUE(SUBSTITUTE(Publio!Q2,".",","))</f>
        <v>8.69</v>
      </c>
      <c r="G2" s="8" t="str">
        <f aca="false">IFERROR(IF(SEARCH("-", #REF!), SUBSTITUTE(#REF!,"-","")), "")</f>
        <v/>
      </c>
      <c r="H2" s="8" t="n">
        <f aca="false">IFERROR(VALUE(SUBSTITUTE(#REF!,".",",")),0)</f>
        <v>0</v>
      </c>
      <c r="I2" s="9" t="str">
        <f aca="false">SUBSTITUTE(Azymut!D2,"-","")</f>
        <v>9788365156624</v>
      </c>
      <c r="J2" s="9" t="n">
        <f aca="false">VALUE(SUBSTITUTE(Azymut!O2,".",","))</f>
        <v>11.37</v>
      </c>
      <c r="K2" s="9" t="str">
        <f aca="false">SUBSTITUTE(Ebookpoint!E14,"-","")</f>
        <v>9788365156112</v>
      </c>
      <c r="L2" s="9" t="str">
        <f aca="false">SUBSTITUTE(Nasbi!E14,"-","")</f>
        <v>9788365156624</v>
      </c>
      <c r="M2" s="9" t="n">
        <f aca="false">VALUE(SUBSTITUTE(StorytelE!G2,".",","))</f>
        <v>1</v>
      </c>
      <c r="N2" s="9" t="n">
        <f aca="false">VALUE(SUBSTITUTE(StorytelA!G2,".",","))</f>
        <v>30</v>
      </c>
      <c r="O2" s="9" t="n">
        <f aca="false">VALUE(SUBSTITUTE(StorytelE!M2,".",","))</f>
        <v>1.25</v>
      </c>
      <c r="P2" s="9" t="n">
        <f aca="false">VALUE(SUBSTITUTE(StorytelA!M2,".",","))</f>
        <v>38.78</v>
      </c>
      <c r="Q2" s="29"/>
      <c r="R2" s="29" t="n">
        <f aca="false">VALUE(SUBSTITUTE(Woblink!H14,".",","))</f>
        <v>11.37</v>
      </c>
      <c r="S2" s="9" t="str">
        <f aca="false">SUBSTITUTE(AzymutB!D2,"-","")</f>
        <v/>
      </c>
      <c r="T2" s="9" t="n">
        <f aca="false">VALUE(SUBSTITUTE(AzymutB!O2,".",","))</f>
        <v>0</v>
      </c>
      <c r="U2" s="9" t="str">
        <f aca="false">SUBSTITUTE(Audioteka!Q4,"-","")</f>
        <v>9788365156716</v>
      </c>
    </row>
    <row r="3" customFormat="false" ht="15.75" hidden="false" customHeight="false" outlineLevel="0" collapsed="false">
      <c r="A3" s="8" t="str">
        <f aca="false">SUBSTITUTE(Histmag!B3,"-","")</f>
        <v>9788365156822</v>
      </c>
      <c r="B3" s="9" t="n">
        <f aca="false">VALUE(SUBSTITUTE(Histmag!D3,".",","))</f>
        <v>90.97</v>
      </c>
      <c r="C3" s="8" t="str">
        <f aca="false">SUBSTITUTE(Virtualo!G3,"-","")</f>
        <v>9788365156372</v>
      </c>
      <c r="D3" s="8" t="str">
        <f aca="false">SUBSTITUTE(Empik!F3,"-","")</f>
        <v>9788365156532</v>
      </c>
      <c r="E3" s="8" t="str">
        <f aca="false">SUBSTITUTE(Publio!H3,"-","")</f>
        <v>9788365156372</v>
      </c>
      <c r="F3" s="8" t="n">
        <f aca="false">VALUE(SUBSTITUTE(Publio!Q3,".",","))</f>
        <v>10.23</v>
      </c>
      <c r="G3" s="8" t="str">
        <f aca="false">IFERROR(IF(SEARCH("-", #REF!), SUBSTITUTE(#REF!,"-","")), "")</f>
        <v/>
      </c>
      <c r="H3" s="8" t="n">
        <f aca="false">IFERROR(VALUE(SUBSTITUTE(Nexto!P7,".",",")),0)</f>
        <v>0</v>
      </c>
      <c r="I3" s="9" t="str">
        <f aca="false">SUBSTITUTE(Azymut!D3,"-","")</f>
        <v>9788365156563</v>
      </c>
      <c r="J3" s="9" t="n">
        <f aca="false">VALUE(SUBSTITUTE(Azymut!O3,".",","))</f>
        <v>11.37</v>
      </c>
      <c r="K3" s="9" t="str">
        <f aca="false">SUBSTITUTE(Ebookpoint!E15,"-","")</f>
        <v>9788365156129</v>
      </c>
      <c r="L3" s="9" t="str">
        <f aca="false">SUBSTITUTE(Nasbi!E15,"-","")</f>
        <v>9788365156792</v>
      </c>
      <c r="M3" s="9" t="n">
        <f aca="false">VALUE(SUBSTITUTE(StorytelE!G3,".",","))</f>
        <v>2</v>
      </c>
      <c r="N3" s="9" t="n">
        <f aca="false">VALUE(SUBSTITUTE(StorytelA!G3,".",","))</f>
        <v>16</v>
      </c>
      <c r="O3" s="9" t="n">
        <f aca="false">VALUE(SUBSTITUTE(StorytelE!M3,".",","))</f>
        <v>3.12</v>
      </c>
      <c r="P3" s="9" t="n">
        <f aca="false">VALUE(SUBSTITUTE(StorytelA!M3,".",","))</f>
        <v>15.89</v>
      </c>
      <c r="Q3" s="29"/>
      <c r="R3" s="29" t="n">
        <f aca="false">VALUE(SUBSTITUTE(Woblink!H15,".",","))</f>
        <v>10.23</v>
      </c>
      <c r="S3" s="9" t="str">
        <f aca="false">SUBSTITUTE(AzymutB!D3,"-","")</f>
        <v/>
      </c>
      <c r="T3" s="9" t="n">
        <f aca="false">VALUE(SUBSTITUTE(AzymutB!O3,".",","))</f>
        <v>0</v>
      </c>
      <c r="U3" s="9" t="str">
        <f aca="false">SUBSTITUTE(Audioteka!Q5,"-","")</f>
        <v>9788365156723</v>
      </c>
    </row>
    <row r="4" customFormat="false" ht="15.75" hidden="false" customHeight="false" outlineLevel="0" collapsed="false">
      <c r="A4" s="8" t="str">
        <f aca="false">SUBSTITUTE(Histmag!B4,"-","")</f>
        <v>9788365156556</v>
      </c>
      <c r="B4" s="9" t="n">
        <f aca="false">VALUE(SUBSTITUTE(Histmag!D4,".",","))</f>
        <v>56.75</v>
      </c>
      <c r="C4" s="8" t="str">
        <f aca="false">SUBSTITUTE(Virtualo!G4,"-","")</f>
        <v>9788365156655</v>
      </c>
      <c r="D4" s="8" t="str">
        <f aca="false">SUBSTITUTE(Empik!F4,"-","")</f>
        <v>9788365156532</v>
      </c>
      <c r="E4" s="8" t="str">
        <f aca="false">SUBSTITUTE(Publio!H4,"-","")</f>
        <v>9788393463053</v>
      </c>
      <c r="F4" s="8" t="n">
        <f aca="false">VALUE(SUBSTITUTE(Publio!Q4,".",","))</f>
        <v>6.23</v>
      </c>
      <c r="G4" s="8" t="str">
        <f aca="false">IFERROR(IF(SEARCH("-", #REF!), SUBSTITUTE(#REF!,"-","")), "")</f>
        <v/>
      </c>
      <c r="H4" s="8" t="n">
        <f aca="false">IFERROR(VALUE(SUBSTITUTE(Nexto!P8,".",",")),0)</f>
        <v>0</v>
      </c>
      <c r="I4" s="9" t="str">
        <f aca="false">SUBSTITUTE(Azymut!D4,"-","")</f>
        <v>9788365156860</v>
      </c>
      <c r="J4" s="9" t="n">
        <f aca="false">VALUE(SUBSTITUTE(Azymut!O4,".",","))</f>
        <v>11.37</v>
      </c>
      <c r="K4" s="9" t="str">
        <f aca="false">SUBSTITUTE(Ebookpoint!E16,"-","")</f>
        <v>9788365156143</v>
      </c>
      <c r="L4" s="9" t="str">
        <f aca="false">SUBSTITUTE(Nasbi!E16,"-","")</f>
        <v/>
      </c>
      <c r="M4" s="9" t="n">
        <f aca="false">VALUE(SUBSTITUTE(StorytelE!G4,".",","))</f>
        <v>1</v>
      </c>
      <c r="N4" s="9" t="n">
        <f aca="false">VALUE(SUBSTITUTE(StorytelA!G4,".",","))</f>
        <v>13</v>
      </c>
      <c r="O4" s="9" t="n">
        <f aca="false">VALUE(SUBSTITUTE(StorytelE!M4,".",","))</f>
        <v>1.71</v>
      </c>
      <c r="P4" s="9" t="n">
        <f aca="false">VALUE(SUBSTITUTE(StorytelA!M4,".",","))</f>
        <v>15.94</v>
      </c>
      <c r="Q4" s="29"/>
      <c r="R4" s="29" t="n">
        <f aca="false">VALUE(SUBSTITUTE(Woblink!H16,".",","))</f>
        <v>11.37</v>
      </c>
      <c r="S4" s="9" t="str">
        <f aca="false">SUBSTITUTE(AzymutB!D4,"-","")</f>
        <v/>
      </c>
      <c r="T4" s="9" t="n">
        <f aca="false">VALUE(SUBSTITUTE(AzymutB!O4,".",","))</f>
        <v>0</v>
      </c>
      <c r="U4" s="9" t="str">
        <f aca="false">SUBSTITUTE(Audioteka!Q6,"-","")</f>
        <v>9788365156846</v>
      </c>
    </row>
    <row r="5" customFormat="false" ht="15.75" hidden="false" customHeight="false" outlineLevel="0" collapsed="false">
      <c r="A5" s="8" t="str">
        <f aca="false">SUBSTITUTE(Histmag!B5,"-","")</f>
        <v>9788365156853</v>
      </c>
      <c r="B5" s="9" t="n">
        <f aca="false">VALUE(SUBSTITUTE(Histmag!D5,".",","))</f>
        <v>74.86</v>
      </c>
      <c r="C5" s="8" t="str">
        <f aca="false">SUBSTITUTE(Virtualo!G5,"-","")</f>
        <v>9788365156426</v>
      </c>
      <c r="D5" s="8" t="str">
        <f aca="false">SUBSTITUTE(Empik!F5,"-","")</f>
        <v>9788365156761</v>
      </c>
      <c r="E5" s="8" t="str">
        <f aca="false">SUBSTITUTE(Publio!H5,"-","")</f>
        <v>9788365156822</v>
      </c>
      <c r="F5" s="8" t="n">
        <f aca="false">VALUE(SUBSTITUTE(Publio!Q5,".",","))</f>
        <v>9.66</v>
      </c>
      <c r="G5" s="8" t="str">
        <f aca="false">IFERROR(IF(SEARCH("-", #REF!), SUBSTITUTE(#REF!,"-","")), "")</f>
        <v/>
      </c>
      <c r="H5" s="8" t="n">
        <f aca="false">IFERROR(VALUE(SUBSTITUTE(Nexto!P9,".",",")),0)</f>
        <v>0</v>
      </c>
      <c r="I5" s="9" t="str">
        <f aca="false">SUBSTITUTE(Azymut!D5,"-","")</f>
        <v>9788393463060</v>
      </c>
      <c r="J5" s="9" t="n">
        <f aca="false">VALUE(SUBSTITUTE(Azymut!O5,".",","))</f>
        <v>8.51</v>
      </c>
      <c r="K5" s="9" t="str">
        <f aca="false">SUBSTITUTE(Ebookpoint!E17,"-","")</f>
        <v>9788365156150</v>
      </c>
      <c r="L5" s="9" t="str">
        <f aca="false">SUBSTITUTE(Nasbi!E17,"-","")</f>
        <v/>
      </c>
      <c r="M5" s="9" t="n">
        <f aca="false">VALUE(SUBSTITUTE(StorytelE!G5,".",","))</f>
        <v>1</v>
      </c>
      <c r="N5" s="9" t="n">
        <f aca="false">VALUE(SUBSTITUTE(StorytelA!G5,".",","))</f>
        <v>17</v>
      </c>
      <c r="O5" s="9" t="n">
        <f aca="false">VALUE(SUBSTITUTE(StorytelE!M5,".",","))</f>
        <v>1.53</v>
      </c>
      <c r="P5" s="9" t="n">
        <f aca="false">VALUE(SUBSTITUTE(StorytelA!M5,".",","))</f>
        <v>20.83</v>
      </c>
      <c r="Q5" s="29"/>
      <c r="R5" s="29" t="n">
        <f aca="false">VALUE(SUBSTITUTE(Woblink!H17,".",","))</f>
        <v>8.51</v>
      </c>
      <c r="S5" s="9" t="str">
        <f aca="false">SUBSTITUTE(AzymutB!D5,"-","")</f>
        <v/>
      </c>
      <c r="T5" s="9" t="n">
        <f aca="false">VALUE(SUBSTITUTE(AzymutB!O5,".",","))</f>
        <v>0</v>
      </c>
      <c r="U5" s="9" t="str">
        <f aca="false">SUBSTITUTE(Audioteka!Q7,"-","")</f>
        <v>9788365156785</v>
      </c>
    </row>
    <row r="6" customFormat="false" ht="15.75" hidden="false" customHeight="false" outlineLevel="0" collapsed="false">
      <c r="A6" s="8" t="str">
        <f aca="false">SUBSTITUTE(Histmag!B6,"-","")</f>
        <v>9788365156815</v>
      </c>
      <c r="B6" s="9" t="n">
        <f aca="false">VALUE(SUBSTITUTE(Histmag!D6,".",","))</f>
        <v>56.84</v>
      </c>
      <c r="C6" s="8" t="str">
        <f aca="false">SUBSTITUTE(Virtualo!G6,"-","")</f>
        <v>9788365156495</v>
      </c>
      <c r="D6" s="8" t="str">
        <f aca="false">SUBSTITUTE(Empik!F6,"-","")</f>
        <v>9788365156464</v>
      </c>
      <c r="E6" s="8" t="str">
        <f aca="false">SUBSTITUTE(Publio!H6,"-","")</f>
        <v>9788365156419</v>
      </c>
      <c r="F6" s="8" t="n">
        <f aca="false">VALUE(SUBSTITUTE(Publio!Q6,".",","))</f>
        <v>7.24</v>
      </c>
      <c r="G6" s="8" t="str">
        <f aca="false">IFERROR(IF(SEARCH("-", #REF!), SUBSTITUTE(#REF!,"-","")), "")</f>
        <v/>
      </c>
      <c r="H6" s="8" t="n">
        <f aca="false">IFERROR(VALUE(SUBSTITUTE(Nexto!P10,".",",")),0)</f>
        <v>0</v>
      </c>
      <c r="I6" s="9" t="str">
        <f aca="false">SUBSTITUTE(Azymut!D6,"-","")</f>
        <v/>
      </c>
      <c r="J6" s="9" t="n">
        <f aca="false">VALUE(SUBSTITUTE(Azymut!O6,".",","))</f>
        <v>0</v>
      </c>
      <c r="K6" s="9" t="str">
        <f aca="false">SUBSTITUTE(Ebookpoint!E18,"-","")</f>
        <v>9788393463008</v>
      </c>
      <c r="L6" s="9" t="str">
        <f aca="false">SUBSTITUTE(Nasbi!E18,"-","")</f>
        <v/>
      </c>
      <c r="M6" s="9" t="n">
        <f aca="false">VALUE(SUBSTITUTE(StorytelE!G6,".",","))</f>
        <v>1</v>
      </c>
      <c r="N6" s="9" t="n">
        <f aca="false">VALUE(SUBSTITUTE(StorytelA!G6,".",","))</f>
        <v>35</v>
      </c>
      <c r="O6" s="9" t="n">
        <f aca="false">VALUE(SUBSTITUTE(StorytelE!M6,".",","))</f>
        <v>1.37</v>
      </c>
      <c r="P6" s="9" t="n">
        <f aca="false">VALUE(SUBSTITUTE(StorytelA!M6,".",","))</f>
        <v>35.56</v>
      </c>
      <c r="Q6" s="29"/>
      <c r="R6" s="29" t="n">
        <f aca="false">VALUE(SUBSTITUTE(Woblink!H18,".",","))</f>
        <v>6.8</v>
      </c>
      <c r="S6" s="9" t="str">
        <f aca="false">SUBSTITUTE(AzymutB!D6,"-","")</f>
        <v/>
      </c>
      <c r="T6" s="9" t="n">
        <f aca="false">VALUE(SUBSTITUTE(AzymutB!O6,".",","))</f>
        <v>0</v>
      </c>
      <c r="U6" s="9" t="str">
        <f aca="false">SUBSTITUTE(Audioteka!Q8,"-","")</f>
        <v>9788365156457</v>
      </c>
    </row>
    <row r="7" customFormat="false" ht="15.75" hidden="false" customHeight="false" outlineLevel="0" collapsed="false">
      <c r="A7" s="8" t="str">
        <f aca="false">SUBSTITUTE(Histmag!B7,"-","")</f>
        <v>9788393463046</v>
      </c>
      <c r="B7" s="9" t="n">
        <f aca="false">VALUE(SUBSTITUTE(Histmag!D7,".",","))</f>
        <v>17.69</v>
      </c>
      <c r="C7" s="8" t="str">
        <f aca="false">SUBSTITUTE(Virtualo!G7,"-","")</f>
        <v>9788365156532</v>
      </c>
      <c r="D7" s="8" t="str">
        <f aca="false">SUBSTITUTE(Empik!F7,"-","")</f>
        <v>9788365156716</v>
      </c>
      <c r="E7" s="8" t="str">
        <f aca="false">SUBSTITUTE(Publio!H7,"-","")</f>
        <v>9788365156822</v>
      </c>
      <c r="F7" s="8" t="n">
        <f aca="false">VALUE(SUBSTITUTE(Publio!Q7,".",","))</f>
        <v>9.66</v>
      </c>
      <c r="G7" s="8" t="str">
        <f aca="false">IFERROR(IF(SEARCH("-", Nexto!B7), SUBSTITUTE(Nexto!B7,"-","")), "")</f>
        <v/>
      </c>
      <c r="H7" s="8" t="n">
        <f aca="false">IFERROR(VALUE(SUBSTITUTE(Nexto!P11,".",",")),0)</f>
        <v>9.22</v>
      </c>
      <c r="I7" s="9" t="str">
        <f aca="false">SUBSTITUTE(Azymut!D7,"-","")</f>
        <v/>
      </c>
      <c r="J7" s="9" t="n">
        <f aca="false">VALUE(SUBSTITUTE(Azymut!O7,".",","))</f>
        <v>0</v>
      </c>
      <c r="K7" s="9" t="str">
        <f aca="false">SUBSTITUTE(Ebookpoint!E19,"-","")</f>
        <v>9788365156013</v>
      </c>
      <c r="L7" s="9" t="str">
        <f aca="false">SUBSTITUTE(Nasbi!E19,"-","")</f>
        <v/>
      </c>
      <c r="M7" s="9" t="n">
        <f aca="false">VALUE(SUBSTITUTE(StorytelE!G7,".",","))</f>
        <v>2</v>
      </c>
      <c r="N7" s="9" t="n">
        <f aca="false">VALUE(SUBSTITUTE(StorytelA!G7,".",","))</f>
        <v>5</v>
      </c>
      <c r="O7" s="9" t="n">
        <f aca="false">VALUE(SUBSTITUTE(StorytelE!M7,".",","))</f>
        <v>3.09</v>
      </c>
      <c r="P7" s="9" t="n">
        <f aca="false">VALUE(SUBSTITUTE(StorytelA!M7,".",","))</f>
        <v>13.35</v>
      </c>
      <c r="Q7" s="29"/>
      <c r="R7" s="29" t="n">
        <f aca="false">VALUE(SUBSTITUTE(Woblink!H19,".",","))</f>
        <v>11.37</v>
      </c>
      <c r="S7" s="9" t="str">
        <f aca="false">SUBSTITUTE(AzymutB!D7,"-","")</f>
        <v/>
      </c>
      <c r="T7" s="9" t="n">
        <f aca="false">VALUE(SUBSTITUTE(AzymutB!O7,".",","))</f>
        <v>0</v>
      </c>
      <c r="U7" s="9" t="str">
        <f aca="false">SUBSTITUTE(Audioteka!Q9,"-","")</f>
        <v>9788365156792</v>
      </c>
    </row>
    <row r="8" customFormat="false" ht="15.75" hidden="false" customHeight="false" outlineLevel="0" collapsed="false">
      <c r="A8" s="8" t="str">
        <f aca="false">SUBSTITUTE(Histmag!B8,"-","")</f>
        <v>9788393463008</v>
      </c>
      <c r="B8" s="9" t="n">
        <f aca="false">VALUE(SUBSTITUTE(Histmag!D8,".",","))</f>
        <v>12.94</v>
      </c>
      <c r="C8" s="8" t="str">
        <f aca="false">SUBSTITUTE(Virtualo!G8,"-","")</f>
        <v>9788365156860</v>
      </c>
      <c r="D8" s="8" t="str">
        <f aca="false">SUBSTITUTE(Empik!F8,"-","")</f>
        <v>9788365156716</v>
      </c>
      <c r="E8" s="8" t="str">
        <f aca="false">SUBSTITUTE(Publio!H8,"-","")</f>
        <v>9788365156853</v>
      </c>
      <c r="F8" s="8" t="n">
        <f aca="false">VALUE(SUBSTITUTE(Publio!Q8,".",","))</f>
        <v>11.37</v>
      </c>
      <c r="G8" s="8" t="str">
        <f aca="false">IFERROR(IF(SEARCH("-", Nexto!B8), SUBSTITUTE(Nexto!B8,"-","")), "")</f>
        <v/>
      </c>
      <c r="H8" s="8" t="n">
        <f aca="false">IFERROR(VALUE(SUBSTITUTE(Nexto!P12,".",",")),0)</f>
        <v>12.32</v>
      </c>
      <c r="I8" s="9" t="str">
        <f aca="false">SUBSTITUTE(Azymut!D8,"-","")</f>
        <v/>
      </c>
      <c r="J8" s="9" t="n">
        <f aca="false">VALUE(SUBSTITUTE(Azymut!O8,".",","))</f>
        <v>0</v>
      </c>
      <c r="K8" s="9" t="str">
        <f aca="false">SUBSTITUTE(Ebookpoint!E20,"-","")</f>
        <v>9788365156235</v>
      </c>
      <c r="L8" s="9" t="str">
        <f aca="false">SUBSTITUTE(Nasbi!E20,"-","")</f>
        <v/>
      </c>
      <c r="M8" s="9" t="n">
        <f aca="false">VALUE(SUBSTITUTE(StorytelE!G8,".",","))</f>
        <v>1</v>
      </c>
      <c r="N8" s="9" t="n">
        <f aca="false">VALUE(SUBSTITUTE(StorytelA!G8,".",","))</f>
        <v>20</v>
      </c>
      <c r="O8" s="9" t="n">
        <f aca="false">VALUE(SUBSTITUTE(StorytelE!M8,".",","))</f>
        <v>2.07</v>
      </c>
      <c r="P8" s="9" t="n">
        <f aca="false">VALUE(SUBSTITUTE(StorytelA!M8,".",","))</f>
        <v>46.83</v>
      </c>
      <c r="Q8" s="29"/>
      <c r="R8" s="29" t="n">
        <f aca="false">VALUE(SUBSTITUTE(Woblink!H20,".",","))</f>
        <v>8.51</v>
      </c>
      <c r="S8" s="9" t="str">
        <f aca="false">SUBSTITUTE(AzymutB!D8,"-","")</f>
        <v/>
      </c>
      <c r="T8" s="9" t="n">
        <f aca="false">VALUE(SUBSTITUTE(AzymutB!O8,".",","))</f>
        <v>0</v>
      </c>
      <c r="U8" s="9" t="str">
        <f aca="false">SUBSTITUTE(Audioteka!Q10,"-","")</f>
        <v>9788365156761</v>
      </c>
    </row>
    <row r="9" customFormat="false" ht="15.75" hidden="false" customHeight="false" outlineLevel="0" collapsed="false">
      <c r="A9" s="8" t="str">
        <f aca="false">SUBSTITUTE(Histmag!B9,"-","")</f>
        <v>9788393463077</v>
      </c>
      <c r="B9" s="9" t="n">
        <f aca="false">VALUE(SUBSTITUTE(Histmag!D9,".",","))</f>
        <v>22.16</v>
      </c>
      <c r="C9" s="8" t="str">
        <f aca="false">SUBSTITUTE(Virtualo!G9,"-","")</f>
        <v>9788365156556</v>
      </c>
      <c r="D9" s="8" t="str">
        <f aca="false">SUBSTITUTE(Empik!F9,"-","")</f>
        <v>9788365156457</v>
      </c>
      <c r="E9" s="8" t="str">
        <f aca="false">SUBSTITUTE(Publio!H9,"-","")</f>
        <v>9788365156419</v>
      </c>
      <c r="F9" s="8" t="n">
        <f aca="false">VALUE(SUBSTITUTE(Publio!Q9,".",","))</f>
        <v>7.24</v>
      </c>
      <c r="G9" s="8" t="str">
        <f aca="false">IFERROR(IF(SEARCH("-", Nexto!B9), SUBSTITUTE(Nexto!B9,"-","")), "")</f>
        <v/>
      </c>
      <c r="H9" s="8" t="n">
        <f aca="false">IFERROR(VALUE(SUBSTITUTE(Nexto!P13,".",",")),0)</f>
        <v>7.99</v>
      </c>
      <c r="I9" s="9" t="str">
        <f aca="false">SUBSTITUTE(Azymut!D9,"-","")</f>
        <v/>
      </c>
      <c r="J9" s="9" t="n">
        <f aca="false">VALUE(SUBSTITUTE(Azymut!O9,".",","))</f>
        <v>0</v>
      </c>
      <c r="K9" s="9" t="str">
        <f aca="false">SUBSTITUTE(Ebookpoint!E21,"-","")</f>
        <v>9788365156372</v>
      </c>
      <c r="L9" s="9" t="str">
        <f aca="false">SUBSTITUTE(Nasbi!E21,"-","")</f>
        <v/>
      </c>
      <c r="M9" s="9" t="n">
        <f aca="false">VALUE(SUBSTITUTE(StorytelE!G9,".",","))</f>
        <v>1</v>
      </c>
      <c r="N9" s="9" t="n">
        <f aca="false">VALUE(SUBSTITUTE(StorytelA!G9,".",","))</f>
        <v>2</v>
      </c>
      <c r="O9" s="9" t="n">
        <f aca="false">VALUE(SUBSTITUTE(StorytelE!M9,".",","))</f>
        <v>1.95</v>
      </c>
      <c r="P9" s="9" t="n">
        <f aca="false">VALUE(SUBSTITUTE(StorytelA!M9,".",","))</f>
        <v>4.06</v>
      </c>
      <c r="Q9" s="29"/>
      <c r="R9" s="29" t="n">
        <f aca="false">VALUE(SUBSTITUTE(Woblink!H21,".",","))</f>
        <v>6.23</v>
      </c>
      <c r="S9" s="9" t="str">
        <f aca="false">SUBSTITUTE(AzymutB!D9,"-","")</f>
        <v/>
      </c>
      <c r="T9" s="9" t="n">
        <f aca="false">VALUE(SUBSTITUTE(AzymutB!O9,".",","))</f>
        <v>0</v>
      </c>
      <c r="U9" s="9" t="str">
        <f aca="false">SUBSTITUTE(Audioteka!Q11,"-","")</f>
        <v>9788365156334</v>
      </c>
    </row>
    <row r="10" customFormat="false" ht="15.75" hidden="false" customHeight="false" outlineLevel="0" collapsed="false">
      <c r="A10" s="8" t="str">
        <f aca="false">SUBSTITUTE(Histmag!B10,"-","")</f>
        <v>9788365156099</v>
      </c>
      <c r="B10" s="9" t="n">
        <f aca="false">VALUE(SUBSTITUTE(Histmag!D10,".",","))</f>
        <v>15.07</v>
      </c>
      <c r="C10" s="8" t="str">
        <f aca="false">SUBSTITUTE(Virtualo!G10,"-","")</f>
        <v>9788365156143</v>
      </c>
      <c r="D10" s="8" t="str">
        <f aca="false">SUBSTITUTE(Empik!F10,"-","")</f>
        <v>9788365156457</v>
      </c>
      <c r="E10" s="8" t="str">
        <f aca="false">SUBSTITUTE(Publio!H10,"-","")</f>
        <v>9788365156112</v>
      </c>
      <c r="F10" s="8" t="n">
        <f aca="false">VALUE(SUBSTITUTE(Publio!Q10,".",","))</f>
        <v>6.28</v>
      </c>
      <c r="G10" s="8" t="str">
        <f aca="false">IFERROR(IF(SEARCH("-", Nexto!B10), SUBSTITUTE(Nexto!B10,"-","")), "")</f>
        <v/>
      </c>
      <c r="H10" s="8" t="n">
        <f aca="false">IFERROR(VALUE(SUBSTITUTE(Nexto!P14,".",",")),0)</f>
        <v>9.22</v>
      </c>
      <c r="I10" s="9" t="str">
        <f aca="false">SUBSTITUTE(Azymut!D10,"-","")</f>
        <v/>
      </c>
      <c r="J10" s="9" t="n">
        <f aca="false">VALUE(SUBSTITUTE(Azymut!O10,".",","))</f>
        <v>0</v>
      </c>
      <c r="K10" s="9" t="str">
        <f aca="false">SUBSTITUTE(Ebookpoint!E22,"-","")</f>
        <v>9788365156389</v>
      </c>
      <c r="L10" s="9" t="str">
        <f aca="false">SUBSTITUTE(Nasbi!E22,"-","")</f>
        <v/>
      </c>
      <c r="M10" s="9" t="n">
        <f aca="false">VALUE(SUBSTITUTE(StorytelE!G10,".",","))</f>
        <v>1</v>
      </c>
      <c r="N10" s="9" t="n">
        <f aca="false">VALUE(SUBSTITUTE(StorytelA!G10,".",","))</f>
        <v>18</v>
      </c>
      <c r="O10" s="9" t="n">
        <f aca="false">VALUE(SUBSTITUTE(StorytelE!M10,".",","))</f>
        <v>3.6</v>
      </c>
      <c r="P10" s="9" t="n">
        <f aca="false">VALUE(SUBSTITUTE(StorytelA!M10,".",","))</f>
        <v>29.05</v>
      </c>
      <c r="Q10" s="29"/>
      <c r="R10" s="29" t="n">
        <f aca="false">VALUE(SUBSTITUTE(Woblink!H22,".",","))</f>
        <v>6.23</v>
      </c>
      <c r="S10" s="9" t="str">
        <f aca="false">SUBSTITUTE(AzymutB!D10,"-","")</f>
        <v/>
      </c>
      <c r="T10" s="9" t="n">
        <f aca="false">VALUE(SUBSTITUTE(AzymutB!O10,".",","))</f>
        <v>0</v>
      </c>
      <c r="U10" s="9" t="str">
        <f aca="false">SUBSTITUTE(Audioteka!Q12,"-","")</f>
        <v>9788365156846</v>
      </c>
    </row>
    <row r="11" customFormat="false" ht="15.75" hidden="false" customHeight="false" outlineLevel="0" collapsed="false">
      <c r="A11" s="8" t="str">
        <f aca="false">SUBSTITUTE(Histmag!B11,"-","")</f>
        <v>9788365156273</v>
      </c>
      <c r="B11" s="9" t="n">
        <f aca="false">VALUE(SUBSTITUTE(Histmag!D11,".",","))</f>
        <v>26.07</v>
      </c>
      <c r="C11" s="8" t="str">
        <f aca="false">SUBSTITUTE(Virtualo!G11,"-","")</f>
        <v>9788365156600</v>
      </c>
      <c r="D11" s="8" t="str">
        <f aca="false">SUBSTITUTE(Empik!F11,"-","")</f>
        <v>9788365156792</v>
      </c>
      <c r="E11" s="8" t="str">
        <f aca="false">SUBSTITUTE(Publio!H11,"-","")</f>
        <v>9788365156822</v>
      </c>
      <c r="F11" s="8" t="n">
        <f aca="false">VALUE(SUBSTITUTE(Publio!Q11,".",","))</f>
        <v>9.66</v>
      </c>
      <c r="G11" s="8" t="str">
        <f aca="false">IFERROR(IF(SEARCH("-", Nexto!B11), SUBSTITUTE(Nexto!B11,"-","")), "")</f>
        <v>9788365156280</v>
      </c>
      <c r="H11" s="8" t="n">
        <f aca="false">IFERROR(VALUE(SUBSTITUTE(Nexto!P15,".",",")),0)</f>
        <v>38.75</v>
      </c>
      <c r="I11" s="9" t="str">
        <f aca="false">SUBSTITUTE(Azymut!D11,"-","")</f>
        <v/>
      </c>
      <c r="J11" s="9" t="n">
        <f aca="false">VALUE(SUBSTITUTE(Azymut!O11,".",","))</f>
        <v>0</v>
      </c>
      <c r="K11" s="9" t="str">
        <f aca="false">SUBSTITUTE(Ebookpoint!E23,"-","")</f>
        <v>9788365156389</v>
      </c>
      <c r="L11" s="9" t="str">
        <f aca="false">SUBSTITUTE(Nasbi!E23,"-","")</f>
        <v/>
      </c>
      <c r="M11" s="9" t="n">
        <f aca="false">VALUE(SUBSTITUTE(StorytelE!G11,".",","))</f>
        <v>1</v>
      </c>
      <c r="N11" s="9" t="n">
        <f aca="false">VALUE(SUBSTITUTE(StorytelA!G11,".",","))</f>
        <v>27</v>
      </c>
      <c r="O11" s="9" t="n">
        <f aca="false">VALUE(SUBSTITUTE(StorytelE!M11,".",","))</f>
        <v>3.59</v>
      </c>
      <c r="P11" s="9" t="n">
        <f aca="false">VALUE(SUBSTITUTE(StorytelA!M11,".",","))</f>
        <v>37.34</v>
      </c>
      <c r="Q11" s="29"/>
      <c r="R11" s="29" t="n">
        <f aca="false">VALUE(SUBSTITUTE(Woblink!H23,".",","))</f>
        <v>8.51</v>
      </c>
      <c r="S11" s="9" t="str">
        <f aca="false">SUBSTITUTE(AzymutB!D11,"-","")</f>
        <v/>
      </c>
      <c r="T11" s="9" t="n">
        <f aca="false">VALUE(SUBSTITUTE(AzymutB!O11,".",","))</f>
        <v>0</v>
      </c>
      <c r="U11" s="9" t="str">
        <f aca="false">SUBSTITUTE(Audioteka!Q13,"-","")</f>
        <v>9788365156730</v>
      </c>
    </row>
    <row r="12" customFormat="false" ht="15.75" hidden="false" customHeight="false" outlineLevel="0" collapsed="false">
      <c r="A12" s="8" t="str">
        <f aca="false">SUBSTITUTE(Histmag!B12,"-","")</f>
        <v>9788393463039</v>
      </c>
      <c r="B12" s="9" t="n">
        <f aca="false">VALUE(SUBSTITUTE(Histmag!D12,".",","))</f>
        <v>19.94</v>
      </c>
      <c r="C12" s="8" t="str">
        <f aca="false">SUBSTITUTE(Virtualo!G12,"-","")</f>
        <v>9788365156747</v>
      </c>
      <c r="D12" s="8" t="str">
        <f aca="false">SUBSTITUTE(Empik!F12,"-","")</f>
        <v>9788365156310</v>
      </c>
      <c r="E12" s="8" t="str">
        <f aca="false">SUBSTITUTE(Publio!H12,"-","")</f>
        <v>9788365156136</v>
      </c>
      <c r="F12" s="8" t="n">
        <f aca="false">VALUE(SUBSTITUTE(Publio!Q12,".",","))</f>
        <v>8.51</v>
      </c>
      <c r="G12" s="8" t="str">
        <f aca="false">IFERROR(IF(SEARCH("-", Nexto!B12), SUBSTITUTE(Nexto!B12,"-","")), "")</f>
        <v>9788365156853</v>
      </c>
      <c r="H12" s="8" t="n">
        <f aca="false">IFERROR(VALUE(SUBSTITUTE(Nexto!P16,".",",")),0)</f>
        <v>0</v>
      </c>
      <c r="I12" s="9" t="str">
        <f aca="false">SUBSTITUTE(Azymut!D12,"-","")</f>
        <v/>
      </c>
      <c r="J12" s="9" t="n">
        <f aca="false">VALUE(SUBSTITUTE(Azymut!O12,".",","))</f>
        <v>0</v>
      </c>
      <c r="K12" s="9" t="str">
        <f aca="false">SUBSTITUTE(Ebookpoint!E24,"-","")</f>
        <v>9788365156419</v>
      </c>
      <c r="L12" s="9" t="str">
        <f aca="false">SUBSTITUTE(Nasbi!E24,"-","")</f>
        <v/>
      </c>
      <c r="M12" s="9" t="n">
        <f aca="false">VALUE(SUBSTITUTE(StorytelE!G12,".",","))</f>
        <v>2</v>
      </c>
      <c r="N12" s="9" t="n">
        <f aca="false">VALUE(SUBSTITUTE(StorytelA!G12,".",","))</f>
        <v>32</v>
      </c>
      <c r="O12" s="9" t="n">
        <f aca="false">VALUE(SUBSTITUTE(StorytelE!M12,".",","))</f>
        <v>2.5</v>
      </c>
      <c r="P12" s="9" t="n">
        <f aca="false">VALUE(SUBSTITUTE(StorytelA!M12,".",","))</f>
        <v>30.16</v>
      </c>
      <c r="Q12" s="29"/>
      <c r="R12" s="29" t="n">
        <f aca="false">VALUE(SUBSTITUTE(Woblink!H24,".",","))</f>
        <v>8.51</v>
      </c>
      <c r="S12" s="9" t="str">
        <f aca="false">SUBSTITUTE(AzymutB!D12,"-","")</f>
        <v/>
      </c>
      <c r="T12" s="9" t="n">
        <f aca="false">VALUE(SUBSTITUTE(AzymutB!O12,".",","))</f>
        <v>0</v>
      </c>
      <c r="U12" s="9" t="str">
        <f aca="false">SUBSTITUTE(Audioteka!Q14,"-","")</f>
        <v>9788365156570</v>
      </c>
    </row>
    <row r="13" customFormat="false" ht="15.75" hidden="false" customHeight="false" outlineLevel="0" collapsed="false">
      <c r="A13" s="8" t="str">
        <f aca="false">SUBSTITUTE(Histmag!B13,"-","")</f>
        <v>9788365156310</v>
      </c>
      <c r="B13" s="9" t="n">
        <f aca="false">VALUE(SUBSTITUTE(Histmag!D13,".",","))</f>
        <v>28.37</v>
      </c>
      <c r="C13" s="8" t="str">
        <f aca="false">SUBSTITUTE(Virtualo!G13,"-","")</f>
        <v>9788365156235</v>
      </c>
      <c r="D13" s="8" t="str">
        <f aca="false">SUBSTITUTE(Empik!F13,"-","")</f>
        <v>9788365156792</v>
      </c>
      <c r="E13" s="8" t="str">
        <f aca="false">SUBSTITUTE(Publio!H13,"-","")</f>
        <v>9788365156389</v>
      </c>
      <c r="F13" s="8" t="n">
        <f aca="false">VALUE(SUBSTITUTE(Publio!Q13,".",","))</f>
        <v>6.23</v>
      </c>
      <c r="G13" s="8" t="str">
        <f aca="false">IFERROR(IF(SEARCH("-", Nexto!B13), SUBSTITUTE(Nexto!B13,"-","")), "")</f>
        <v>9788365156204</v>
      </c>
      <c r="H13" s="8" t="n">
        <f aca="false">IFERROR(VALUE(SUBSTITUTE(Nexto!P17,".",",")),0)</f>
        <v>0</v>
      </c>
      <c r="I13" s="9" t="str">
        <f aca="false">SUBSTITUTE(Azymut!D13,"-","")</f>
        <v/>
      </c>
      <c r="J13" s="9" t="n">
        <f aca="false">VALUE(SUBSTITUTE(Azymut!O13,".",","))</f>
        <v>0</v>
      </c>
      <c r="K13" s="9" t="str">
        <f aca="false">SUBSTITUTE(Ebookpoint!E25,"-","")</f>
        <v>9788365156556</v>
      </c>
      <c r="L13" s="9" t="str">
        <f aca="false">SUBSTITUTE(Nasbi!E25,"-","")</f>
        <v/>
      </c>
      <c r="M13" s="9" t="n">
        <f aca="false">VALUE(SUBSTITUTE(StorytelE!G13,".",","))</f>
        <v>1</v>
      </c>
      <c r="N13" s="9" t="n">
        <f aca="false">VALUE(SUBSTITUTE(StorytelA!G13,".",","))</f>
        <v>42</v>
      </c>
      <c r="O13" s="9" t="n">
        <f aca="false">VALUE(SUBSTITUTE(StorytelE!M13,".",","))</f>
        <v>1.62</v>
      </c>
      <c r="P13" s="9" t="n">
        <f aca="false">VALUE(SUBSTITUTE(StorytelA!M13,".",","))</f>
        <v>57.45</v>
      </c>
      <c r="Q13" s="29"/>
      <c r="R13" s="29" t="n">
        <f aca="false">VALUE(SUBSTITUTE(Woblink!H25,".",","))</f>
        <v>8.51</v>
      </c>
      <c r="S13" s="9" t="str">
        <f aca="false">SUBSTITUTE(AzymutB!D13,"-","")</f>
        <v/>
      </c>
      <c r="T13" s="9" t="n">
        <f aca="false">VALUE(SUBSTITUTE(AzymutB!O13,".",","))</f>
        <v>0</v>
      </c>
      <c r="U13" s="9" t="str">
        <f aca="false">SUBSTITUTE(Audioteka!Q15,"-","")</f>
        <v>9788365156778</v>
      </c>
    </row>
    <row r="14" customFormat="false" ht="15.75" hidden="false" customHeight="false" outlineLevel="0" collapsed="false">
      <c r="A14" s="8" t="str">
        <f aca="false">SUBSTITUTE(Histmag!B14,"-","")</f>
        <v>9788365156549</v>
      </c>
      <c r="B14" s="9" t="n">
        <f aca="false">VALUE(SUBSTITUTE(Histmag!D14,".",","))</f>
        <v>28.37</v>
      </c>
      <c r="C14" s="8" t="str">
        <f aca="false">SUBSTITUTE(Virtualo!G14,"-","")</f>
        <v>9788393463091</v>
      </c>
      <c r="D14" s="8" t="str">
        <f aca="false">SUBSTITUTE(Empik!F14,"-","")</f>
        <v>9788365156730</v>
      </c>
      <c r="E14" s="8" t="str">
        <f aca="false">SUBSTITUTE(Publio!H14,"-","")</f>
        <v>9788365156860</v>
      </c>
      <c r="F14" s="8" t="n">
        <f aca="false">VALUE(SUBSTITUTE(Publio!Q14,".",","))</f>
        <v>11.37</v>
      </c>
      <c r="G14" s="8" t="str">
        <f aca="false">IFERROR(IF(SEARCH("-", Nexto!B14), SUBSTITUTE(Nexto!B14,"-","")), "")</f>
        <v>9788365156211</v>
      </c>
      <c r="H14" s="8" t="n">
        <f aca="false">IFERROR(VALUE(SUBSTITUTE(Nexto!P18,".",",")),0)</f>
        <v>0</v>
      </c>
      <c r="I14" s="9" t="str">
        <f aca="false">SUBSTITUTE(Azymut!D14,"-","")</f>
        <v/>
      </c>
      <c r="J14" s="9" t="n">
        <f aca="false">VALUE(SUBSTITUTE(Azymut!O14,".",","))</f>
        <v>0</v>
      </c>
      <c r="K14" s="9" t="str">
        <f aca="false">SUBSTITUTE(Ebookpoint!E26,"-","")</f>
        <v>9788365156556</v>
      </c>
      <c r="L14" s="9" t="str">
        <f aca="false">SUBSTITUTE(Nasbi!E26,"-","")</f>
        <v/>
      </c>
      <c r="M14" s="9" t="n">
        <f aca="false">VALUE(SUBSTITUTE(StorytelE!G14,".",","))</f>
        <v>1</v>
      </c>
      <c r="N14" s="9" t="n">
        <f aca="false">VALUE(SUBSTITUTE(StorytelA!G14,".",","))</f>
        <v>21</v>
      </c>
      <c r="O14" s="9" t="n">
        <f aca="false">VALUE(SUBSTITUTE(StorytelE!M14,".",","))</f>
        <v>2.52</v>
      </c>
      <c r="P14" s="9" t="n">
        <f aca="false">VALUE(SUBSTITUTE(StorytelA!M14,".",","))</f>
        <v>40.12</v>
      </c>
      <c r="Q14" s="29"/>
      <c r="R14" s="29" t="n">
        <f aca="false">VALUE(SUBSTITUTE(Woblink!H26,".",","))</f>
        <v>11.37</v>
      </c>
      <c r="S14" s="9" t="str">
        <f aca="false">SUBSTITUTE(AzymutB!D14,"-","")</f>
        <v/>
      </c>
      <c r="T14" s="9" t="n">
        <f aca="false">VALUE(SUBSTITUTE(AzymutB!O14,".",","))</f>
        <v>0</v>
      </c>
      <c r="U14" s="9" t="str">
        <f aca="false">SUBSTITUTE(Audioteka!Q16,"-","")</f>
        <v>9788365156853</v>
      </c>
    </row>
    <row r="15" customFormat="false" ht="15.75" hidden="false" customHeight="false" outlineLevel="0" collapsed="false">
      <c r="A15" s="8" t="str">
        <f aca="false">SUBSTITUTE(Histmag!B15,"-","")</f>
        <v>9788365156754</v>
      </c>
      <c r="B15" s="9" t="n">
        <f aca="false">VALUE(SUBSTITUTE(Histmag!D15,".",","))</f>
        <v>33.99</v>
      </c>
      <c r="C15" s="8" t="str">
        <f aca="false">SUBSTITUTE(Virtualo!G15,"-","")</f>
        <v>9788365156709</v>
      </c>
      <c r="D15" s="8" t="str">
        <f aca="false">SUBSTITUTE(Empik!F15,"-","")</f>
        <v>9788365156730</v>
      </c>
      <c r="E15" s="8" t="str">
        <f aca="false">SUBSTITUTE(Publio!H15,"-","")</f>
        <v>9788365156860</v>
      </c>
      <c r="F15" s="8" t="n">
        <f aca="false">VALUE(SUBSTITUTE(Publio!Q15,".",","))</f>
        <v>11.37</v>
      </c>
      <c r="G15" s="8" t="str">
        <f aca="false">IFERROR(IF(SEARCH("-", Nexto!B15), SUBSTITUTE(Nexto!B15,"-","")), "")</f>
        <v/>
      </c>
      <c r="H15" s="8" t="n">
        <f aca="false">IFERROR(VALUE(SUBSTITUTE(Nexto!P19,".",",")),0)</f>
        <v>0</v>
      </c>
      <c r="I15" s="9" t="str">
        <f aca="false">SUBSTITUTE(Azymut!D15,"-","")</f>
        <v/>
      </c>
      <c r="J15" s="9" t="n">
        <f aca="false">VALUE(SUBSTITUTE(Azymut!O15,".",","))</f>
        <v>0</v>
      </c>
      <c r="K15" s="9" t="str">
        <f aca="false">SUBSTITUTE(Ebookpoint!E27,"-","")</f>
        <v>9788365156556</v>
      </c>
      <c r="L15" s="9" t="str">
        <f aca="false">SUBSTITUTE(Nasbi!E27,"-","")</f>
        <v/>
      </c>
      <c r="M15" s="9" t="n">
        <f aca="false">VALUE(SUBSTITUTE(StorytelE!G15,".",","))</f>
        <v>1</v>
      </c>
      <c r="N15" s="9" t="n">
        <f aca="false">VALUE(SUBSTITUTE(StorytelA!G15,".",","))</f>
        <v>15</v>
      </c>
      <c r="O15" s="9" t="n">
        <f aca="false">VALUE(SUBSTITUTE(StorytelE!M15,".",","))</f>
        <v>2.19</v>
      </c>
      <c r="P15" s="9" t="n">
        <f aca="false">VALUE(SUBSTITUTE(StorytelA!M15,".",","))</f>
        <v>54.2</v>
      </c>
      <c r="Q15" s="29"/>
      <c r="R15" s="29" t="n">
        <f aca="false">VALUE(SUBSTITUTE(Woblink!H27,".",","))</f>
        <v>6.23</v>
      </c>
      <c r="S15" s="9" t="str">
        <f aca="false">SUBSTITUTE(AzymutB!D15,"-","")</f>
        <v/>
      </c>
      <c r="T15" s="9" t="n">
        <f aca="false">VALUE(SUBSTITUTE(AzymutB!O15,".",","))</f>
        <v>0</v>
      </c>
      <c r="U15" s="9" t="str">
        <f aca="false">SUBSTITUTE(Audioteka!Q17,"-","")</f>
        <v>9788365156686</v>
      </c>
    </row>
    <row r="16" customFormat="false" ht="15.75" hidden="false" customHeight="false" outlineLevel="0" collapsed="false">
      <c r="A16" s="8" t="str">
        <f aca="false">SUBSTITUTE(Histmag!B16,"-","")</f>
        <v>9788365156358</v>
      </c>
      <c r="B16" s="9" t="n">
        <f aca="false">VALUE(SUBSTITUTE(Histmag!D16,".",","))</f>
        <v>12.42</v>
      </c>
      <c r="C16" s="8" t="str">
        <f aca="false">SUBSTITUTE(Virtualo!G16,"-","")</f>
        <v/>
      </c>
      <c r="D16" s="8" t="str">
        <f aca="false">SUBSTITUTE(Empik!F16,"-","")</f>
        <v>9788365156839</v>
      </c>
      <c r="E16" s="8" t="str">
        <f aca="false">SUBSTITUTE(Publio!H16,"-","")</f>
        <v>9788365156860</v>
      </c>
      <c r="F16" s="8" t="n">
        <f aca="false">VALUE(SUBSTITUTE(Publio!Q16,".",","))</f>
        <v>11.37</v>
      </c>
      <c r="G16" s="8" t="str">
        <f aca="false">IFERROR(IF(SEARCH("-", Nexto!B16), SUBSTITUTE(Nexto!B16,"-","")), "")</f>
        <v/>
      </c>
      <c r="H16" s="8" t="n">
        <f aca="false">IFERROR(VALUE(SUBSTITUTE(Nexto!P20,".",",")),0)</f>
        <v>0</v>
      </c>
      <c r="I16" s="9" t="str">
        <f aca="false">SUBSTITUTE(Azymut!D16,"-","")</f>
        <v/>
      </c>
      <c r="J16" s="9" t="n">
        <f aca="false">VALUE(SUBSTITUTE(Azymut!O16,".",","))</f>
        <v>0</v>
      </c>
      <c r="K16" s="9" t="str">
        <f aca="false">SUBSTITUTE(Ebookpoint!E28,"-","")</f>
        <v>9788365156556</v>
      </c>
      <c r="L16" s="9" t="str">
        <f aca="false">SUBSTITUTE(Nasbi!E28,"-","")</f>
        <v/>
      </c>
      <c r="M16" s="9" t="n">
        <f aca="false">VALUE(SUBSTITUTE(StorytelE!G16,".",","))</f>
        <v>1</v>
      </c>
      <c r="N16" s="9" t="n">
        <f aca="false">VALUE(SUBSTITUTE(StorytelA!G16,".",","))</f>
        <v>35</v>
      </c>
      <c r="O16" s="9" t="n">
        <f aca="false">VALUE(SUBSTITUTE(StorytelE!M16,".",","))</f>
        <v>2.37</v>
      </c>
      <c r="P16" s="9" t="n">
        <f aca="false">VALUE(SUBSTITUTE(StorytelA!M16,".",","))</f>
        <v>62.85</v>
      </c>
      <c r="Q16" s="29"/>
      <c r="R16" s="29" t="n">
        <f aca="false">VALUE(SUBSTITUTE(Woblink!H28,".",","))</f>
        <v>0</v>
      </c>
      <c r="S16" s="9" t="str">
        <f aca="false">SUBSTITUTE(AzymutB!D16,"-","")</f>
        <v/>
      </c>
      <c r="T16" s="9" t="n">
        <f aca="false">VALUE(SUBSTITUTE(AzymutB!O16,".",","))</f>
        <v>0</v>
      </c>
      <c r="U16" s="9" t="str">
        <f aca="false">SUBSTITUTE(Audioteka!Q18,"-","")</f>
        <v>9788365156853</v>
      </c>
    </row>
    <row r="17" customFormat="false" ht="15.75" hidden="false" customHeight="false" outlineLevel="0" collapsed="false">
      <c r="A17" s="8" t="str">
        <f aca="false">SUBSTITUTE(Histmag!B17,"-","")</f>
        <v>9788362329984</v>
      </c>
      <c r="B17" s="9" t="n">
        <f aca="false">VALUE(SUBSTITUTE(Histmag!D17,".",","))</f>
        <v>13.14</v>
      </c>
      <c r="C17" s="8" t="str">
        <f aca="false">SUBSTITUTE(Virtualo!G17,"-","")</f>
        <v/>
      </c>
      <c r="D17" s="8" t="str">
        <f aca="false">SUBSTITUTE(Empik!F17,"-","")</f>
        <v>9788365156839</v>
      </c>
      <c r="E17" s="8" t="str">
        <f aca="false">SUBSTITUTE(Publio!H17,"-","")</f>
        <v>9788365156860</v>
      </c>
      <c r="F17" s="8" t="n">
        <f aca="false">VALUE(SUBSTITUTE(Publio!Q17,".",","))</f>
        <v>11.37</v>
      </c>
      <c r="G17" s="8" t="str">
        <f aca="false">IFERROR(IF(SEARCH("-", Nexto!B17), SUBSTITUTE(Nexto!B17,"-","")), "")</f>
        <v/>
      </c>
      <c r="H17" s="8" t="n">
        <f aca="false">IFERROR(VALUE(SUBSTITUTE(Nexto!P21,".",",")),0)</f>
        <v>0</v>
      </c>
      <c r="I17" s="9" t="str">
        <f aca="false">SUBSTITUTE(Azymut!D17,"-","")</f>
        <v/>
      </c>
      <c r="J17" s="9" t="n">
        <f aca="false">VALUE(SUBSTITUTE(Azymut!O17,".",","))</f>
        <v>0</v>
      </c>
      <c r="K17" s="9" t="str">
        <f aca="false">SUBSTITUTE(Ebookpoint!E29,"-","")</f>
        <v>9788365156556</v>
      </c>
      <c r="L17" s="9" t="str">
        <f aca="false">SUBSTITUTE(Nasbi!E29,"-","")</f>
        <v/>
      </c>
      <c r="M17" s="9" t="n">
        <f aca="false">VALUE(SUBSTITUTE(StorytelE!G17,".",","))</f>
        <v>7</v>
      </c>
      <c r="N17" s="9" t="n">
        <f aca="false">VALUE(SUBSTITUTE(StorytelA!G17,".",","))</f>
        <v>43</v>
      </c>
      <c r="O17" s="9" t="n">
        <f aca="false">VALUE(SUBSTITUTE(StorytelE!M17,".",","))</f>
        <v>16.82</v>
      </c>
      <c r="P17" s="9" t="n">
        <f aca="false">VALUE(SUBSTITUTE(StorytelA!M17,".",","))</f>
        <v>57.96</v>
      </c>
      <c r="Q17" s="29"/>
      <c r="R17" s="29" t="n">
        <f aca="false">VALUE(SUBSTITUTE(Woblink!H29,".",","))</f>
        <v>0</v>
      </c>
      <c r="S17" s="9" t="str">
        <f aca="false">SUBSTITUTE(AzymutB!D17,"-","")</f>
        <v/>
      </c>
      <c r="T17" s="9" t="n">
        <f aca="false">VALUE(SUBSTITUTE(AzymutB!O17,".",","))</f>
        <v>0</v>
      </c>
      <c r="U17" s="9" t="str">
        <f aca="false">SUBSTITUTE(Audioteka!Q19,"-","")</f>
        <v>9788365156808</v>
      </c>
    </row>
    <row r="18" customFormat="false" ht="15.75" hidden="false" customHeight="false" outlineLevel="0" collapsed="false">
      <c r="A18" s="8" t="str">
        <f aca="false">SUBSTITUTE(Histmag!B18,"-","")</f>
        <v>9788365156006</v>
      </c>
      <c r="B18" s="9" t="n">
        <f aca="false">VALUE(SUBSTITUTE(Histmag!D18,".",","))</f>
        <v>9.8</v>
      </c>
      <c r="C18" s="8" t="str">
        <f aca="false">SUBSTITUTE(Virtualo!G18,"-","")</f>
        <v/>
      </c>
      <c r="D18" s="8" t="str">
        <f aca="false">SUBSTITUTE(Empik!F18,"-","")</f>
        <v>9788365156129</v>
      </c>
      <c r="E18" s="8" t="str">
        <f aca="false">SUBSTITUTE(Publio!H18,"-","")</f>
        <v>9788365156860</v>
      </c>
      <c r="F18" s="8" t="n">
        <f aca="false">VALUE(SUBSTITUTE(Publio!Q18,".",","))</f>
        <v>11.37</v>
      </c>
      <c r="G18" s="8" t="str">
        <f aca="false">IFERROR(IF(SEARCH("-", Nexto!B18), SUBSTITUTE(Nexto!B18,"-","")), "")</f>
        <v/>
      </c>
      <c r="H18" s="8" t="n">
        <f aca="false">IFERROR(VALUE(SUBSTITUTE(Nexto!P22,".",",")),0)</f>
        <v>0</v>
      </c>
      <c r="I18" s="9" t="str">
        <f aca="false">SUBSTITUTE(Azymut!D18,"-","")</f>
        <v/>
      </c>
      <c r="J18" s="9" t="n">
        <f aca="false">VALUE(SUBSTITUTE(Azymut!O18,".",","))</f>
        <v>0</v>
      </c>
      <c r="K18" s="9" t="str">
        <f aca="false">SUBSTITUTE(Ebookpoint!E30,"-","")</f>
        <v>9788365156556</v>
      </c>
      <c r="L18" s="9" t="str">
        <f aca="false">SUBSTITUTE(Nasbi!E30,"-","")</f>
        <v/>
      </c>
      <c r="M18" s="9" t="n">
        <f aca="false">VALUE(SUBSTITUTE(StorytelE!G18,".",","))</f>
        <v>3</v>
      </c>
      <c r="N18" s="9" t="n">
        <f aca="false">VALUE(SUBSTITUTE(StorytelA!G18,".",","))</f>
        <v>22</v>
      </c>
      <c r="O18" s="9" t="n">
        <f aca="false">VALUE(SUBSTITUTE(StorytelE!M18,".",","))</f>
        <v>8.38</v>
      </c>
      <c r="P18" s="9" t="n">
        <f aca="false">VALUE(SUBSTITUTE(StorytelA!M18,".",","))</f>
        <v>49.71</v>
      </c>
      <c r="Q18" s="29"/>
      <c r="R18" s="29" t="n">
        <f aca="false">VALUE(SUBSTITUTE(Woblink!H30,".",","))</f>
        <v>0</v>
      </c>
      <c r="S18" s="9" t="str">
        <f aca="false">SUBSTITUTE(AzymutB!D18,"-","")</f>
        <v/>
      </c>
      <c r="T18" s="9" t="n">
        <f aca="false">VALUE(SUBSTITUTE(AzymutB!O18,".",","))</f>
        <v>0</v>
      </c>
      <c r="U18" s="9" t="str">
        <f aca="false">SUBSTITUTE(Audioteka!Q20,"-","")</f>
        <v>9788365156853</v>
      </c>
    </row>
    <row r="19" customFormat="false" ht="15.75" hidden="false" customHeight="false" outlineLevel="0" collapsed="false">
      <c r="A19" s="8" t="str">
        <f aca="false">SUBSTITUTE(Histmag!B19,"-","")</f>
        <v>9788393463015</v>
      </c>
      <c r="B19" s="9" t="n">
        <f aca="false">VALUE(SUBSTITUTE(Histmag!D19,".",","))</f>
        <v>7.32</v>
      </c>
      <c r="C19" s="8" t="str">
        <f aca="false">SUBSTITUTE(Virtualo!G19,"-","")</f>
        <v/>
      </c>
      <c r="D19" s="8" t="str">
        <f aca="false">SUBSTITUTE(Empik!F19,"-","")</f>
        <v>9788365156327</v>
      </c>
      <c r="E19" s="8" t="str">
        <f aca="false">SUBSTITUTE(Publio!H19,"-","")</f>
        <v>9788365156136</v>
      </c>
      <c r="F19" s="8" t="n">
        <f aca="false">VALUE(SUBSTITUTE(Publio!Q19,".",","))</f>
        <v>8.51</v>
      </c>
      <c r="G19" s="8" t="str">
        <f aca="false">IFERROR(IF(SEARCH("-", Nexto!B19), SUBSTITUTE(Nexto!B19,"-","")), "")</f>
        <v/>
      </c>
      <c r="H19" s="8" t="n">
        <f aca="false">IFERROR(VALUE(SUBSTITUTE(Nexto!P23,".",",")),0)</f>
        <v>0</v>
      </c>
      <c r="I19" s="9" t="str">
        <f aca="false">SUBSTITUTE(Azymut!D19,"-","")</f>
        <v/>
      </c>
      <c r="J19" s="9" t="n">
        <f aca="false">VALUE(SUBSTITUTE(Azymut!O19,".",","))</f>
        <v>0</v>
      </c>
      <c r="K19" s="9" t="str">
        <f aca="false">SUBSTITUTE(Ebookpoint!E31,"-","")</f>
        <v>9788365156556</v>
      </c>
      <c r="L19" s="9" t="str">
        <f aca="false">SUBSTITUTE(Nasbi!E31,"-","")</f>
        <v/>
      </c>
      <c r="M19" s="9" t="n">
        <f aca="false">VALUE(SUBSTITUTE(StorytelE!G19,".",","))</f>
        <v>1</v>
      </c>
      <c r="N19" s="9" t="n">
        <f aca="false">VALUE(SUBSTITUTE(StorytelA!G19,".",","))</f>
        <v>47</v>
      </c>
      <c r="O19" s="9" t="n">
        <f aca="false">VALUE(SUBSTITUTE(StorytelE!M19,".",","))</f>
        <v>1.3</v>
      </c>
      <c r="P19" s="9" t="n">
        <f aca="false">VALUE(SUBSTITUTE(StorytelA!M19,".",","))</f>
        <v>70.55</v>
      </c>
      <c r="Q19" s="29"/>
      <c r="R19" s="29" t="n">
        <f aca="false">VALUE(SUBSTITUTE(Woblink!H31,".",","))</f>
        <v>0</v>
      </c>
      <c r="S19" s="9" t="str">
        <f aca="false">SUBSTITUTE(AzymutB!D19,"-","")</f>
        <v/>
      </c>
      <c r="T19" s="9" t="n">
        <f aca="false">VALUE(SUBSTITUTE(AzymutB!O19,".",","))</f>
        <v>0</v>
      </c>
      <c r="U19" s="9" t="str">
        <f aca="false">SUBSTITUTE(Audioteka!Q21,"-","")</f>
        <v>9788365156853</v>
      </c>
    </row>
    <row r="20" customFormat="false" ht="15.75" hidden="false" customHeight="false" outlineLevel="0" collapsed="false">
      <c r="A20" s="8" t="str">
        <f aca="false">SUBSTITUTE(Histmag!B20,"-","")</f>
        <v>9788393463060</v>
      </c>
      <c r="B20" s="9" t="n">
        <f aca="false">VALUE(SUBSTITUTE(Histmag!D20,".",","))</f>
        <v>15.3</v>
      </c>
      <c r="C20" s="8" t="str">
        <f aca="false">SUBSTITUTE(Virtualo!G20,"-","")</f>
        <v/>
      </c>
      <c r="D20" s="8" t="str">
        <f aca="false">SUBSTITUTE(Empik!F20,"-","")</f>
        <v>9788365156327</v>
      </c>
      <c r="E20" s="8" t="str">
        <f aca="false">SUBSTITUTE(Publio!H20,"-","")</f>
        <v>9788365156877</v>
      </c>
      <c r="F20" s="8" t="n">
        <f aca="false">VALUE(SUBSTITUTE(Publio!Q20,".",","))</f>
        <v>11.37</v>
      </c>
      <c r="G20" s="8" t="str">
        <f aca="false">IFERROR(IF(SEARCH("-", Nexto!B20), SUBSTITUTE(Nexto!B20,"-","")), "")</f>
        <v/>
      </c>
      <c r="H20" s="8" t="n">
        <f aca="false">IFERROR(VALUE(SUBSTITUTE(Nexto!P24,".",",")),0)</f>
        <v>0</v>
      </c>
      <c r="I20" s="9" t="str">
        <f aca="false">SUBSTITUTE(Azymut!D20,"-","")</f>
        <v/>
      </c>
      <c r="J20" s="9" t="n">
        <f aca="false">VALUE(SUBSTITUTE(Azymut!O20,".",","))</f>
        <v>0</v>
      </c>
      <c r="K20" s="9" t="str">
        <f aca="false">SUBSTITUTE(Ebookpoint!E32,"-","")</f>
        <v>9788365156600</v>
      </c>
      <c r="L20" s="9" t="str">
        <f aca="false">SUBSTITUTE(Nasbi!E32,"-","")</f>
        <v/>
      </c>
      <c r="M20" s="9" t="n">
        <f aca="false">VALUE(SUBSTITUTE(StorytelE!G20,".",","))</f>
        <v>1</v>
      </c>
      <c r="N20" s="9" t="n">
        <f aca="false">VALUE(SUBSTITUTE(StorytelA!G20,".",","))</f>
        <v>21</v>
      </c>
      <c r="O20" s="9" t="n">
        <f aca="false">VALUE(SUBSTITUTE(StorytelE!M20,".",","))</f>
        <v>1.53</v>
      </c>
      <c r="P20" s="9" t="n">
        <f aca="false">VALUE(SUBSTITUTE(StorytelA!M20,".",","))</f>
        <v>50.3</v>
      </c>
      <c r="Q20" s="29"/>
      <c r="R20" s="29" t="n">
        <f aca="false">VALUE(SUBSTITUTE(Woblink!H32,".",","))</f>
        <v>0</v>
      </c>
      <c r="S20" s="9" t="str">
        <f aca="false">SUBSTITUTE(AzymutB!D20,"-","")</f>
        <v/>
      </c>
      <c r="T20" s="9" t="n">
        <f aca="false">VALUE(SUBSTITUTE(AzymutB!O20,".",","))</f>
        <v>0</v>
      </c>
      <c r="U20" s="9" t="str">
        <f aca="false">SUBSTITUTE(Audioteka!Q22,"-","")</f>
        <v>9788365156136</v>
      </c>
    </row>
    <row r="21" customFormat="false" ht="15.75" hidden="false" customHeight="false" outlineLevel="0" collapsed="false">
      <c r="A21" s="8" t="str">
        <f aca="false">SUBSTITUTE(Histmag!B21,"-","")</f>
        <v>9788365156143</v>
      </c>
      <c r="B21" s="9" t="n">
        <f aca="false">VALUE(SUBSTITUTE(Histmag!D21,".",","))</f>
        <v>23.41</v>
      </c>
      <c r="C21" s="8" t="str">
        <f aca="false">SUBSTITUTE(Virtualo!G21,"-","")</f>
        <v/>
      </c>
      <c r="D21" s="8" t="str">
        <f aca="false">SUBSTITUTE(Empik!F21,"-","")</f>
        <v>9788365156778</v>
      </c>
      <c r="E21" s="8" t="str">
        <f aca="false">SUBSTITUTE(Publio!H21,"-","")</f>
        <v/>
      </c>
      <c r="F21" s="8" t="n">
        <f aca="false">VALUE(SUBSTITUTE(Publio!Q21,".",","))</f>
        <v>0</v>
      </c>
      <c r="G21" s="8" t="str">
        <f aca="false">IFERROR(IF(SEARCH("-", Nexto!B21), SUBSTITUTE(Nexto!B21,"-","")), "")</f>
        <v/>
      </c>
      <c r="H21" s="8" t="n">
        <f aca="false">IFERROR(VALUE(SUBSTITUTE(Nexto!P25,".",",")),0)</f>
        <v>0</v>
      </c>
      <c r="I21" s="9" t="str">
        <f aca="false">SUBSTITUTE(Azymut!D21,"-","")</f>
        <v/>
      </c>
      <c r="J21" s="9" t="n">
        <f aca="false">VALUE(SUBSTITUTE(Azymut!O21,".",","))</f>
        <v>0</v>
      </c>
      <c r="K21" s="9" t="str">
        <f aca="false">SUBSTITUTE(Ebookpoint!E33,"-","")</f>
        <v>9788365156624</v>
      </c>
      <c r="L21" s="9" t="str">
        <f aca="false">SUBSTITUTE(Nasbi!E33,"-","")</f>
        <v/>
      </c>
      <c r="M21" s="9" t="n">
        <f aca="false">VALUE(SUBSTITUTE(StorytelE!G21,".",","))</f>
        <v>0</v>
      </c>
      <c r="N21" s="9" t="n">
        <f aca="false">VALUE(SUBSTITUTE(StorytelA!G21,".",","))</f>
        <v>73</v>
      </c>
      <c r="O21" s="9" t="n">
        <f aca="false">VALUE(SUBSTITUTE(StorytelE!M21,".",","))</f>
        <v>0</v>
      </c>
      <c r="P21" s="9" t="n">
        <f aca="false">VALUE(SUBSTITUTE(StorytelA!M21,".",","))</f>
        <v>95.94</v>
      </c>
      <c r="Q21" s="29"/>
      <c r="R21" s="29" t="n">
        <f aca="false">VALUE(SUBSTITUTE(Woblink!H33,".",","))</f>
        <v>0</v>
      </c>
      <c r="S21" s="9" t="str">
        <f aca="false">SUBSTITUTE(AzymutB!D21,"-","")</f>
        <v/>
      </c>
      <c r="T21" s="9" t="n">
        <f aca="false">VALUE(SUBSTITUTE(AzymutB!O21,".",","))</f>
        <v>0</v>
      </c>
      <c r="U21" s="9" t="str">
        <f aca="false">SUBSTITUTE(Audioteka!Q23,"-","")</f>
        <v>9788365156792</v>
      </c>
    </row>
    <row r="22" customFormat="false" ht="15.75" hidden="false" customHeight="false" outlineLevel="0" collapsed="false">
      <c r="A22" s="8" t="str">
        <f aca="false">SUBSTITUTE(Histmag!B22,"-","")</f>
        <v>9788365156075</v>
      </c>
      <c r="B22" s="9" t="n">
        <f aca="false">VALUE(SUBSTITUTE(Histmag!D22,".",","))</f>
        <v>12.42</v>
      </c>
      <c r="C22" s="8" t="str">
        <f aca="false">SUBSTITUTE(Virtualo!G22,"-","")</f>
        <v/>
      </c>
      <c r="D22" s="8" t="str">
        <f aca="false">SUBSTITUTE(Empik!F22,"-","")</f>
        <v>9788365156778</v>
      </c>
      <c r="E22" s="8" t="str">
        <f aca="false">SUBSTITUTE(Publio!H22,"-","")</f>
        <v/>
      </c>
      <c r="F22" s="8" t="n">
        <f aca="false">VALUE(SUBSTITUTE(Publio!Q22,".",","))</f>
        <v>0</v>
      </c>
      <c r="G22" s="8" t="str">
        <f aca="false">IFERROR(IF(SEARCH("-", Nexto!B22), SUBSTITUTE(Nexto!B22,"-","")), "")</f>
        <v/>
      </c>
      <c r="H22" s="8" t="n">
        <f aca="false">IFERROR(VALUE(SUBSTITUTE(Nexto!P26,".",",")),0)</f>
        <v>0</v>
      </c>
      <c r="I22" s="9" t="str">
        <f aca="false">SUBSTITUTE(Azymut!D22,"-","")</f>
        <v/>
      </c>
      <c r="J22" s="9" t="n">
        <f aca="false">VALUE(SUBSTITUTE(Azymut!O22,".",","))</f>
        <v>0</v>
      </c>
      <c r="K22" s="9" t="str">
        <f aca="false">SUBSTITUTE(Ebookpoint!E34,"-","")</f>
        <v>9788365156648</v>
      </c>
      <c r="L22" s="9" t="str">
        <f aca="false">SUBSTITUTE(Nasbi!E34,"-","")</f>
        <v/>
      </c>
      <c r="M22" s="9" t="n">
        <f aca="false">VALUE(SUBSTITUTE(StorytelE!G22,".",","))</f>
        <v>0</v>
      </c>
      <c r="N22" s="9" t="n">
        <f aca="false">VALUE(SUBSTITUTE(StorytelA!G22,".",","))</f>
        <v>63</v>
      </c>
      <c r="O22" s="9" t="n">
        <f aca="false">VALUE(SUBSTITUTE(StorytelE!M22,".",","))</f>
        <v>0</v>
      </c>
      <c r="P22" s="9" t="n">
        <f aca="false">VALUE(SUBSTITUTE(StorytelA!M22,".",","))</f>
        <v>85.52</v>
      </c>
      <c r="Q22" s="29"/>
      <c r="R22" s="29" t="n">
        <f aca="false">VALUE(SUBSTITUTE(Woblink!H34,".",","))</f>
        <v>0</v>
      </c>
      <c r="S22" s="9" t="str">
        <f aca="false">SUBSTITUTE(AzymutB!D22,"-","")</f>
        <v/>
      </c>
      <c r="T22" s="9" t="n">
        <f aca="false">VALUE(SUBSTITUTE(AzymutB!O22,".",","))</f>
        <v>0</v>
      </c>
      <c r="U22" s="9" t="str">
        <f aca="false">SUBSTITUTE(Audioteka!Q24,"-","")</f>
        <v>9788365156747</v>
      </c>
    </row>
    <row r="23" customFormat="false" ht="15.75" hidden="false" customHeight="false" outlineLevel="0" collapsed="false">
      <c r="A23" s="8" t="str">
        <f aca="false">SUBSTITUTE(Histmag!B23,"-","")</f>
        <v>9788362329991</v>
      </c>
      <c r="B23" s="9" t="n">
        <f aca="false">VALUE(SUBSTITUTE(Histmag!D23,".",","))</f>
        <v>26.56</v>
      </c>
      <c r="C23" s="8" t="str">
        <f aca="false">SUBSTITUTE(Virtualo!G23,"-","")</f>
        <v/>
      </c>
      <c r="D23" s="8" t="str">
        <f aca="false">SUBSTITUTE(Empik!F23,"-","")</f>
        <v>9788365156778</v>
      </c>
      <c r="E23" s="8" t="str">
        <f aca="false">SUBSTITUTE(Publio!H23,"-","")</f>
        <v/>
      </c>
      <c r="F23" s="8" t="n">
        <f aca="false">VALUE(SUBSTITUTE(Publio!Q23,".",","))</f>
        <v>0</v>
      </c>
      <c r="G23" s="8" t="str">
        <f aca="false">IFERROR(IF(SEARCH("-", Nexto!B23), SUBSTITUTE(Nexto!B23,"-","")), "")</f>
        <v/>
      </c>
      <c r="H23" s="8" t="n">
        <f aca="false">IFERROR(VALUE(SUBSTITUTE(Nexto!P27,".",",")),0)</f>
        <v>0</v>
      </c>
      <c r="I23" s="9" t="str">
        <f aca="false">SUBSTITUTE(Azymut!D23,"-","")</f>
        <v/>
      </c>
      <c r="J23" s="9" t="n">
        <f aca="false">VALUE(SUBSTITUTE(Azymut!O23,".",","))</f>
        <v>0</v>
      </c>
      <c r="K23" s="9" t="str">
        <f aca="false">SUBSTITUTE(Ebookpoint!E35,"-","")</f>
        <v>9788365156648</v>
      </c>
      <c r="L23" s="9" t="str">
        <f aca="false">SUBSTITUTE(Nasbi!E35,"-","")</f>
        <v/>
      </c>
      <c r="M23" s="9" t="n">
        <f aca="false">VALUE(SUBSTITUTE(StorytelE!G23,".",","))</f>
        <v>0</v>
      </c>
      <c r="N23" s="9" t="n">
        <f aca="false">VALUE(SUBSTITUTE(StorytelA!G23,".",","))</f>
        <v>111</v>
      </c>
      <c r="O23" s="9" t="n">
        <f aca="false">VALUE(SUBSTITUTE(StorytelE!M23,".",","))</f>
        <v>0</v>
      </c>
      <c r="P23" s="9" t="n">
        <f aca="false">VALUE(SUBSTITUTE(StorytelA!M23,".",","))</f>
        <v>151.74</v>
      </c>
      <c r="Q23" s="29"/>
      <c r="R23" s="29" t="n">
        <f aca="false">VALUE(SUBSTITUTE(Woblink!H35,".",","))</f>
        <v>0</v>
      </c>
      <c r="S23" s="9" t="str">
        <f aca="false">SUBSTITUTE(AzymutB!D23,"-","")</f>
        <v/>
      </c>
      <c r="T23" s="9" t="n">
        <f aca="false">VALUE(SUBSTITUTE(AzymutB!O23,".",","))</f>
        <v>0</v>
      </c>
      <c r="U23" s="9" t="str">
        <f aca="false">SUBSTITUTE(Audioteka!Q25,"-","")</f>
        <v/>
      </c>
    </row>
    <row r="24" customFormat="false" ht="15.75" hidden="false" customHeight="false" outlineLevel="0" collapsed="false">
      <c r="A24" s="8" t="str">
        <f aca="false">SUBSTITUTE(Histmag!B24,"-","")</f>
        <v>9788365156372</v>
      </c>
      <c r="B24" s="9" t="n">
        <f aca="false">VALUE(SUBSTITUTE(Histmag!D24,".",","))</f>
        <v>23.41</v>
      </c>
      <c r="C24" s="8" t="str">
        <f aca="false">SUBSTITUTE(Virtualo!G24,"-","")</f>
        <v/>
      </c>
      <c r="D24" s="8" t="str">
        <f aca="false">SUBSTITUTE(Empik!F24,"-","")</f>
        <v>9788365156570</v>
      </c>
      <c r="E24" s="8" t="str">
        <f aca="false">SUBSTITUTE(Publio!H24,"-","")</f>
        <v/>
      </c>
      <c r="F24" s="8" t="n">
        <f aca="false">VALUE(SUBSTITUTE(Publio!Q24,".",","))</f>
        <v>0</v>
      </c>
      <c r="G24" s="8" t="str">
        <f aca="false">IFERROR(IF(SEARCH("-", Nexto!B24), SUBSTITUTE(Nexto!B24,"-","")), "")</f>
        <v/>
      </c>
      <c r="H24" s="8" t="n">
        <f aca="false">IFERROR(VALUE(SUBSTITUTE(Nexto!P28,".",",")),0)</f>
        <v>0</v>
      </c>
      <c r="I24" s="9" t="str">
        <f aca="false">SUBSTITUTE(Azymut!D24,"-","")</f>
        <v/>
      </c>
      <c r="J24" s="9" t="n">
        <f aca="false">VALUE(SUBSTITUTE(Azymut!O24,".",","))</f>
        <v>0</v>
      </c>
      <c r="K24" s="9" t="str">
        <f aca="false">SUBSTITUTE(Ebookpoint!E36,"-","")</f>
        <v>9788365156716</v>
      </c>
      <c r="L24" s="9" t="str">
        <f aca="false">SUBSTITUTE(Nasbi!E36,"-","")</f>
        <v/>
      </c>
      <c r="M24" s="9" t="n">
        <f aca="false">VALUE(SUBSTITUTE(StorytelE!G24,".",","))</f>
        <v>0</v>
      </c>
      <c r="N24" s="9" t="n">
        <f aca="false">VALUE(SUBSTITUTE(StorytelA!G24,".",","))</f>
        <v>60</v>
      </c>
      <c r="O24" s="9" t="n">
        <f aca="false">VALUE(SUBSTITUTE(StorytelE!M24,".",","))</f>
        <v>0</v>
      </c>
      <c r="P24" s="9" t="n">
        <f aca="false">VALUE(SUBSTITUTE(StorytelA!M24,".",","))</f>
        <v>121.49</v>
      </c>
      <c r="Q24" s="29"/>
      <c r="R24" s="29" t="n">
        <f aca="false">VALUE(SUBSTITUTE(Woblink!H36,".",","))</f>
        <v>0</v>
      </c>
      <c r="S24" s="9" t="str">
        <f aca="false">SUBSTITUTE(AzymutB!D24,"-","")</f>
        <v/>
      </c>
      <c r="T24" s="9" t="n">
        <f aca="false">VALUE(SUBSTITUTE(AzymutB!O24,".",","))</f>
        <v>0</v>
      </c>
      <c r="U24" s="9" t="str">
        <f aca="false">SUBSTITUTE(Audioteka!Q26,"-","")</f>
        <v/>
      </c>
    </row>
    <row r="25" customFormat="false" ht="15.75" hidden="false" customHeight="false" outlineLevel="0" collapsed="false">
      <c r="A25" s="8" t="str">
        <f aca="false">SUBSTITUTE(Histmag!B25,"-","")</f>
        <v>9788365156419</v>
      </c>
      <c r="B25" s="9" t="n">
        <f aca="false">VALUE(SUBSTITUTE(Histmag!D25,".",","))</f>
        <v>15.29</v>
      </c>
      <c r="C25" s="8" t="str">
        <f aca="false">SUBSTITUTE(Virtualo!G25,"-","")</f>
        <v/>
      </c>
      <c r="D25" s="8" t="str">
        <f aca="false">SUBSTITUTE(Empik!F25,"-","")</f>
        <v>9788365156570</v>
      </c>
      <c r="E25" s="8" t="str">
        <f aca="false">SUBSTITUTE(Publio!H25,"-","")</f>
        <v/>
      </c>
      <c r="F25" s="8" t="n">
        <f aca="false">VALUE(SUBSTITUTE(Publio!Q25,".",","))</f>
        <v>0</v>
      </c>
      <c r="G25" s="8" t="str">
        <f aca="false">IFERROR(IF(SEARCH("-", Nexto!B25), SUBSTITUTE(Nexto!B25,"-","")), "")</f>
        <v/>
      </c>
      <c r="H25" s="8" t="n">
        <f aca="false">IFERROR(VALUE(SUBSTITUTE(Nexto!P29,".",",")),0)</f>
        <v>0</v>
      </c>
      <c r="I25" s="9" t="str">
        <f aca="false">SUBSTITUTE(Azymut!D25,"-","")</f>
        <v/>
      </c>
      <c r="J25" s="9" t="n">
        <f aca="false">VALUE(SUBSTITUTE(Azymut!O25,".",","))</f>
        <v>0</v>
      </c>
      <c r="K25" s="9" t="str">
        <f aca="false">SUBSTITUTE(Ebookpoint!E37,"-","")</f>
        <v>9788365156754</v>
      </c>
      <c r="L25" s="9" t="str">
        <f aca="false">SUBSTITUTE(Nasbi!E37,"-","")</f>
        <v/>
      </c>
      <c r="M25" s="9" t="n">
        <f aca="false">VALUE(SUBSTITUTE(StorytelE!G25,".",","))</f>
        <v>0</v>
      </c>
      <c r="N25" s="9" t="n">
        <f aca="false">VALUE(SUBSTITUTE(StorytelA!G25,".",","))</f>
        <v>1</v>
      </c>
      <c r="O25" s="9" t="n">
        <f aca="false">VALUE(SUBSTITUTE(StorytelE!M25,".",","))</f>
        <v>0</v>
      </c>
      <c r="P25" s="9" t="n">
        <f aca="false">VALUE(SUBSTITUTE(StorytelA!M25,".",","))</f>
        <v>3.66</v>
      </c>
      <c r="Q25" s="29"/>
      <c r="R25" s="29" t="n">
        <f aca="false">VALUE(SUBSTITUTE(Woblink!H37,".",","))</f>
        <v>0</v>
      </c>
      <c r="S25" s="9" t="str">
        <f aca="false">SUBSTITUTE(AzymutB!D25,"-","")</f>
        <v/>
      </c>
      <c r="T25" s="9" t="n">
        <f aca="false">VALUE(SUBSTITUTE(AzymutB!O25,".",","))</f>
        <v>0</v>
      </c>
      <c r="U25" s="9" t="str">
        <f aca="false">SUBSTITUTE(Audioteka!Q27,"-","")</f>
        <v/>
      </c>
    </row>
    <row r="26" customFormat="false" ht="15.75" hidden="false" customHeight="false" outlineLevel="0" collapsed="false">
      <c r="A26" s="8" t="str">
        <f aca="false">SUBSTITUTE(Histmag!B26,"-","")</f>
        <v>9788365156433</v>
      </c>
      <c r="B26" s="9" t="n">
        <f aca="false">VALUE(SUBSTITUTE(Histmag!D26,".",","))</f>
        <v>22.66</v>
      </c>
      <c r="C26" s="8" t="str">
        <f aca="false">SUBSTITUTE(Virtualo!G26,"-","")</f>
        <v/>
      </c>
      <c r="D26" s="8" t="str">
        <f aca="false">SUBSTITUTE(Empik!F26,"-","")</f>
        <v>9788365156570</v>
      </c>
      <c r="E26" s="8" t="str">
        <f aca="false">SUBSTITUTE(Publio!H26,"-","")</f>
        <v/>
      </c>
      <c r="F26" s="8" t="n">
        <f aca="false">VALUE(SUBSTITUTE(Publio!Q26,".",","))</f>
        <v>0</v>
      </c>
      <c r="G26" s="8" t="str">
        <f aca="false">IFERROR(IF(SEARCH("-", Nexto!B26), SUBSTITUTE(Nexto!B26,"-","")), "")</f>
        <v/>
      </c>
      <c r="H26" s="8" t="n">
        <f aca="false">IFERROR(VALUE(SUBSTITUTE(Nexto!P30,".",",")),0)</f>
        <v>0</v>
      </c>
      <c r="I26" s="9" t="str">
        <f aca="false">SUBSTITUTE(Azymut!D26,"-","")</f>
        <v/>
      </c>
      <c r="J26" s="9" t="n">
        <f aca="false">VALUE(SUBSTITUTE(Azymut!O26,".",","))</f>
        <v>0</v>
      </c>
      <c r="K26" s="9" t="str">
        <f aca="false">SUBSTITUTE(Ebookpoint!E38,"-","")</f>
        <v>9788365156754</v>
      </c>
      <c r="L26" s="9" t="str">
        <f aca="false">SUBSTITUTE(Nasbi!E38,"-","")</f>
        <v/>
      </c>
      <c r="M26" s="9" t="n">
        <f aca="false">VALUE(SUBSTITUTE(StorytelE!G26,".",","))</f>
        <v>0</v>
      </c>
      <c r="N26" s="9" t="n">
        <f aca="false">VALUE(SUBSTITUTE(StorytelA!G26,".",","))</f>
        <v>0</v>
      </c>
      <c r="O26" s="9" t="n">
        <f aca="false">VALUE(SUBSTITUTE(StorytelE!M26,".",","))</f>
        <v>0</v>
      </c>
      <c r="P26" s="9" t="n">
        <f aca="false">VALUE(SUBSTITUTE(StorytelA!M26,".",","))</f>
        <v>0</v>
      </c>
      <c r="Q26" s="29"/>
      <c r="R26" s="29" t="n">
        <f aca="false">VALUE(SUBSTITUTE(Woblink!H38,".",","))</f>
        <v>0</v>
      </c>
      <c r="S26" s="9" t="str">
        <f aca="false">SUBSTITUTE(AzymutB!D26,"-","")</f>
        <v/>
      </c>
      <c r="T26" s="9" t="n">
        <f aca="false">VALUE(SUBSTITUTE(AzymutB!O26,".",","))</f>
        <v>0</v>
      </c>
      <c r="U26" s="9" t="str">
        <f aca="false">SUBSTITUTE(Audioteka!Q28,"-","")</f>
        <v/>
      </c>
    </row>
    <row r="27" customFormat="false" ht="15.75" hidden="false" customHeight="false" outlineLevel="0" collapsed="false">
      <c r="A27" s="8" t="str">
        <f aca="false">SUBSTITUTE(Histmag!B27,"-","")</f>
        <v>9788365156570</v>
      </c>
      <c r="B27" s="9" t="n">
        <f aca="false">VALUE(SUBSTITUTE(Histmag!D27,".",","))</f>
        <v>23.42</v>
      </c>
      <c r="C27" s="8" t="str">
        <f aca="false">SUBSTITUTE(Virtualo!G27,"-","")</f>
        <v/>
      </c>
      <c r="D27" s="8" t="str">
        <f aca="false">SUBSTITUTE(Empik!F27,"-","")</f>
        <v>9788365156853</v>
      </c>
      <c r="E27" s="8" t="str">
        <f aca="false">SUBSTITUTE(Publio!H27,"-","")</f>
        <v/>
      </c>
      <c r="F27" s="8" t="n">
        <f aca="false">VALUE(SUBSTITUTE(Publio!Q27,".",","))</f>
        <v>0</v>
      </c>
      <c r="G27" s="8" t="str">
        <f aca="false">IFERROR(IF(SEARCH("-", Nexto!B27), SUBSTITUTE(Nexto!B27,"-","")), "")</f>
        <v/>
      </c>
      <c r="H27" s="8" t="n">
        <f aca="false">IFERROR(VALUE(SUBSTITUTE(#REF!,".",",")),0)</f>
        <v>0</v>
      </c>
      <c r="I27" s="9" t="str">
        <f aca="false">SUBSTITUTE(Azymut!D27,"-","")</f>
        <v/>
      </c>
      <c r="J27" s="9" t="n">
        <f aca="false">VALUE(SUBSTITUTE(Azymut!O27,".",","))</f>
        <v>0</v>
      </c>
      <c r="K27" s="9" t="str">
        <f aca="false">SUBSTITUTE(Ebookpoint!E39,"-","")</f>
        <v>9788365156785</v>
      </c>
      <c r="L27" s="9" t="str">
        <f aca="false">SUBSTITUTE(Nasbi!E39,"-","")</f>
        <v/>
      </c>
      <c r="M27" s="9" t="n">
        <f aca="false">VALUE(SUBSTITUTE(StorytelE!G27,".",","))</f>
        <v>0</v>
      </c>
      <c r="N27" s="9" t="n">
        <f aca="false">VALUE(SUBSTITUTE(StorytelA!G27,".",","))</f>
        <v>0</v>
      </c>
      <c r="O27" s="9" t="n">
        <f aca="false">VALUE(SUBSTITUTE(StorytelE!M27,".",","))</f>
        <v>0</v>
      </c>
      <c r="P27" s="9" t="n">
        <f aca="false">VALUE(SUBSTITUTE(StorytelA!M27,".",","))</f>
        <v>0</v>
      </c>
      <c r="Q27" s="29"/>
      <c r="R27" s="29" t="n">
        <f aca="false">VALUE(SUBSTITUTE(Woblink!H39,".",","))</f>
        <v>0</v>
      </c>
      <c r="S27" s="9" t="str">
        <f aca="false">SUBSTITUTE(AzymutB!D27,"-","")</f>
        <v/>
      </c>
      <c r="T27" s="9" t="n">
        <f aca="false">VALUE(SUBSTITUTE(AzymutB!O27,".",","))</f>
        <v>0</v>
      </c>
      <c r="U27" s="9" t="str">
        <f aca="false">SUBSTITUTE(Audioteka!Q29,"-","")</f>
        <v/>
      </c>
    </row>
    <row r="28" customFormat="false" ht="15.75" hidden="false" customHeight="false" outlineLevel="0" collapsed="false">
      <c r="A28" s="8" t="str">
        <f aca="false">SUBSTITUTE(Histmag!B28,"-","")</f>
        <v>9788365156587</v>
      </c>
      <c r="B28" s="9" t="n">
        <f aca="false">VALUE(SUBSTITUTE(Histmag!D28,".",","))</f>
        <v>18.44</v>
      </c>
      <c r="C28" s="8" t="str">
        <f aca="false">SUBSTITUTE(Virtualo!G28,"-","")</f>
        <v/>
      </c>
      <c r="D28" s="8" t="str">
        <f aca="false">SUBSTITUTE(Empik!F28,"-","")</f>
        <v>9788365156747</v>
      </c>
      <c r="E28" s="8" t="str">
        <f aca="false">SUBSTITUTE(Publio!H28,"-","")</f>
        <v/>
      </c>
      <c r="F28" s="8" t="n">
        <f aca="false">VALUE(SUBSTITUTE(Publio!Q28,".",","))</f>
        <v>0</v>
      </c>
      <c r="G28" s="8" t="str">
        <f aca="false">IFERROR(IF(SEARCH("-", Nexto!B28), SUBSTITUTE(Nexto!B28,"-","")), "")</f>
        <v/>
      </c>
      <c r="H28" s="8" t="n">
        <f aca="false">IFERROR(VALUE(SUBSTITUTE(#REF!,".",",")),0)</f>
        <v>0</v>
      </c>
      <c r="I28" s="9" t="str">
        <f aca="false">SUBSTITUTE(Azymut!D28,"-","")</f>
        <v/>
      </c>
      <c r="J28" s="9" t="n">
        <f aca="false">VALUE(SUBSTITUTE(Azymut!O28,".",","))</f>
        <v>0</v>
      </c>
      <c r="K28" s="9" t="str">
        <f aca="false">SUBSTITUTE(Ebookpoint!E40,"-","")</f>
        <v>9788365156815</v>
      </c>
      <c r="L28" s="9" t="str">
        <f aca="false">SUBSTITUTE(Nasbi!E40,"-","")</f>
        <v/>
      </c>
      <c r="M28" s="9" t="n">
        <f aca="false">VALUE(SUBSTITUTE(StorytelE!G28,".",","))</f>
        <v>0</v>
      </c>
      <c r="N28" s="9" t="n">
        <f aca="false">VALUE(SUBSTITUTE(StorytelA!G28,".",","))</f>
        <v>0</v>
      </c>
      <c r="O28" s="9" t="n">
        <f aca="false">VALUE(SUBSTITUTE(StorytelE!M28,".",","))</f>
        <v>0</v>
      </c>
      <c r="P28" s="9" t="n">
        <f aca="false">VALUE(SUBSTITUTE(StorytelA!M28,".",","))</f>
        <v>0</v>
      </c>
      <c r="Q28" s="29"/>
      <c r="R28" s="29" t="n">
        <f aca="false">VALUE(SUBSTITUTE(Woblink!H40,".",","))</f>
        <v>0</v>
      </c>
      <c r="S28" s="9" t="str">
        <f aca="false">SUBSTITUTE(AzymutB!D28,"-","")</f>
        <v/>
      </c>
      <c r="T28" s="9" t="n">
        <f aca="false">VALUE(SUBSTITUTE(AzymutB!O28,".",","))</f>
        <v>0</v>
      </c>
      <c r="U28" s="9" t="str">
        <f aca="false">SUBSTITUTE(Audioteka!Q30,"-","")</f>
        <v/>
      </c>
    </row>
    <row r="29" customFormat="false" ht="15.75" hidden="false" customHeight="false" outlineLevel="0" collapsed="false">
      <c r="A29" s="8" t="str">
        <f aca="false">SUBSTITUTE(Histmag!B29,"-","")</f>
        <v>9788365156709</v>
      </c>
      <c r="B29" s="9" t="n">
        <f aca="false">VALUE(SUBSTITUTE(Histmag!D29,".",","))</f>
        <v>12.42</v>
      </c>
      <c r="C29" s="8" t="str">
        <f aca="false">SUBSTITUTE(Virtualo!G29,"-","")</f>
        <v/>
      </c>
      <c r="D29" s="8" t="str">
        <f aca="false">SUBSTITUTE(Empik!F29,"-","")</f>
        <v>9788365156747</v>
      </c>
      <c r="E29" s="8" t="str">
        <f aca="false">SUBSTITUTE(Publio!H29,"-","")</f>
        <v/>
      </c>
      <c r="F29" s="8" t="n">
        <f aca="false">VALUE(SUBSTITUTE(Publio!Q29,".",","))</f>
        <v>0</v>
      </c>
      <c r="G29" s="8" t="str">
        <f aca="false">IFERROR(IF(SEARCH("-", Nexto!B29), SUBSTITUTE(Nexto!B29,"-","")), "")</f>
        <v/>
      </c>
      <c r="H29" s="8" t="n">
        <f aca="false">IFERROR(VALUE(SUBSTITUTE(#REF!,".",",")),0)</f>
        <v>0</v>
      </c>
      <c r="I29" s="9" t="str">
        <f aca="false">SUBSTITUTE(Azymut!D29,"-","")</f>
        <v/>
      </c>
      <c r="J29" s="9" t="n">
        <f aca="false">VALUE(SUBSTITUTE(Azymut!O29,".",","))</f>
        <v>0</v>
      </c>
      <c r="K29" s="9" t="str">
        <f aca="false">SUBSTITUTE(Ebookpoint!E41,"-","")</f>
        <v>9788365156815</v>
      </c>
      <c r="L29" s="9" t="str">
        <f aca="false">SUBSTITUTE(Nasbi!E41,"-","")</f>
        <v/>
      </c>
      <c r="M29" s="9" t="n">
        <f aca="false">VALUE(SUBSTITUTE(StorytelE!G29,".",","))</f>
        <v>0</v>
      </c>
      <c r="N29" s="9" t="n">
        <f aca="false">VALUE(SUBSTITUTE(StorytelA!G29,".",","))</f>
        <v>0</v>
      </c>
      <c r="O29" s="9" t="n">
        <f aca="false">VALUE(SUBSTITUTE(StorytelE!M29,".",","))</f>
        <v>0</v>
      </c>
      <c r="P29" s="9" t="n">
        <f aca="false">VALUE(SUBSTITUTE(StorytelA!M29,".",","))</f>
        <v>0</v>
      </c>
      <c r="Q29" s="29"/>
      <c r="R29" s="29" t="n">
        <f aca="false">VALUE(SUBSTITUTE(Woblink!H41,".",","))</f>
        <v>0</v>
      </c>
      <c r="S29" s="9" t="str">
        <f aca="false">SUBSTITUTE(AzymutB!D29,"-","")</f>
        <v/>
      </c>
      <c r="T29" s="9" t="n">
        <f aca="false">VALUE(SUBSTITUTE(AzymutB!O29,".",","))</f>
        <v>0</v>
      </c>
      <c r="U29" s="9" t="str">
        <f aca="false">SUBSTITUTE(Audioteka!Q31,"-","")</f>
        <v/>
      </c>
    </row>
    <row r="30" customFormat="false" ht="15.75" hidden="false" customHeight="false" outlineLevel="0" collapsed="false">
      <c r="A30" s="8" t="str">
        <f aca="false">SUBSTITUTE(Histmag!B30,"-","")</f>
        <v>9788365156846</v>
      </c>
      <c r="B30" s="9" t="n">
        <f aca="false">VALUE(SUBSTITUTE(Histmag!D30,".",","))</f>
        <v>15.56</v>
      </c>
      <c r="C30" s="8" t="str">
        <f aca="false">SUBSTITUTE(Virtualo!G30,"-","")</f>
        <v/>
      </c>
      <c r="D30" s="8" t="str">
        <f aca="false">SUBSTITUTE(Empik!F30,"-","")</f>
        <v>9788365156846</v>
      </c>
      <c r="E30" s="8" t="str">
        <f aca="false">SUBSTITUTE(Publio!H30,"-","")</f>
        <v/>
      </c>
      <c r="F30" s="8" t="n">
        <f aca="false">VALUE(SUBSTITUTE(Publio!Q30,".",","))</f>
        <v>0</v>
      </c>
      <c r="G30" s="8" t="str">
        <f aca="false">IFERROR(IF(SEARCH("-", Nexto!B30), SUBSTITUTE(Nexto!B30,"-","")), "")</f>
        <v/>
      </c>
      <c r="H30" s="8" t="n">
        <f aca="false">IFERROR(VALUE(SUBSTITUTE(#REF!,".",",")),0)</f>
        <v>0</v>
      </c>
      <c r="I30" s="9" t="str">
        <f aca="false">SUBSTITUTE(Azymut!D30,"-","")</f>
        <v/>
      </c>
      <c r="J30" s="9" t="n">
        <f aca="false">VALUE(SUBSTITUTE(Azymut!O30,".",","))</f>
        <v>0</v>
      </c>
      <c r="K30" s="9" t="str">
        <f aca="false">SUBSTITUTE(Ebookpoint!E42,"-","")</f>
        <v>9788365156815</v>
      </c>
      <c r="L30" s="9" t="str">
        <f aca="false">SUBSTITUTE(Nasbi!E42,"-","")</f>
        <v/>
      </c>
      <c r="M30" s="9" t="n">
        <f aca="false">VALUE(SUBSTITUTE(StorytelE!G30,".",","))</f>
        <v>0</v>
      </c>
      <c r="N30" s="9" t="n">
        <f aca="false">VALUE(SUBSTITUTE(StorytelA!G30,".",","))</f>
        <v>0</v>
      </c>
      <c r="O30" s="9" t="n">
        <f aca="false">VALUE(SUBSTITUTE(StorytelE!M30,".",","))</f>
        <v>0</v>
      </c>
      <c r="P30" s="9" t="n">
        <f aca="false">VALUE(SUBSTITUTE(StorytelA!M30,".",","))</f>
        <v>0</v>
      </c>
      <c r="Q30" s="29"/>
      <c r="R30" s="29" t="n">
        <f aca="false">VALUE(SUBSTITUTE(Woblink!H42,".",","))</f>
        <v>0</v>
      </c>
      <c r="S30" s="9" t="str">
        <f aca="false">SUBSTITUTE(AzymutB!D30,"-","")</f>
        <v/>
      </c>
      <c r="T30" s="9" t="n">
        <f aca="false">VALUE(SUBSTITUTE(AzymutB!O30,".",","))</f>
        <v>0</v>
      </c>
      <c r="U30" s="9" t="str">
        <f aca="false">SUBSTITUTE(Audioteka!Q32,"-","")</f>
        <v/>
      </c>
    </row>
    <row r="31" customFormat="false" ht="15.75" hidden="false" customHeight="false" outlineLevel="0" collapsed="false">
      <c r="A31" s="8" t="str">
        <f aca="false">SUBSTITUTE(Histmag!B31,"-","")</f>
        <v>9788365156303</v>
      </c>
      <c r="B31" s="9" t="n">
        <f aca="false">VALUE(SUBSTITUTE(Histmag!D31,".",","))</f>
        <v>10.46</v>
      </c>
      <c r="C31" s="8" t="str">
        <f aca="false">SUBSTITUTE(Virtualo!G31,"-","")</f>
        <v/>
      </c>
      <c r="D31" s="8" t="str">
        <f aca="false">SUBSTITUTE(Empik!F31,"-","")</f>
        <v>9788365156846</v>
      </c>
      <c r="E31" s="8" t="str">
        <f aca="false">SUBSTITUTE(Publio!H31,"-","")</f>
        <v/>
      </c>
      <c r="F31" s="8" t="n">
        <f aca="false">VALUE(SUBSTITUTE(Publio!Q31,".",","))</f>
        <v>0</v>
      </c>
      <c r="G31" s="8" t="str">
        <f aca="false">IFERROR(IF(SEARCH("-", #REF!), SUBSTITUTE(#REF!,"-","")), "")</f>
        <v/>
      </c>
      <c r="H31" s="8" t="n">
        <f aca="false">IFERROR(VALUE(SUBSTITUTE(#REF!,".",",")),0)</f>
        <v>0</v>
      </c>
      <c r="I31" s="9" t="str">
        <f aca="false">SUBSTITUTE(Azymut!D31,"-","")</f>
        <v/>
      </c>
      <c r="J31" s="9" t="n">
        <f aca="false">VALUE(SUBSTITUTE(Azymut!O31,".",","))</f>
        <v>0</v>
      </c>
      <c r="K31" s="9" t="str">
        <f aca="false">SUBSTITUTE(Ebookpoint!E43,"-","")</f>
        <v>9788365156815</v>
      </c>
      <c r="L31" s="9" t="str">
        <f aca="false">SUBSTITUTE(Nasbi!E43,"-","")</f>
        <v/>
      </c>
      <c r="M31" s="9" t="n">
        <f aca="false">VALUE(SUBSTITUTE(StorytelE!G31,".",","))</f>
        <v>0</v>
      </c>
      <c r="N31" s="9" t="n">
        <f aca="false">VALUE(SUBSTITUTE(StorytelA!G31,".",","))</f>
        <v>0</v>
      </c>
      <c r="O31" s="9" t="n">
        <f aca="false">VALUE(SUBSTITUTE(StorytelE!M31,".",","))</f>
        <v>0</v>
      </c>
      <c r="P31" s="9" t="n">
        <f aca="false">VALUE(SUBSTITUTE(StorytelA!M31,".",","))</f>
        <v>0</v>
      </c>
      <c r="Q31" s="29"/>
      <c r="R31" s="29" t="n">
        <f aca="false">VALUE(SUBSTITUTE(Woblink!H43,".",","))</f>
        <v>0</v>
      </c>
      <c r="S31" s="9" t="str">
        <f aca="false">SUBSTITUTE(AzymutB!D31,"-","")</f>
        <v/>
      </c>
      <c r="T31" s="9" t="n">
        <f aca="false">VALUE(SUBSTITUTE(AzymutB!O31,".",","))</f>
        <v>0</v>
      </c>
      <c r="U31" s="9" t="str">
        <f aca="false">SUBSTITUTE(Audioteka!Q33,"-","")</f>
        <v/>
      </c>
    </row>
    <row r="32" customFormat="false" ht="15.75" hidden="false" customHeight="false" outlineLevel="0" collapsed="false">
      <c r="A32" s="8" t="str">
        <f aca="false">SUBSTITUTE(Histmag!B32,"-","")</f>
        <v>9788365156334</v>
      </c>
      <c r="B32" s="9" t="n">
        <f aca="false">VALUE(SUBSTITUTE(Histmag!D32,".",","))</f>
        <v>4.9</v>
      </c>
      <c r="C32" s="8" t="str">
        <f aca="false">SUBSTITUTE(Virtualo!G32,"-","")</f>
        <v/>
      </c>
      <c r="D32" s="8" t="str">
        <f aca="false">SUBSTITUTE(Empik!F32,"-","")</f>
        <v>9788365156846</v>
      </c>
      <c r="E32" s="8" t="str">
        <f aca="false">SUBSTITUTE(Publio!H32,"-","")</f>
        <v/>
      </c>
      <c r="F32" s="8" t="n">
        <f aca="false">VALUE(SUBSTITUTE(Publio!Q32,".",","))</f>
        <v>0</v>
      </c>
      <c r="G32" s="8" t="str">
        <f aca="false">IFERROR(IF(SEARCH("-", #REF!), SUBSTITUTE(#REF!,"-","")), "")</f>
        <v/>
      </c>
      <c r="H32" s="8" t="n">
        <f aca="false">IFERROR(VALUE(SUBSTITUTE(#REF!,".",",")),0)</f>
        <v>0</v>
      </c>
      <c r="I32" s="9" t="str">
        <f aca="false">SUBSTITUTE(Azymut!D32,"-","")</f>
        <v/>
      </c>
      <c r="J32" s="9" t="n">
        <f aca="false">VALUE(SUBSTITUTE(Azymut!O32,".",","))</f>
        <v>0</v>
      </c>
      <c r="K32" s="9" t="str">
        <f aca="false">SUBSTITUTE(Ebookpoint!E44,"-","")</f>
        <v>9788365156822</v>
      </c>
      <c r="L32" s="9" t="str">
        <f aca="false">SUBSTITUTE(Nasbi!E44,"-","")</f>
        <v/>
      </c>
      <c r="M32" s="9" t="n">
        <f aca="false">VALUE(SUBSTITUTE(StorytelE!G32,".",","))</f>
        <v>0</v>
      </c>
      <c r="N32" s="9" t="n">
        <f aca="false">VALUE(SUBSTITUTE(StorytelA!G32,".",","))</f>
        <v>0</v>
      </c>
      <c r="O32" s="9" t="n">
        <f aca="false">VALUE(SUBSTITUTE(StorytelE!M32,".",","))</f>
        <v>0</v>
      </c>
      <c r="P32" s="9" t="n">
        <f aca="false">VALUE(SUBSTITUTE(StorytelA!M32,".",","))</f>
        <v>0</v>
      </c>
      <c r="Q32" s="29"/>
      <c r="R32" s="29" t="n">
        <f aca="false">VALUE(SUBSTITUTE(Woblink!H44,".",","))</f>
        <v>0</v>
      </c>
      <c r="S32" s="9" t="str">
        <f aca="false">SUBSTITUTE(AzymutB!D32,"-","")</f>
        <v/>
      </c>
      <c r="T32" s="9" t="n">
        <f aca="false">VALUE(SUBSTITUTE(AzymutB!O32,".",","))</f>
        <v>0</v>
      </c>
      <c r="U32" s="9" t="str">
        <f aca="false">SUBSTITUTE(Audioteka!Q34,"-","")</f>
        <v/>
      </c>
    </row>
    <row r="33" customFormat="false" ht="15.75" hidden="false" customHeight="false" outlineLevel="0" collapsed="false">
      <c r="A33" s="8" t="str">
        <f aca="false">SUBSTITUTE(Histmag!B33,"-","")</f>
        <v>9788365156211</v>
      </c>
      <c r="B33" s="9" t="n">
        <f aca="false">VALUE(SUBSTITUTE(Histmag!D33,".",","))</f>
        <v>7.93</v>
      </c>
      <c r="C33" s="8" t="str">
        <f aca="false">SUBSTITUTE(Virtualo!G33,"-","")</f>
        <v/>
      </c>
      <c r="D33" s="8" t="str">
        <f aca="false">SUBSTITUTE(Empik!F33,"-","")</f>
        <v>9788365156709</v>
      </c>
      <c r="E33" s="8" t="str">
        <f aca="false">SUBSTITUTE(Publio!H33,"-","")</f>
        <v/>
      </c>
      <c r="F33" s="8" t="n">
        <f aca="false">VALUE(SUBSTITUTE(Publio!Q33,".",","))</f>
        <v>0</v>
      </c>
      <c r="G33" s="8" t="str">
        <f aca="false">IFERROR(IF(SEARCH("-", #REF!), SUBSTITUTE(#REF!,"-","")), "")</f>
        <v/>
      </c>
      <c r="H33" s="8" t="n">
        <f aca="false">IFERROR(VALUE(SUBSTITUTE(#REF!,".",",")),0)</f>
        <v>0</v>
      </c>
      <c r="I33" s="9" t="str">
        <f aca="false">SUBSTITUTE(Azymut!D33,"-","")</f>
        <v/>
      </c>
      <c r="J33" s="9" t="n">
        <f aca="false">VALUE(SUBSTITUTE(Azymut!O33,".",","))</f>
        <v>0</v>
      </c>
      <c r="K33" s="9" t="str">
        <f aca="false">SUBSTITUTE(Ebookpoint!E45,"-","")</f>
        <v>9788365156822</v>
      </c>
      <c r="L33" s="9" t="str">
        <f aca="false">SUBSTITUTE(Nasbi!E45,"-","")</f>
        <v/>
      </c>
      <c r="M33" s="9" t="n">
        <f aca="false">VALUE(SUBSTITUTE(StorytelE!G33,".",","))</f>
        <v>0</v>
      </c>
      <c r="N33" s="9" t="n">
        <f aca="false">VALUE(SUBSTITUTE(StorytelA!G33,".",","))</f>
        <v>0</v>
      </c>
      <c r="O33" s="9" t="n">
        <f aca="false">VALUE(SUBSTITUTE(StorytelE!M33,".",","))</f>
        <v>0</v>
      </c>
      <c r="P33" s="9" t="n">
        <f aca="false">VALUE(SUBSTITUTE(StorytelA!M33,".",","))</f>
        <v>0</v>
      </c>
      <c r="Q33" s="29"/>
      <c r="R33" s="29" t="n">
        <f aca="false">VALUE(SUBSTITUTE(Woblink!H45,".",","))</f>
        <v>0</v>
      </c>
      <c r="S33" s="9" t="str">
        <f aca="false">SUBSTITUTE(AzymutB!D33,"-","")</f>
        <v/>
      </c>
      <c r="T33" s="9" t="n">
        <f aca="false">VALUE(SUBSTITUTE(AzymutB!O33,".",","))</f>
        <v>0</v>
      </c>
      <c r="U33" s="9" t="str">
        <f aca="false">SUBSTITUTE(Audioteka!Q35,"-","")</f>
        <v/>
      </c>
    </row>
    <row r="34" customFormat="false" ht="15.75" hidden="false" customHeight="false" outlineLevel="0" collapsed="false">
      <c r="A34" s="8" t="str">
        <f aca="false">SUBSTITUTE(Histmag!B34,"-","")</f>
        <v>9788365156280</v>
      </c>
      <c r="B34" s="9" t="n">
        <f aca="false">VALUE(SUBSTITUTE(Histmag!D34,".",","))</f>
        <v>7.93</v>
      </c>
      <c r="C34" s="8" t="str">
        <f aca="false">SUBSTITUTE(Virtualo!G34,"-","")</f>
        <v/>
      </c>
      <c r="D34" s="8" t="str">
        <f aca="false">SUBSTITUTE(Empik!F34,"-","")</f>
        <v>9788365156709</v>
      </c>
      <c r="E34" s="8" t="str">
        <f aca="false">SUBSTITUTE(Publio!H34,"-","")</f>
        <v/>
      </c>
      <c r="F34" s="8" t="n">
        <f aca="false">VALUE(SUBSTITUTE(Publio!Q34,".",","))</f>
        <v>0</v>
      </c>
      <c r="G34" s="8" t="str">
        <f aca="false">IFERROR(IF(SEARCH("-", #REF!), SUBSTITUTE(#REF!,"-","")), "")</f>
        <v/>
      </c>
      <c r="H34" s="8" t="n">
        <f aca="false">IFERROR(VALUE(SUBSTITUTE(#REF!,".",",")),0)</f>
        <v>0</v>
      </c>
      <c r="I34" s="9" t="str">
        <f aca="false">SUBSTITUTE(Azymut!D34,"-","")</f>
        <v/>
      </c>
      <c r="J34" s="9" t="n">
        <f aca="false">VALUE(SUBSTITUTE(Azymut!O34,".",","))</f>
        <v>0</v>
      </c>
      <c r="K34" s="9" t="str">
        <f aca="false">SUBSTITUTE(Ebookpoint!E46,"-","")</f>
        <v>9788365156822</v>
      </c>
      <c r="L34" s="9" t="str">
        <f aca="false">SUBSTITUTE(Nasbi!E46,"-","")</f>
        <v/>
      </c>
      <c r="M34" s="9" t="n">
        <f aca="false">VALUE(SUBSTITUTE(StorytelE!G34,".",","))</f>
        <v>0</v>
      </c>
      <c r="N34" s="9" t="n">
        <f aca="false">VALUE(SUBSTITUTE(StorytelA!G34,".",","))</f>
        <v>0</v>
      </c>
      <c r="O34" s="9" t="n">
        <f aca="false">VALUE(SUBSTITUTE(StorytelE!M34,".",","))</f>
        <v>0</v>
      </c>
      <c r="P34" s="9" t="n">
        <f aca="false">VALUE(SUBSTITUTE(StorytelA!M34,".",","))</f>
        <v>0</v>
      </c>
      <c r="Q34" s="29"/>
      <c r="R34" s="29" t="n">
        <f aca="false">VALUE(SUBSTITUTE(Woblink!H46,".",","))</f>
        <v>0</v>
      </c>
      <c r="S34" s="9" t="str">
        <f aca="false">SUBSTITUTE(AzymutB!D34,"-","")</f>
        <v/>
      </c>
      <c r="T34" s="9" t="n">
        <f aca="false">VALUE(SUBSTITUTE(AzymutB!O34,".",","))</f>
        <v>0</v>
      </c>
      <c r="U34" s="9" t="str">
        <f aca="false">SUBSTITUTE(Audioteka!Q36,"-","")</f>
        <v/>
      </c>
    </row>
    <row r="35" customFormat="false" ht="15.75" hidden="false" customHeight="false" outlineLevel="0" collapsed="false">
      <c r="A35" s="8" t="str">
        <f aca="false">SUBSTITUTE(Histmag!B35,"-","")</f>
        <v>9788393463022</v>
      </c>
      <c r="B35" s="9" t="n">
        <f aca="false">VALUE(SUBSTITUTE(Histmag!D35,".",","))</f>
        <v>4.28</v>
      </c>
      <c r="C35" s="8" t="str">
        <f aca="false">SUBSTITUTE(Virtualo!G35,"-","")</f>
        <v/>
      </c>
      <c r="D35" s="8" t="str">
        <f aca="false">SUBSTITUTE(Empik!F35,"-","")</f>
        <v>9788365156648</v>
      </c>
      <c r="E35" s="8" t="str">
        <f aca="false">SUBSTITUTE(Publio!H35,"-","")</f>
        <v/>
      </c>
      <c r="F35" s="8" t="n">
        <f aca="false">VALUE(SUBSTITUTE(Publio!Q35,".",","))</f>
        <v>0</v>
      </c>
      <c r="G35" s="8" t="str">
        <f aca="false">IFERROR(IF(SEARCH("-", #REF!), SUBSTITUTE(#REF!,"-","")), "")</f>
        <v/>
      </c>
      <c r="H35" s="8" t="n">
        <f aca="false">IFERROR(VALUE(SUBSTITUTE(#REF!,".",",")),0)</f>
        <v>0</v>
      </c>
      <c r="I35" s="9" t="str">
        <f aca="false">SUBSTITUTE(Azymut!D35,"-","")</f>
        <v/>
      </c>
      <c r="J35" s="9" t="n">
        <f aca="false">VALUE(SUBSTITUTE(Azymut!O35,".",","))</f>
        <v>0</v>
      </c>
      <c r="K35" s="9" t="str">
        <f aca="false">SUBSTITUTE(Ebookpoint!E47,"-","")</f>
        <v>9788365156822</v>
      </c>
      <c r="L35" s="9" t="str">
        <f aca="false">SUBSTITUTE(Nasbi!E47,"-","")</f>
        <v/>
      </c>
      <c r="M35" s="9" t="n">
        <f aca="false">VALUE(SUBSTITUTE(StorytelE!G35,".",","))</f>
        <v>0</v>
      </c>
      <c r="N35" s="9" t="n">
        <f aca="false">VALUE(SUBSTITUTE(StorytelA!G35,".",","))</f>
        <v>0</v>
      </c>
      <c r="O35" s="9" t="n">
        <f aca="false">VALUE(SUBSTITUTE(StorytelE!M35,".",","))</f>
        <v>0</v>
      </c>
      <c r="P35" s="9" t="n">
        <f aca="false">VALUE(SUBSTITUTE(StorytelA!M35,".",","))</f>
        <v>0</v>
      </c>
      <c r="Q35" s="29"/>
      <c r="R35" s="29" t="n">
        <f aca="false">VALUE(SUBSTITUTE(Woblink!H47,".",","))</f>
        <v>0</v>
      </c>
      <c r="S35" s="9" t="str">
        <f aca="false">SUBSTITUTE(AzymutB!D35,"-","")</f>
        <v/>
      </c>
      <c r="T35" s="9" t="n">
        <f aca="false">VALUE(SUBSTITUTE(AzymutB!O35,".",","))</f>
        <v>0</v>
      </c>
      <c r="U35" s="9" t="str">
        <f aca="false">SUBSTITUTE(Audioteka!Q37,"-","")</f>
        <v/>
      </c>
    </row>
    <row r="36" customFormat="false" ht="15.75" hidden="false" customHeight="false" outlineLevel="0" collapsed="false">
      <c r="A36" s="8" t="str">
        <f aca="false">SUBSTITUTE(Histmag!B36,"-","")</f>
        <v>9788365156051</v>
      </c>
      <c r="B36" s="9" t="n">
        <f aca="false">VALUE(SUBSTITUTE(Histmag!D36,".",","))</f>
        <v>11.33</v>
      </c>
      <c r="C36" s="8" t="str">
        <f aca="false">SUBSTITUTE(Virtualo!G36,"-","")</f>
        <v/>
      </c>
      <c r="D36" s="8" t="str">
        <f aca="false">SUBSTITUTE(Empik!F36,"-","")</f>
        <v>9788365156648</v>
      </c>
      <c r="E36" s="8" t="str">
        <f aca="false">SUBSTITUTE(Publio!H36,"-","")</f>
        <v/>
      </c>
      <c r="F36" s="8" t="n">
        <f aca="false">VALUE(SUBSTITUTE(Publio!Q36,".",","))</f>
        <v>0</v>
      </c>
      <c r="G36" s="8" t="str">
        <f aca="false">IFERROR(IF(SEARCH("-", #REF!), SUBSTITUTE(#REF!,"-","")), "")</f>
        <v/>
      </c>
      <c r="H36" s="8" t="n">
        <f aca="false">IFERROR(VALUE(SUBSTITUTE(#REF!,".",",")),0)</f>
        <v>0</v>
      </c>
      <c r="I36" s="9" t="str">
        <f aca="false">SUBSTITUTE(Azymut!D36,"-","")</f>
        <v/>
      </c>
      <c r="J36" s="9" t="n">
        <f aca="false">VALUE(SUBSTITUTE(Azymut!O36,".",","))</f>
        <v>0</v>
      </c>
      <c r="K36" s="9" t="str">
        <f aca="false">SUBSTITUTE(Ebookpoint!E48,"-","")</f>
        <v>9788365156846</v>
      </c>
      <c r="L36" s="9" t="str">
        <f aca="false">SUBSTITUTE(Nasbi!E48,"-","")</f>
        <v/>
      </c>
      <c r="M36" s="9" t="n">
        <f aca="false">VALUE(SUBSTITUTE(StorytelE!G36,".",","))</f>
        <v>0</v>
      </c>
      <c r="N36" s="9" t="n">
        <f aca="false">VALUE(SUBSTITUTE(StorytelA!G36,".",","))</f>
        <v>0</v>
      </c>
      <c r="O36" s="9" t="n">
        <f aca="false">VALUE(SUBSTITUTE(StorytelE!M36,".",","))</f>
        <v>0</v>
      </c>
      <c r="P36" s="9" t="n">
        <f aca="false">VALUE(SUBSTITUTE(StorytelA!M36,".",","))</f>
        <v>0</v>
      </c>
      <c r="Q36" s="29"/>
      <c r="R36" s="29" t="n">
        <f aca="false">VALUE(SUBSTITUTE(Woblink!H48,".",","))</f>
        <v>0</v>
      </c>
      <c r="S36" s="9" t="str">
        <f aca="false">SUBSTITUTE(AzymutB!D36,"-","")</f>
        <v/>
      </c>
      <c r="T36" s="9" t="n">
        <f aca="false">VALUE(SUBSTITUTE(AzymutB!O36,".",","))</f>
        <v>0</v>
      </c>
      <c r="U36" s="9" t="str">
        <f aca="false">SUBSTITUTE(Audioteka!Q38,"-","")</f>
        <v/>
      </c>
    </row>
    <row r="37" customFormat="false" ht="15.75" hidden="false" customHeight="false" outlineLevel="0" collapsed="false">
      <c r="A37" s="8" t="str">
        <f aca="false">SUBSTITUTE(Histmag!B37,"-","")</f>
        <v>9788365156341</v>
      </c>
      <c r="B37" s="9" t="n">
        <f aca="false">VALUE(SUBSTITUTE(Histmag!D37,".",","))</f>
        <v>11.33</v>
      </c>
      <c r="C37" s="8" t="str">
        <f aca="false">SUBSTITUTE(Virtualo!G37,"-","")</f>
        <v/>
      </c>
      <c r="D37" s="8" t="str">
        <f aca="false">SUBSTITUTE(Empik!F37,"-","")</f>
        <v>9788365156785</v>
      </c>
      <c r="E37" s="8" t="str">
        <f aca="false">SUBSTITUTE(Publio!H37,"-","")</f>
        <v/>
      </c>
      <c r="F37" s="8" t="n">
        <f aca="false">VALUE(SUBSTITUTE(Publio!Q37,".",","))</f>
        <v>0</v>
      </c>
      <c r="G37" s="8" t="str">
        <f aca="false">IFERROR(IF(SEARCH("-", #REF!), SUBSTITUTE(#REF!,"-","")), "")</f>
        <v/>
      </c>
      <c r="H37" s="8" t="n">
        <f aca="false">IFERROR(VALUE(SUBSTITUTE(#REF!,".",",")),0)</f>
        <v>0</v>
      </c>
      <c r="I37" s="9" t="str">
        <f aca="false">SUBSTITUTE(Azymut!D37,"-","")</f>
        <v/>
      </c>
      <c r="J37" s="9" t="n">
        <f aca="false">VALUE(SUBSTITUTE(Azymut!O37,".",","))</f>
        <v>0</v>
      </c>
      <c r="K37" s="9" t="str">
        <f aca="false">SUBSTITUTE(Ebookpoint!E49,"-","")</f>
        <v>9788365156853</v>
      </c>
      <c r="L37" s="9" t="str">
        <f aca="false">SUBSTITUTE(Nasbi!E49,"-","")</f>
        <v/>
      </c>
      <c r="M37" s="9" t="n">
        <f aca="false">VALUE(SUBSTITUTE(StorytelE!G37,".",","))</f>
        <v>0</v>
      </c>
      <c r="N37" s="9" t="n">
        <f aca="false">VALUE(SUBSTITUTE(StorytelA!G37,".",","))</f>
        <v>0</v>
      </c>
      <c r="O37" s="9" t="n">
        <f aca="false">VALUE(SUBSTITUTE(StorytelE!M37,".",","))</f>
        <v>0</v>
      </c>
      <c r="P37" s="9" t="n">
        <f aca="false">VALUE(SUBSTITUTE(StorytelA!M37,".",","))</f>
        <v>0</v>
      </c>
      <c r="Q37" s="29"/>
      <c r="R37" s="29" t="n">
        <f aca="false">VALUE(SUBSTITUTE(Woblink!H49,".",","))</f>
        <v>0</v>
      </c>
      <c r="S37" s="9" t="str">
        <f aca="false">SUBSTITUTE(AzymutB!D37,"-","")</f>
        <v/>
      </c>
      <c r="T37" s="9" t="n">
        <f aca="false">VALUE(SUBSTITUTE(AzymutB!O37,".",","))</f>
        <v>0</v>
      </c>
      <c r="U37" s="9" t="str">
        <f aca="false">SUBSTITUTE(Audioteka!Q39,"-","")</f>
        <v/>
      </c>
    </row>
    <row r="38" customFormat="false" ht="15.75" hidden="false" customHeight="false" outlineLevel="0" collapsed="false">
      <c r="A38" s="8" t="str">
        <f aca="false">SUBSTITUTE(Histmag!B38,"-","")</f>
        <v>9788365156242</v>
      </c>
      <c r="B38" s="9" t="n">
        <f aca="false">VALUE(SUBSTITUTE(Histmag!D38,".",","))</f>
        <v>11.33</v>
      </c>
      <c r="C38" s="8" t="str">
        <f aca="false">SUBSTITUTE(Virtualo!G38,"-","")</f>
        <v/>
      </c>
      <c r="D38" s="8" t="str">
        <f aca="false">SUBSTITUTE(Empik!F38,"-","")</f>
        <v>9788365156785</v>
      </c>
      <c r="E38" s="8" t="str">
        <f aca="false">SUBSTITUTE(Publio!H38,"-","")</f>
        <v/>
      </c>
      <c r="F38" s="8" t="n">
        <f aca="false">VALUE(SUBSTITUTE(Publio!Q38,".",","))</f>
        <v>0</v>
      </c>
      <c r="G38" s="8" t="str">
        <f aca="false">IFERROR(IF(SEARCH("-", #REF!), SUBSTITUTE(#REF!,"-","")), "")</f>
        <v/>
      </c>
      <c r="H38" s="8" t="n">
        <f aca="false">IFERROR(VALUE(SUBSTITUTE(#REF!,".",",")),0)</f>
        <v>0</v>
      </c>
      <c r="I38" s="9" t="str">
        <f aca="false">SUBSTITUTE(Azymut!D38,"-","")</f>
        <v/>
      </c>
      <c r="J38" s="9" t="n">
        <f aca="false">VALUE(SUBSTITUTE(Azymut!O38,".",","))</f>
        <v>0</v>
      </c>
      <c r="K38" s="9" t="str">
        <f aca="false">SUBSTITUTE(Ebookpoint!E50,"-","")</f>
        <v>9788365156853</v>
      </c>
      <c r="L38" s="9" t="str">
        <f aca="false">SUBSTITUTE(Nasbi!E50,"-","")</f>
        <v/>
      </c>
      <c r="M38" s="9" t="n">
        <f aca="false">VALUE(SUBSTITUTE(StorytelE!G38,".",","))</f>
        <v>0</v>
      </c>
      <c r="N38" s="9" t="n">
        <f aca="false">VALUE(SUBSTITUTE(StorytelA!G38,".",","))</f>
        <v>0</v>
      </c>
      <c r="O38" s="9" t="n">
        <f aca="false">VALUE(SUBSTITUTE(StorytelE!M38,".",","))</f>
        <v>0</v>
      </c>
      <c r="P38" s="9" t="n">
        <f aca="false">VALUE(SUBSTITUTE(StorytelA!M38,".",","))</f>
        <v>0</v>
      </c>
      <c r="Q38" s="29"/>
      <c r="R38" s="29" t="n">
        <f aca="false">VALUE(SUBSTITUTE(Woblink!H50,".",","))</f>
        <v>0</v>
      </c>
      <c r="S38" s="9" t="str">
        <f aca="false">SUBSTITUTE(AzymutB!D38,"-","")</f>
        <v/>
      </c>
      <c r="T38" s="9" t="n">
        <f aca="false">VALUE(SUBSTITUTE(AzymutB!O38,".",","))</f>
        <v>0</v>
      </c>
      <c r="U38" s="9" t="str">
        <f aca="false">SUBSTITUTE(Audioteka!Q40,"-","")</f>
        <v/>
      </c>
    </row>
    <row r="39" customFormat="false" ht="15.75" hidden="false" customHeight="false" outlineLevel="0" collapsed="false">
      <c r="A39" s="8" t="str">
        <f aca="false">SUBSTITUTE(Histmag!B39,"-","")</f>
        <v>9788365156396</v>
      </c>
      <c r="B39" s="9" t="n">
        <f aca="false">VALUE(SUBSTITUTE(Histmag!D39,".",","))</f>
        <v>6.13</v>
      </c>
      <c r="C39" s="8" t="str">
        <f aca="false">SUBSTITUTE(Virtualo!G39,"-","")</f>
        <v/>
      </c>
      <c r="D39" s="8" t="str">
        <f aca="false">SUBSTITUTE(Empik!F39,"-","")</f>
        <v>9788365156723</v>
      </c>
      <c r="E39" s="8" t="str">
        <f aca="false">SUBSTITUTE(Publio!H39,"-","")</f>
        <v/>
      </c>
      <c r="F39" s="8" t="n">
        <f aca="false">VALUE(SUBSTITUTE(Publio!Q39,".",","))</f>
        <v>0</v>
      </c>
      <c r="G39" s="8" t="str">
        <f aca="false">IFERROR(IF(SEARCH("-", #REF!), SUBSTITUTE(#REF!,"-","")), "")</f>
        <v/>
      </c>
      <c r="H39" s="8" t="n">
        <f aca="false">IFERROR(VALUE(SUBSTITUTE(#REF!,".",",")),0)</f>
        <v>0</v>
      </c>
      <c r="I39" s="9" t="str">
        <f aca="false">SUBSTITUTE(Azymut!D39,"-","")</f>
        <v/>
      </c>
      <c r="J39" s="9" t="n">
        <f aca="false">VALUE(SUBSTITUTE(Azymut!O39,".",","))</f>
        <v>0</v>
      </c>
      <c r="K39" s="9" t="str">
        <f aca="false">SUBSTITUTE(Ebookpoint!E51,"-","")</f>
        <v>9788365156860</v>
      </c>
      <c r="L39" s="9" t="str">
        <f aca="false">SUBSTITUTE(Nasbi!E51,"-","")</f>
        <v/>
      </c>
      <c r="M39" s="9" t="n">
        <f aca="false">VALUE(SUBSTITUTE(StorytelE!G39,".",","))</f>
        <v>0</v>
      </c>
      <c r="N39" s="9" t="n">
        <f aca="false">VALUE(SUBSTITUTE(StorytelA!G39,".",","))</f>
        <v>0</v>
      </c>
      <c r="O39" s="9" t="n">
        <f aca="false">VALUE(SUBSTITUTE(StorytelE!M39,".",","))</f>
        <v>0</v>
      </c>
      <c r="P39" s="9" t="n">
        <f aca="false">VALUE(SUBSTITUTE(StorytelA!M39,".",","))</f>
        <v>0</v>
      </c>
      <c r="Q39" s="29"/>
      <c r="R39" s="29" t="n">
        <f aca="false">VALUE(SUBSTITUTE(Woblink!H51,".",","))</f>
        <v>0</v>
      </c>
      <c r="S39" s="9" t="str">
        <f aca="false">SUBSTITUTE(AzymutB!D39,"-","")</f>
        <v/>
      </c>
      <c r="T39" s="9" t="n">
        <f aca="false">VALUE(SUBSTITUTE(AzymutB!O39,".",","))</f>
        <v>0</v>
      </c>
      <c r="U39" s="9" t="str">
        <f aca="false">SUBSTITUTE(Audioteka!Q41,"-","")</f>
        <v/>
      </c>
    </row>
    <row r="40" customFormat="false" ht="15.75" hidden="false" customHeight="false" outlineLevel="0" collapsed="false">
      <c r="A40" s="8" t="str">
        <f aca="false">SUBSTITUTE(Histmag!B40,"-","")</f>
        <v>9788365156402</v>
      </c>
      <c r="B40" s="9" t="n">
        <f aca="false">VALUE(SUBSTITUTE(Histmag!D40,".",","))</f>
        <v>10.46</v>
      </c>
      <c r="C40" s="8" t="str">
        <f aca="false">SUBSTITUTE(Virtualo!G40,"-","")</f>
        <v/>
      </c>
      <c r="D40" s="8" t="str">
        <f aca="false">SUBSTITUTE(Empik!F40,"-","")</f>
        <v>9788365156372</v>
      </c>
      <c r="E40" s="8" t="str">
        <f aca="false">SUBSTITUTE(Publio!H40,"-","")</f>
        <v/>
      </c>
      <c r="F40" s="8" t="n">
        <f aca="false">VALUE(SUBSTITUTE(Publio!Q40,".",","))</f>
        <v>0</v>
      </c>
      <c r="G40" s="8" t="str">
        <f aca="false">IFERROR(IF(SEARCH("-", #REF!), SUBSTITUTE(#REF!,"-","")), "")</f>
        <v/>
      </c>
      <c r="H40" s="8" t="n">
        <f aca="false">IFERROR(VALUE(SUBSTITUTE(#REF!,".",",")),0)</f>
        <v>0</v>
      </c>
      <c r="I40" s="9" t="str">
        <f aca="false">SUBSTITUTE(Azymut!D40,"-","")</f>
        <v/>
      </c>
      <c r="J40" s="9" t="n">
        <f aca="false">VALUE(SUBSTITUTE(Azymut!O40,".",","))</f>
        <v>0</v>
      </c>
      <c r="K40" s="9" t="str">
        <f aca="false">SUBSTITUTE(Ebookpoint!E52,"-","")</f>
        <v>9788365156860</v>
      </c>
      <c r="L40" s="9" t="str">
        <f aca="false">SUBSTITUTE(Nasbi!E52,"-","")</f>
        <v/>
      </c>
      <c r="M40" s="9" t="n">
        <f aca="false">VALUE(SUBSTITUTE(StorytelE!G40,".",","))</f>
        <v>0</v>
      </c>
      <c r="N40" s="9" t="n">
        <f aca="false">VALUE(SUBSTITUTE(StorytelA!G40,".",","))</f>
        <v>0</v>
      </c>
      <c r="O40" s="9" t="n">
        <f aca="false">VALUE(SUBSTITUTE(StorytelE!M40,".",","))</f>
        <v>0</v>
      </c>
      <c r="P40" s="9" t="n">
        <f aca="false">VALUE(SUBSTITUTE(StorytelA!M40,".",","))</f>
        <v>0</v>
      </c>
      <c r="Q40" s="29"/>
      <c r="R40" s="29" t="n">
        <f aca="false">VALUE(SUBSTITUTE(Woblink!H52,".",","))</f>
        <v>0</v>
      </c>
      <c r="S40" s="9" t="str">
        <f aca="false">SUBSTITUTE(AzymutB!D40,"-","")</f>
        <v/>
      </c>
      <c r="T40" s="9" t="n">
        <f aca="false">VALUE(SUBSTITUTE(AzymutB!O40,".",","))</f>
        <v>0</v>
      </c>
      <c r="U40" s="9" t="str">
        <f aca="false">SUBSTITUTE(Audioteka!Q42,"-","")</f>
        <v/>
      </c>
    </row>
    <row r="41" customFormat="false" ht="15.75" hidden="false" customHeight="false" outlineLevel="0" collapsed="false">
      <c r="A41" s="8" t="str">
        <f aca="false">SUBSTITUTE(Histmag!B41,"-","")</f>
        <v>9788365156426</v>
      </c>
      <c r="B41" s="9" t="n">
        <f aca="false">VALUE(SUBSTITUTE(Histmag!D41,".",","))</f>
        <v>16.1</v>
      </c>
      <c r="C41" s="8" t="str">
        <f aca="false">SUBSTITUTE(Virtualo!G41,"-","")</f>
        <v/>
      </c>
      <c r="D41" s="8" t="str">
        <f aca="false">SUBSTITUTE(Empik!F41,"-","")</f>
        <v>9788365156372</v>
      </c>
      <c r="E41" s="8" t="str">
        <f aca="false">SUBSTITUTE(Publio!H41,"-","")</f>
        <v/>
      </c>
      <c r="F41" s="8" t="n">
        <f aca="false">VALUE(SUBSTITUTE(Publio!Q41,".",","))</f>
        <v>0</v>
      </c>
      <c r="G41" s="8" t="str">
        <f aca="false">IFERROR(IF(SEARCH("-", #REF!), SUBSTITUTE(#REF!,"-","")), "")</f>
        <v/>
      </c>
      <c r="H41" s="8" t="n">
        <f aca="false">IFERROR(VALUE(SUBSTITUTE(#REF!,".",",")),0)</f>
        <v>0</v>
      </c>
      <c r="I41" s="9" t="str">
        <f aca="false">SUBSTITUTE(Azymut!D41,"-","")</f>
        <v/>
      </c>
      <c r="J41" s="9" t="n">
        <f aca="false">VALUE(SUBSTITUTE(Azymut!O41,".",","))</f>
        <v>0</v>
      </c>
      <c r="K41" s="9" t="str">
        <f aca="false">SUBSTITUTE(Ebookpoint!E53,"-","")</f>
        <v/>
      </c>
      <c r="L41" s="9" t="str">
        <f aca="false">SUBSTITUTE(Nasbi!E53,"-","")</f>
        <v/>
      </c>
      <c r="M41" s="9" t="n">
        <f aca="false">VALUE(SUBSTITUTE(StorytelE!G41,".",","))</f>
        <v>0</v>
      </c>
      <c r="N41" s="9" t="n">
        <f aca="false">VALUE(SUBSTITUTE(StorytelA!G41,".",","))</f>
        <v>0</v>
      </c>
      <c r="O41" s="9" t="n">
        <f aca="false">VALUE(SUBSTITUTE(StorytelE!M41,".",","))</f>
        <v>0</v>
      </c>
      <c r="P41" s="9" t="n">
        <f aca="false">VALUE(SUBSTITUTE(StorytelA!M41,".",","))</f>
        <v>0</v>
      </c>
      <c r="Q41" s="29"/>
      <c r="R41" s="29" t="n">
        <f aca="false">VALUE(SUBSTITUTE(Woblink!H53,".",","))</f>
        <v>0</v>
      </c>
      <c r="S41" s="9" t="str">
        <f aca="false">SUBSTITUTE(AzymutB!D41,"-","")</f>
        <v/>
      </c>
      <c r="T41" s="9" t="n">
        <f aca="false">VALUE(SUBSTITUTE(AzymutB!O41,".",","))</f>
        <v>0</v>
      </c>
      <c r="U41" s="9" t="str">
        <f aca="false">SUBSTITUTE(Audioteka!Q43,"-","")</f>
        <v/>
      </c>
    </row>
    <row r="42" customFormat="false" ht="15.75" hidden="false" customHeight="false" outlineLevel="0" collapsed="false">
      <c r="A42" s="8" t="str">
        <f aca="false">SUBSTITUTE(Histmag!B42,"-","")</f>
        <v>9788365156440</v>
      </c>
      <c r="B42" s="9" t="n">
        <f aca="false">VALUE(SUBSTITUTE(Histmag!D42,".",","))</f>
        <v>11.33</v>
      </c>
      <c r="C42" s="8" t="str">
        <f aca="false">SUBSTITUTE(Virtualo!G42,"-","")</f>
        <v/>
      </c>
      <c r="D42" s="8" t="str">
        <f aca="false">SUBSTITUTE(Empik!F42,"-","")</f>
        <v>9788365156372</v>
      </c>
      <c r="E42" s="8" t="str">
        <f aca="false">SUBSTITUTE(Publio!H42,"-","")</f>
        <v/>
      </c>
      <c r="F42" s="8" t="n">
        <f aca="false">VALUE(SUBSTITUTE(Publio!Q42,".",","))</f>
        <v>0</v>
      </c>
      <c r="G42" s="8" t="str">
        <f aca="false">IFERROR(IF(SEARCH("-", #REF!), SUBSTITUTE(#REF!,"-","")), "")</f>
        <v/>
      </c>
      <c r="H42" s="8" t="n">
        <f aca="false">IFERROR(VALUE(SUBSTITUTE(#REF!,".",",")),0)</f>
        <v>0</v>
      </c>
      <c r="I42" s="9" t="str">
        <f aca="false">SUBSTITUTE(Azymut!D42,"-","")</f>
        <v/>
      </c>
      <c r="J42" s="9" t="n">
        <f aca="false">VALUE(SUBSTITUTE(Azymut!O42,".",","))</f>
        <v>0</v>
      </c>
      <c r="K42" s="9" t="str">
        <f aca="false">SUBSTITUTE(Ebookpoint!E54,"-","")</f>
        <v/>
      </c>
      <c r="L42" s="9" t="str">
        <f aca="false">SUBSTITUTE(Nasbi!E54,"-","")</f>
        <v/>
      </c>
      <c r="M42" s="9" t="n">
        <f aca="false">VALUE(SUBSTITUTE(StorytelE!G42,".",","))</f>
        <v>0</v>
      </c>
      <c r="N42" s="9" t="n">
        <f aca="false">VALUE(SUBSTITUTE(StorytelA!G42,".",","))</f>
        <v>0</v>
      </c>
      <c r="O42" s="9" t="n">
        <f aca="false">VALUE(SUBSTITUTE(StorytelE!M42,".",","))</f>
        <v>0</v>
      </c>
      <c r="P42" s="9" t="n">
        <f aca="false">VALUE(SUBSTITUTE(StorytelA!M42,".",","))</f>
        <v>0</v>
      </c>
      <c r="Q42" s="29"/>
      <c r="R42" s="29" t="n">
        <f aca="false">VALUE(SUBSTITUTE(Woblink!H54,".",","))</f>
        <v>0</v>
      </c>
      <c r="S42" s="9" t="str">
        <f aca="false">SUBSTITUTE(AzymutB!D42,"-","")</f>
        <v/>
      </c>
      <c r="T42" s="9" t="n">
        <f aca="false">VALUE(SUBSTITUTE(AzymutB!O42,".",","))</f>
        <v>0</v>
      </c>
      <c r="U42" s="9" t="str">
        <f aca="false">SUBSTITUTE(Audioteka!Q44,"-","")</f>
        <v/>
      </c>
    </row>
    <row r="43" customFormat="false" ht="15.75" hidden="false" customHeight="false" outlineLevel="0" collapsed="false">
      <c r="A43" s="8" t="str">
        <f aca="false">SUBSTITUTE(Histmag!B43,"-","")</f>
        <v>9788365156457</v>
      </c>
      <c r="B43" s="9" t="n">
        <f aca="false">VALUE(SUBSTITUTE(Histmag!D43,".",","))</f>
        <v>7.52</v>
      </c>
      <c r="C43" s="8" t="str">
        <f aca="false">SUBSTITUTE(Virtualo!G43,"-","")</f>
        <v/>
      </c>
      <c r="D43" s="8" t="str">
        <f aca="false">SUBSTITUTE(Empik!F43,"-","")</f>
        <v>9788365156723</v>
      </c>
      <c r="E43" s="8" t="str">
        <f aca="false">SUBSTITUTE(Publio!H43,"-","")</f>
        <v/>
      </c>
      <c r="F43" s="8" t="n">
        <f aca="false">VALUE(SUBSTITUTE(Publio!Q43,".",","))</f>
        <v>0</v>
      </c>
      <c r="G43" s="8" t="str">
        <f aca="false">IFERROR(IF(SEARCH("-", #REF!), SUBSTITUTE(#REF!,"-","")), "")</f>
        <v/>
      </c>
      <c r="H43" s="8" t="n">
        <f aca="false">IFERROR(VALUE(SUBSTITUTE(#REF!,".",",")),0)</f>
        <v>0</v>
      </c>
      <c r="I43" s="9" t="str">
        <f aca="false">SUBSTITUTE(Azymut!D43,"-","")</f>
        <v/>
      </c>
      <c r="J43" s="9" t="n">
        <f aca="false">VALUE(SUBSTITUTE(Azymut!O43,".",","))</f>
        <v>0</v>
      </c>
      <c r="K43" s="9" t="str">
        <f aca="false">SUBSTITUTE(Ebookpoint!E55,"-","")</f>
        <v/>
      </c>
      <c r="L43" s="9" t="str">
        <f aca="false">SUBSTITUTE(Nasbi!E55,"-","")</f>
        <v/>
      </c>
      <c r="M43" s="9" t="n">
        <f aca="false">VALUE(SUBSTITUTE(StorytelE!G43,".",","))</f>
        <v>0</v>
      </c>
      <c r="N43" s="9" t="n">
        <f aca="false">VALUE(SUBSTITUTE(StorytelA!G43,".",","))</f>
        <v>0</v>
      </c>
      <c r="O43" s="9" t="n">
        <f aca="false">VALUE(SUBSTITUTE(StorytelE!M43,".",","))</f>
        <v>0</v>
      </c>
      <c r="P43" s="9" t="n">
        <f aca="false">VALUE(SUBSTITUTE(StorytelA!M43,".",","))</f>
        <v>0</v>
      </c>
      <c r="Q43" s="29"/>
      <c r="R43" s="29" t="n">
        <f aca="false">VALUE(SUBSTITUTE(Woblink!H55,".",","))</f>
        <v>0</v>
      </c>
      <c r="S43" s="9" t="str">
        <f aca="false">SUBSTITUTE(AzymutB!D43,"-","")</f>
        <v/>
      </c>
      <c r="T43" s="9" t="n">
        <f aca="false">VALUE(SUBSTITUTE(AzymutB!O43,".",","))</f>
        <v>0</v>
      </c>
      <c r="U43" s="9" t="str">
        <f aca="false">SUBSTITUTE(Audioteka!Q45,"-","")</f>
        <v/>
      </c>
    </row>
    <row r="44" customFormat="false" ht="15.75" hidden="false" customHeight="false" outlineLevel="0" collapsed="false">
      <c r="A44" s="8" t="str">
        <f aca="false">SUBSTITUTE(Histmag!B44,"-","")</f>
        <v>9788365156471</v>
      </c>
      <c r="B44" s="9" t="n">
        <f aca="false">VALUE(SUBSTITUTE(Histmag!D44,".",","))</f>
        <v>14.19</v>
      </c>
      <c r="C44" s="8" t="str">
        <f aca="false">SUBSTITUTE(Virtualo!G44,"-","")</f>
        <v/>
      </c>
      <c r="D44" s="8" t="str">
        <f aca="false">SUBSTITUTE(Empik!F44,"-","")</f>
        <v>9788365156501</v>
      </c>
      <c r="E44" s="8" t="str">
        <f aca="false">SUBSTITUTE(Publio!H44,"-","")</f>
        <v/>
      </c>
      <c r="F44" s="8" t="n">
        <f aca="false">VALUE(SUBSTITUTE(Publio!Q44,".",","))</f>
        <v>0</v>
      </c>
      <c r="G44" s="8" t="str">
        <f aca="false">IFERROR(IF(SEARCH("-", #REF!), SUBSTITUTE(#REF!,"-","")), "")</f>
        <v/>
      </c>
      <c r="H44" s="8" t="n">
        <f aca="false">IFERROR(VALUE(SUBSTITUTE(#REF!,".",",")),0)</f>
        <v>0</v>
      </c>
      <c r="I44" s="9" t="str">
        <f aca="false">SUBSTITUTE(Azymut!D44,"-","")</f>
        <v/>
      </c>
      <c r="J44" s="9" t="n">
        <f aca="false">VALUE(SUBSTITUTE(Azymut!O44,".",","))</f>
        <v>0</v>
      </c>
      <c r="K44" s="9" t="str">
        <f aca="false">SUBSTITUTE(Ebookpoint!E56,"-","")</f>
        <v/>
      </c>
      <c r="L44" s="9" t="str">
        <f aca="false">SUBSTITUTE(Nasbi!E56,"-","")</f>
        <v/>
      </c>
      <c r="M44" s="9" t="n">
        <f aca="false">VALUE(SUBSTITUTE(StorytelE!G44,".",","))</f>
        <v>0</v>
      </c>
      <c r="N44" s="9" t="n">
        <f aca="false">VALUE(SUBSTITUTE(StorytelA!G44,".",","))</f>
        <v>0</v>
      </c>
      <c r="O44" s="9" t="n">
        <f aca="false">VALUE(SUBSTITUTE(StorytelE!M44,".",","))</f>
        <v>0</v>
      </c>
      <c r="P44" s="9" t="n">
        <f aca="false">VALUE(SUBSTITUTE(StorytelA!M44,".",","))</f>
        <v>0</v>
      </c>
      <c r="Q44" s="29"/>
      <c r="R44" s="29" t="n">
        <f aca="false">VALUE(SUBSTITUTE(Woblink!H56,".",","))</f>
        <v>0</v>
      </c>
      <c r="S44" s="9" t="str">
        <f aca="false">SUBSTITUTE(AzymutB!D44,"-","")</f>
        <v/>
      </c>
      <c r="T44" s="9" t="n">
        <f aca="false">VALUE(SUBSTITUTE(AzymutB!O44,".",","))</f>
        <v>0</v>
      </c>
      <c r="U44" s="9" t="str">
        <f aca="false">SUBSTITUTE(Audioteka!Q46,"-","")</f>
        <v/>
      </c>
    </row>
    <row r="45" customFormat="false" ht="15.75" hidden="false" customHeight="false" outlineLevel="0" collapsed="false">
      <c r="A45" s="8" t="str">
        <f aca="false">SUBSTITUTE(Histmag!B45,"-","")</f>
        <v>9788365156501</v>
      </c>
      <c r="B45" s="9" t="n">
        <f aca="false">VALUE(SUBSTITUTE(Histmag!D45,".",","))</f>
        <v>9.22</v>
      </c>
      <c r="C45" s="8" t="str">
        <f aca="false">SUBSTITUTE(Virtualo!G45,"-","")</f>
        <v/>
      </c>
      <c r="D45" s="8" t="str">
        <f aca="false">SUBSTITUTE(Empik!F45,"-","")</f>
        <v>9788393463053</v>
      </c>
      <c r="E45" s="8" t="str">
        <f aca="false">SUBSTITUTE(Publio!H45,"-","")</f>
        <v/>
      </c>
      <c r="F45" s="8" t="n">
        <f aca="false">VALUE(SUBSTITUTE(Publio!Q45,".",","))</f>
        <v>0</v>
      </c>
      <c r="G45" s="8" t="str">
        <f aca="false">IFERROR(IF(SEARCH("-", #REF!), SUBSTITUTE(#REF!,"-","")), "")</f>
        <v/>
      </c>
      <c r="H45" s="8" t="n">
        <f aca="false">IFERROR(VALUE(SUBSTITUTE(#REF!,".",",")),0)</f>
        <v>0</v>
      </c>
      <c r="I45" s="9" t="str">
        <f aca="false">SUBSTITUTE(Azymut!D45,"-","")</f>
        <v/>
      </c>
      <c r="J45" s="9" t="n">
        <f aca="false">VALUE(SUBSTITUTE(Azymut!O45,".",","))</f>
        <v>0</v>
      </c>
      <c r="K45" s="9" t="str">
        <f aca="false">SUBSTITUTE(Ebookpoint!E57,"-","")</f>
        <v/>
      </c>
      <c r="L45" s="9" t="str">
        <f aca="false">SUBSTITUTE(Nasbi!E57,"-","")</f>
        <v/>
      </c>
      <c r="M45" s="9" t="n">
        <f aca="false">VALUE(SUBSTITUTE(StorytelE!G45,".",","))</f>
        <v>0</v>
      </c>
      <c r="N45" s="9" t="n">
        <f aca="false">VALUE(SUBSTITUTE(StorytelA!G45,".",","))</f>
        <v>0</v>
      </c>
      <c r="O45" s="9" t="n">
        <f aca="false">VALUE(SUBSTITUTE(StorytelE!M45,".",","))</f>
        <v>0</v>
      </c>
      <c r="P45" s="9" t="n">
        <f aca="false">VALUE(SUBSTITUTE(StorytelA!M45,".",","))</f>
        <v>0</v>
      </c>
      <c r="Q45" s="29"/>
      <c r="R45" s="29" t="n">
        <f aca="false">VALUE(SUBSTITUTE(Woblink!H57,".",","))</f>
        <v>0</v>
      </c>
      <c r="S45" s="9" t="str">
        <f aca="false">SUBSTITUTE(AzymutB!D45,"-","")</f>
        <v/>
      </c>
      <c r="T45" s="9" t="n">
        <f aca="false">VALUE(SUBSTITUTE(AzymutB!O45,".",","))</f>
        <v>0</v>
      </c>
      <c r="U45" s="9" t="str">
        <f aca="false">SUBSTITUTE(Audioteka!Q47,"-","")</f>
        <v/>
      </c>
    </row>
    <row r="46" customFormat="false" ht="15.75" hidden="false" customHeight="false" outlineLevel="0" collapsed="false">
      <c r="A46" s="8" t="str">
        <f aca="false">SUBSTITUTE(Histmag!B46,"-","")</f>
        <v>9788365156518</v>
      </c>
      <c r="B46" s="9" t="n">
        <f aca="false">VALUE(SUBSTITUTE(Histmag!D46,".",","))</f>
        <v>11.33</v>
      </c>
      <c r="C46" s="8" t="str">
        <f aca="false">SUBSTITUTE(Virtualo!G46,"-","")</f>
        <v/>
      </c>
      <c r="D46" s="8" t="str">
        <f aca="false">SUBSTITUTE(Empik!F46,"-","")</f>
        <v>9788365156358</v>
      </c>
      <c r="E46" s="8" t="str">
        <f aca="false">SUBSTITUTE(Publio!H46,"-","")</f>
        <v/>
      </c>
      <c r="F46" s="8" t="n">
        <f aca="false">VALUE(SUBSTITUTE(Publio!Q46,".",","))</f>
        <v>0</v>
      </c>
      <c r="G46" s="8" t="str">
        <f aca="false">IFERROR(IF(SEARCH("-", #REF!), SUBSTITUTE(#REF!,"-","")), "")</f>
        <v/>
      </c>
      <c r="H46" s="8" t="n">
        <f aca="false">IFERROR(VALUE(SUBSTITUTE(Nexto!P31,".",",")),0)</f>
        <v>0</v>
      </c>
      <c r="I46" s="9" t="str">
        <f aca="false">SUBSTITUTE(Azymut!D46,"-","")</f>
        <v/>
      </c>
      <c r="J46" s="9" t="n">
        <f aca="false">VALUE(SUBSTITUTE(Azymut!O46,".",","))</f>
        <v>0</v>
      </c>
      <c r="K46" s="9" t="str">
        <f aca="false">SUBSTITUTE(Ebookpoint!E58,"-","")</f>
        <v/>
      </c>
      <c r="L46" s="9" t="str">
        <f aca="false">SUBSTITUTE(Nasbi!E58,"-","")</f>
        <v/>
      </c>
      <c r="M46" s="9" t="n">
        <f aca="false">VALUE(SUBSTITUTE(StorytelE!G46,".",","))</f>
        <v>0</v>
      </c>
      <c r="N46" s="9" t="n">
        <f aca="false">VALUE(SUBSTITUTE(StorytelA!G46,".",","))</f>
        <v>0</v>
      </c>
      <c r="O46" s="9" t="n">
        <f aca="false">VALUE(SUBSTITUTE(StorytelE!M46,".",","))</f>
        <v>0</v>
      </c>
      <c r="P46" s="9" t="n">
        <f aca="false">VALUE(SUBSTITUTE(StorytelA!M46,".",","))</f>
        <v>0</v>
      </c>
      <c r="Q46" s="29"/>
      <c r="R46" s="29" t="n">
        <f aca="false">VALUE(SUBSTITUTE(Woblink!H58,".",","))</f>
        <v>0</v>
      </c>
      <c r="S46" s="9" t="str">
        <f aca="false">SUBSTITUTE(AzymutB!D46,"-","")</f>
        <v/>
      </c>
      <c r="T46" s="9" t="n">
        <f aca="false">VALUE(SUBSTITUTE(AzymutB!O46,".",","))</f>
        <v>0</v>
      </c>
      <c r="U46" s="9" t="str">
        <f aca="false">SUBSTITUTE(Audioteka!Q48,"-","")</f>
        <v/>
      </c>
    </row>
    <row r="47" customFormat="false" ht="15.75" hidden="false" customHeight="false" outlineLevel="0" collapsed="false">
      <c r="A47" s="8" t="str">
        <f aca="false">SUBSTITUTE(Histmag!B47,"-","")</f>
        <v>9788365156532</v>
      </c>
      <c r="B47" s="9" t="n">
        <f aca="false">VALUE(SUBSTITUTE(Histmag!D47,".",","))</f>
        <v>10.46</v>
      </c>
      <c r="C47" s="8" t="str">
        <f aca="false">SUBSTITUTE(Virtualo!G47,"-","")</f>
        <v/>
      </c>
      <c r="D47" s="8" t="str">
        <f aca="false">SUBSTITUTE(Empik!F47,"-","")</f>
        <v>9788365156525</v>
      </c>
      <c r="E47" s="8" t="str">
        <f aca="false">SUBSTITUTE(Publio!H47,"-","")</f>
        <v/>
      </c>
      <c r="F47" s="8" t="n">
        <f aca="false">VALUE(SUBSTITUTE(Publio!Q47,".",","))</f>
        <v>0</v>
      </c>
      <c r="G47" s="8" t="str">
        <f aca="false">IFERROR(IF(SEARCH("-", #REF!), SUBSTITUTE(#REF!,"-","")), "")</f>
        <v/>
      </c>
      <c r="H47" s="8" t="n">
        <f aca="false">IFERROR(VALUE(SUBSTITUTE(Nexto!P32,".",",")),0)</f>
        <v>0</v>
      </c>
      <c r="I47" s="9" t="str">
        <f aca="false">SUBSTITUTE(Azymut!D47,"-","")</f>
        <v/>
      </c>
      <c r="J47" s="9" t="n">
        <f aca="false">VALUE(SUBSTITUTE(Azymut!O47,".",","))</f>
        <v>0</v>
      </c>
      <c r="K47" s="9" t="str">
        <f aca="false">SUBSTITUTE(Ebookpoint!E59,"-","")</f>
        <v/>
      </c>
      <c r="L47" s="9" t="str">
        <f aca="false">SUBSTITUTE(Nasbi!E59,"-","")</f>
        <v/>
      </c>
      <c r="M47" s="9" t="n">
        <f aca="false">VALUE(SUBSTITUTE(StorytelE!G47,".",","))</f>
        <v>0</v>
      </c>
      <c r="N47" s="9" t="n">
        <f aca="false">VALUE(SUBSTITUTE(StorytelA!G47,".",","))</f>
        <v>0</v>
      </c>
      <c r="O47" s="9" t="n">
        <f aca="false">VALUE(SUBSTITUTE(StorytelE!M47,".",","))</f>
        <v>0</v>
      </c>
      <c r="P47" s="9" t="n">
        <f aca="false">VALUE(SUBSTITUTE(StorytelA!M47,".",","))</f>
        <v>0</v>
      </c>
      <c r="Q47" s="29"/>
      <c r="R47" s="29" t="n">
        <f aca="false">VALUE(SUBSTITUTE(Woblink!H59,".",","))</f>
        <v>0</v>
      </c>
      <c r="S47" s="9" t="str">
        <f aca="false">SUBSTITUTE(AzymutB!D47,"-","")</f>
        <v/>
      </c>
      <c r="T47" s="9" t="n">
        <f aca="false">VALUE(SUBSTITUTE(AzymutB!O47,".",","))</f>
        <v>0</v>
      </c>
      <c r="U47" s="9" t="str">
        <f aca="false">SUBSTITUTE(Audioteka!Q49,"-","")</f>
        <v/>
      </c>
    </row>
    <row r="48" customFormat="false" ht="15.75" hidden="false" customHeight="false" outlineLevel="0" collapsed="false">
      <c r="A48" s="8" t="str">
        <f aca="false">SUBSTITUTE(Histmag!B48,"-","")</f>
        <v>9788365156563</v>
      </c>
      <c r="B48" s="9" t="n">
        <f aca="false">VALUE(SUBSTITUTE(Histmag!D48,".",","))</f>
        <v>10.46</v>
      </c>
      <c r="C48" s="8" t="str">
        <f aca="false">SUBSTITUTE(Virtualo!G48,"-","")</f>
        <v/>
      </c>
      <c r="D48" s="8" t="str">
        <f aca="false">SUBSTITUTE(Empik!F48,"-","")</f>
        <v>9788365156686</v>
      </c>
      <c r="E48" s="8" t="str">
        <f aca="false">SUBSTITUTE(Publio!H48,"-","")</f>
        <v/>
      </c>
      <c r="F48" s="8" t="n">
        <f aca="false">VALUE(SUBSTITUTE(Publio!Q48,".",","))</f>
        <v>0</v>
      </c>
      <c r="G48" s="8" t="str">
        <f aca="false">IFERROR(IF(SEARCH("-", #REF!), SUBSTITUTE(#REF!,"-","")), "")</f>
        <v/>
      </c>
      <c r="H48" s="8" t="n">
        <f aca="false">IFERROR(VALUE(SUBSTITUTE(Nexto!P33,".",",")),0)</f>
        <v>0</v>
      </c>
      <c r="I48" s="9" t="str">
        <f aca="false">SUBSTITUTE(Azymut!D48,"-","")</f>
        <v/>
      </c>
      <c r="J48" s="9" t="n">
        <f aca="false">VALUE(SUBSTITUTE(Azymut!O48,".",","))</f>
        <v>0</v>
      </c>
      <c r="K48" s="9" t="str">
        <f aca="false">SUBSTITUTE(Ebookpoint!E60,"-","")</f>
        <v/>
      </c>
      <c r="L48" s="9" t="str">
        <f aca="false">SUBSTITUTE(Nasbi!E60,"-","")</f>
        <v/>
      </c>
      <c r="M48" s="9" t="n">
        <f aca="false">VALUE(SUBSTITUTE(StorytelE!G48,".",","))</f>
        <v>0</v>
      </c>
      <c r="N48" s="9" t="n">
        <f aca="false">VALUE(SUBSTITUTE(StorytelA!G48,".",","))</f>
        <v>0</v>
      </c>
      <c r="O48" s="9" t="n">
        <f aca="false">VALUE(SUBSTITUTE(StorytelE!M48,".",","))</f>
        <v>0</v>
      </c>
      <c r="P48" s="9" t="n">
        <f aca="false">VALUE(SUBSTITUTE(StorytelA!M48,".",","))</f>
        <v>0</v>
      </c>
      <c r="Q48" s="29"/>
      <c r="R48" s="29" t="n">
        <f aca="false">VALUE(SUBSTITUTE(Woblink!H60,".",","))</f>
        <v>0</v>
      </c>
      <c r="S48" s="9" t="str">
        <f aca="false">SUBSTITUTE(AzymutB!D48,"-","")</f>
        <v/>
      </c>
      <c r="T48" s="9" t="n">
        <f aca="false">VALUE(SUBSTITUTE(AzymutB!O48,".",","))</f>
        <v>0</v>
      </c>
      <c r="U48" s="9" t="str">
        <f aca="false">SUBSTITUTE(Audioteka!Q50,"-","")</f>
        <v/>
      </c>
    </row>
    <row r="49" customFormat="false" ht="15.75" hidden="false" customHeight="false" outlineLevel="0" collapsed="false">
      <c r="A49" s="8" t="str">
        <f aca="false">SUBSTITUTE(Histmag!B49,"-","")</f>
        <v>9788365156594</v>
      </c>
      <c r="B49" s="9" t="n">
        <f aca="false">VALUE(SUBSTITUTE(Histmag!D49,".",","))</f>
        <v>6.13</v>
      </c>
      <c r="C49" s="8" t="str">
        <f aca="false">SUBSTITUTE(Virtualo!G49,"-","")</f>
        <v/>
      </c>
      <c r="D49" s="8" t="str">
        <f aca="false">SUBSTITUTE(Empik!F49,"-","")</f>
        <v>9788365156495</v>
      </c>
      <c r="E49" s="8" t="str">
        <f aca="false">SUBSTITUTE(Publio!H49,"-","")</f>
        <v/>
      </c>
      <c r="F49" s="8" t="n">
        <f aca="false">VALUE(SUBSTITUTE(Publio!Q49,".",","))</f>
        <v>0</v>
      </c>
      <c r="G49" s="8" t="str">
        <f aca="false">IFERROR(IF(SEARCH("-", #REF!), SUBSTITUTE(#REF!,"-","")), "")</f>
        <v/>
      </c>
      <c r="H49" s="8" t="n">
        <f aca="false">IFERROR(VALUE(SUBSTITUTE(Nexto!P34,".",",")),0)</f>
        <v>0</v>
      </c>
      <c r="I49" s="9" t="str">
        <f aca="false">SUBSTITUTE(Azymut!D49,"-","")</f>
        <v/>
      </c>
      <c r="J49" s="9" t="n">
        <f aca="false">VALUE(SUBSTITUTE(Azymut!O49,".",","))</f>
        <v>0</v>
      </c>
      <c r="K49" s="9" t="str">
        <f aca="false">SUBSTITUTE(Ebookpoint!E61,"-","")</f>
        <v/>
      </c>
      <c r="L49" s="9" t="str">
        <f aca="false">SUBSTITUTE(Nasbi!E61,"-","")</f>
        <v/>
      </c>
      <c r="M49" s="9" t="n">
        <f aca="false">VALUE(SUBSTITUTE(StorytelE!G49,".",","))</f>
        <v>0</v>
      </c>
      <c r="N49" s="9" t="n">
        <f aca="false">VALUE(SUBSTITUTE(StorytelA!G49,".",","))</f>
        <v>0</v>
      </c>
      <c r="O49" s="9" t="n">
        <f aca="false">VALUE(SUBSTITUTE(StorytelE!M49,".",","))</f>
        <v>0</v>
      </c>
      <c r="P49" s="9" t="n">
        <f aca="false">VALUE(SUBSTITUTE(StorytelA!M49,".",","))</f>
        <v>0</v>
      </c>
      <c r="Q49" s="29"/>
      <c r="R49" s="29" t="n">
        <f aca="false">VALUE(SUBSTITUTE(Woblink!H61,".",","))</f>
        <v>0</v>
      </c>
      <c r="S49" s="9" t="str">
        <f aca="false">SUBSTITUTE(AzymutB!D49,"-","")</f>
        <v/>
      </c>
      <c r="T49" s="9" t="n">
        <f aca="false">VALUE(SUBSTITUTE(AzymutB!O49,".",","))</f>
        <v>0</v>
      </c>
      <c r="U49" s="9" t="str">
        <f aca="false">SUBSTITUTE(Audioteka!Q51,"-","")</f>
        <v/>
      </c>
    </row>
    <row r="50" customFormat="false" ht="15.75" hidden="false" customHeight="false" outlineLevel="0" collapsed="false">
      <c r="A50" s="8" t="str">
        <f aca="false">SUBSTITUTE(Histmag!B50,"-","")</f>
        <v>9788365156617</v>
      </c>
      <c r="B50" s="9" t="n">
        <f aca="false">VALUE(SUBSTITUTE(Histmag!D50,".",","))</f>
        <v>5.51</v>
      </c>
      <c r="C50" s="8" t="str">
        <f aca="false">SUBSTITUTE(Virtualo!G50,"-","")</f>
        <v/>
      </c>
      <c r="D50" s="8" t="str">
        <f aca="false">SUBSTITUTE(Empik!F50,"-","")</f>
        <v>9788365156495</v>
      </c>
      <c r="E50" s="8" t="str">
        <f aca="false">SUBSTITUTE(Publio!H50,"-","")</f>
        <v/>
      </c>
      <c r="F50" s="8" t="n">
        <f aca="false">VALUE(SUBSTITUTE(Publio!Q50,".",","))</f>
        <v>0</v>
      </c>
      <c r="G50" s="8" t="str">
        <f aca="false">IFERROR(IF(SEARCH("-", Nexto!B31), SUBSTITUTE(Nexto!B31,"-","")), "")</f>
        <v/>
      </c>
      <c r="H50" s="8" t="n">
        <f aca="false">IFERROR(VALUE(SUBSTITUTE(Nexto!P35,".",",")),0)</f>
        <v>0</v>
      </c>
      <c r="I50" s="9" t="str">
        <f aca="false">SUBSTITUTE(Azymut!D50,"-","")</f>
        <v/>
      </c>
      <c r="J50" s="9" t="n">
        <f aca="false">VALUE(SUBSTITUTE(Azymut!O50,".",","))</f>
        <v>0</v>
      </c>
      <c r="K50" s="9" t="str">
        <f aca="false">SUBSTITUTE(Ebookpoint!E62,"-","")</f>
        <v/>
      </c>
      <c r="L50" s="9" t="str">
        <f aca="false">SUBSTITUTE(Nasbi!E62,"-","")</f>
        <v/>
      </c>
      <c r="M50" s="9" t="n">
        <f aca="false">VALUE(SUBSTITUTE(StorytelE!G50,".",","))</f>
        <v>0</v>
      </c>
      <c r="N50" s="9" t="n">
        <f aca="false">VALUE(SUBSTITUTE(StorytelA!G50,".",","))</f>
        <v>0</v>
      </c>
      <c r="O50" s="9" t="n">
        <f aca="false">VALUE(SUBSTITUTE(StorytelE!M50,".",","))</f>
        <v>0</v>
      </c>
      <c r="P50" s="9" t="n">
        <f aca="false">VALUE(SUBSTITUTE(StorytelA!M50,".",","))</f>
        <v>0</v>
      </c>
      <c r="Q50" s="29"/>
      <c r="R50" s="29" t="n">
        <f aca="false">VALUE(SUBSTITUTE(Woblink!H62,".",","))</f>
        <v>0</v>
      </c>
      <c r="S50" s="9" t="str">
        <f aca="false">SUBSTITUTE(AzymutB!D50,"-","")</f>
        <v/>
      </c>
      <c r="T50" s="9" t="n">
        <f aca="false">VALUE(SUBSTITUTE(AzymutB!O50,".",","))</f>
        <v>0</v>
      </c>
      <c r="U50" s="9" t="str">
        <f aca="false">SUBSTITUTE(Audioteka!Q52,"-","")</f>
        <v/>
      </c>
    </row>
    <row r="51" customFormat="false" ht="15.75" hidden="false" customHeight="false" outlineLevel="0" collapsed="false">
      <c r="A51" s="8" t="str">
        <f aca="false">SUBSTITUTE(Histmag!B51,"-","")</f>
        <v>9788365156631</v>
      </c>
      <c r="B51" s="9" t="n">
        <f aca="false">VALUE(SUBSTITUTE(Histmag!D51,".",","))</f>
        <v>9.84</v>
      </c>
      <c r="C51" s="8" t="str">
        <f aca="false">SUBSTITUTE(Virtualo!G51,"-","")</f>
        <v/>
      </c>
      <c r="D51" s="8" t="str">
        <f aca="false">SUBSTITUTE(Empik!F51,"-","")</f>
        <v>9788365156334</v>
      </c>
      <c r="E51" s="8" t="str">
        <f aca="false">SUBSTITUTE(Publio!H51,"-","")</f>
        <v/>
      </c>
      <c r="F51" s="8" t="n">
        <f aca="false">VALUE(SUBSTITUTE(Publio!Q51,".",","))</f>
        <v>0</v>
      </c>
      <c r="G51" s="8" t="str">
        <f aca="false">IFERROR(IF(SEARCH("-", Nexto!B32), SUBSTITUTE(Nexto!B32,"-","")), "")</f>
        <v/>
      </c>
      <c r="H51" s="8" t="n">
        <f aca="false">IFERROR(VALUE(SUBSTITUTE(Nexto!P36,".",",")),0)</f>
        <v>0</v>
      </c>
      <c r="I51" s="9" t="str">
        <f aca="false">SUBSTITUTE(Azymut!D51,"-","")</f>
        <v/>
      </c>
      <c r="J51" s="9" t="n">
        <f aca="false">VALUE(SUBSTITUTE(Azymut!O51,".",","))</f>
        <v>0</v>
      </c>
      <c r="K51" s="9" t="str">
        <f aca="false">SUBSTITUTE(Ebookpoint!E63,"-","")</f>
        <v/>
      </c>
      <c r="L51" s="9" t="str">
        <f aca="false">SUBSTITUTE(Nasbi!E63,"-","")</f>
        <v/>
      </c>
      <c r="M51" s="9" t="n">
        <f aca="false">VALUE(SUBSTITUTE(StorytelE!G51,".",","))</f>
        <v>0</v>
      </c>
      <c r="N51" s="9" t="n">
        <f aca="false">VALUE(SUBSTITUTE(StorytelA!G51,".",","))</f>
        <v>0</v>
      </c>
      <c r="O51" s="9" t="n">
        <f aca="false">VALUE(SUBSTITUTE(StorytelE!M51,".",","))</f>
        <v>0</v>
      </c>
      <c r="P51" s="9" t="n">
        <f aca="false">VALUE(SUBSTITUTE(StorytelA!M51,".",","))</f>
        <v>0</v>
      </c>
      <c r="Q51" s="29"/>
      <c r="R51" s="29" t="n">
        <f aca="false">VALUE(SUBSTITUTE(Woblink!H63,".",","))</f>
        <v>0</v>
      </c>
      <c r="S51" s="9" t="str">
        <f aca="false">SUBSTITUTE(AzymutB!D51,"-","")</f>
        <v/>
      </c>
      <c r="T51" s="9" t="n">
        <f aca="false">VALUE(SUBSTITUTE(AzymutB!O51,".",","))</f>
        <v>0</v>
      </c>
      <c r="U51" s="9" t="str">
        <f aca="false">SUBSTITUTE(Audioteka!Q53,"-","")</f>
        <v/>
      </c>
    </row>
    <row r="52" customFormat="false" ht="15.75" hidden="false" customHeight="false" outlineLevel="0" collapsed="false">
      <c r="A52" s="8" t="str">
        <f aca="false">SUBSTITUTE(Histmag!B52,"-","")</f>
        <v>9788365156648</v>
      </c>
      <c r="B52" s="9" t="n">
        <f aca="false">VALUE(SUBSTITUTE(Histmag!D52,".",","))</f>
        <v>14.19</v>
      </c>
      <c r="C52" s="8" t="str">
        <f aca="false">SUBSTITUTE(Virtualo!G52,"-","")</f>
        <v/>
      </c>
      <c r="D52" s="8" t="str">
        <f aca="false">SUBSTITUTE(Empik!F52,"-","")</f>
        <v>9788365156334</v>
      </c>
      <c r="E52" s="8" t="str">
        <f aca="false">SUBSTITUTE(Publio!H52,"-","")</f>
        <v/>
      </c>
      <c r="F52" s="8" t="n">
        <f aca="false">VALUE(SUBSTITUTE(Publio!Q52,".",","))</f>
        <v>0</v>
      </c>
      <c r="G52" s="8" t="str">
        <f aca="false">IFERROR(IF(SEARCH("-", Nexto!B33), SUBSTITUTE(Nexto!B33,"-","")), "")</f>
        <v/>
      </c>
      <c r="H52" s="8" t="n">
        <f aca="false">IFERROR(VALUE(SUBSTITUTE(Nexto!P37,".",",")),0)</f>
        <v>0</v>
      </c>
      <c r="I52" s="9" t="str">
        <f aca="false">SUBSTITUTE(Azymut!D52,"-","")</f>
        <v/>
      </c>
      <c r="J52" s="9" t="n">
        <f aca="false">VALUE(SUBSTITUTE(Azymut!O52,".",","))</f>
        <v>0</v>
      </c>
      <c r="K52" s="9" t="str">
        <f aca="false">SUBSTITUTE(Ebookpoint!E64,"-","")</f>
        <v/>
      </c>
      <c r="L52" s="9" t="str">
        <f aca="false">SUBSTITUTE(Nasbi!E64,"-","")</f>
        <v/>
      </c>
      <c r="M52" s="9" t="n">
        <f aca="false">VALUE(SUBSTITUTE(StorytelE!G52,".",","))</f>
        <v>0</v>
      </c>
      <c r="N52" s="9" t="n">
        <f aca="false">VALUE(SUBSTITUTE(StorytelA!G52,".",","))</f>
        <v>0</v>
      </c>
      <c r="O52" s="9" t="n">
        <f aca="false">VALUE(SUBSTITUTE(StorytelE!M52,".",","))</f>
        <v>0</v>
      </c>
      <c r="P52" s="9" t="n">
        <f aca="false">VALUE(SUBSTITUTE(StorytelA!M52,".",","))</f>
        <v>0</v>
      </c>
      <c r="Q52" s="29"/>
      <c r="R52" s="29" t="n">
        <f aca="false">VALUE(SUBSTITUTE(Woblink!H64,".",","))</f>
        <v>0</v>
      </c>
      <c r="S52" s="9" t="str">
        <f aca="false">SUBSTITUTE(AzymutB!D52,"-","")</f>
        <v/>
      </c>
      <c r="T52" s="9" t="n">
        <f aca="false">VALUE(SUBSTITUTE(AzymutB!O52,".",","))</f>
        <v>0</v>
      </c>
      <c r="U52" s="9" t="str">
        <f aca="false">SUBSTITUTE(Audioteka!Q54,"-","")</f>
        <v/>
      </c>
    </row>
    <row r="53" customFormat="false" ht="15.75" hidden="false" customHeight="false" outlineLevel="0" collapsed="false">
      <c r="A53" s="8" t="str">
        <f aca="false">SUBSTITUTE(Histmag!B53,"-","")</f>
        <v>9788365156655</v>
      </c>
      <c r="B53" s="9" t="n">
        <f aca="false">VALUE(SUBSTITUTE(Histmag!D53,".",","))</f>
        <v>11.27</v>
      </c>
      <c r="C53" s="8" t="str">
        <f aca="false">SUBSTITUTE(Virtualo!G53,"-","")</f>
        <v/>
      </c>
      <c r="D53" s="8" t="str">
        <f aca="false">SUBSTITUTE(Empik!F53,"-","")</f>
        <v>9788365156334</v>
      </c>
      <c r="E53" s="8" t="str">
        <f aca="false">SUBSTITUTE(Publio!H53,"-","")</f>
        <v/>
      </c>
      <c r="F53" s="8" t="n">
        <f aca="false">VALUE(SUBSTITUTE(Publio!Q53,".",","))</f>
        <v>0</v>
      </c>
      <c r="G53" s="8" t="str">
        <f aca="false">IFERROR(IF(SEARCH("-", Nexto!B34), SUBSTITUTE(Nexto!B34,"-","")), "")</f>
        <v/>
      </c>
      <c r="H53" s="8" t="n">
        <f aca="false">IFERROR(VALUE(SUBSTITUTE(Nexto!P38,".",",")),0)</f>
        <v>0</v>
      </c>
      <c r="I53" s="9" t="str">
        <f aca="false">SUBSTITUTE(Azymut!D53,"-","")</f>
        <v/>
      </c>
      <c r="J53" s="9" t="n">
        <f aca="false">VALUE(SUBSTITUTE(Azymut!O53,".",","))</f>
        <v>0</v>
      </c>
      <c r="K53" s="9" t="str">
        <f aca="false">SUBSTITUTE(Ebookpoint!E65,"-","")</f>
        <v/>
      </c>
      <c r="L53" s="9" t="str">
        <f aca="false">SUBSTITUTE(Nasbi!E65,"-","")</f>
        <v/>
      </c>
      <c r="M53" s="9" t="n">
        <f aca="false">VALUE(SUBSTITUTE(StorytelE!G53,".",","))</f>
        <v>0</v>
      </c>
      <c r="N53" s="9" t="n">
        <f aca="false">VALUE(SUBSTITUTE(StorytelA!G53,".",","))</f>
        <v>0</v>
      </c>
      <c r="O53" s="9" t="n">
        <f aca="false">VALUE(SUBSTITUTE(StorytelE!M53,".",","))</f>
        <v>0</v>
      </c>
      <c r="P53" s="9" t="n">
        <f aca="false">VALUE(SUBSTITUTE(StorytelA!M53,".",","))</f>
        <v>0</v>
      </c>
      <c r="Q53" s="29"/>
      <c r="R53" s="29" t="n">
        <f aca="false">VALUE(SUBSTITUTE(Woblink!H65,".",","))</f>
        <v>0</v>
      </c>
      <c r="S53" s="9" t="str">
        <f aca="false">SUBSTITUTE(AzymutB!D53,"-","")</f>
        <v/>
      </c>
      <c r="T53" s="9" t="n">
        <f aca="false">VALUE(SUBSTITUTE(AzymutB!O53,".",","))</f>
        <v>0</v>
      </c>
      <c r="U53" s="9" t="str">
        <f aca="false">SUBSTITUTE(Audioteka!Q55,"-","")</f>
        <v/>
      </c>
    </row>
    <row r="54" customFormat="false" ht="15.75" hidden="false" customHeight="false" outlineLevel="0" collapsed="false">
      <c r="A54" s="8" t="str">
        <f aca="false">SUBSTITUTE(Histmag!B54,"-","")</f>
        <v>9788365156679</v>
      </c>
      <c r="B54" s="9" t="n">
        <f aca="false">VALUE(SUBSTITUTE(Histmag!D54,".",","))</f>
        <v>7.36</v>
      </c>
      <c r="C54" s="8" t="str">
        <f aca="false">SUBSTITUTE(Virtualo!G54,"-","")</f>
        <v/>
      </c>
      <c r="D54" s="8" t="str">
        <f aca="false">SUBSTITUTE(Empik!F54,"-","")</f>
        <v/>
      </c>
      <c r="E54" s="8" t="str">
        <f aca="false">SUBSTITUTE(Publio!H54,"-","")</f>
        <v/>
      </c>
      <c r="F54" s="8" t="n">
        <f aca="false">VALUE(SUBSTITUTE(Publio!Q54,".",","))</f>
        <v>0</v>
      </c>
      <c r="G54" s="8" t="str">
        <f aca="false">IFERROR(IF(SEARCH("-", Nexto!B35), SUBSTITUTE(Nexto!B35,"-","")), "")</f>
        <v/>
      </c>
      <c r="H54" s="8" t="n">
        <f aca="false">IFERROR(VALUE(SUBSTITUTE(Nexto!P39,".",",")),0)</f>
        <v>0</v>
      </c>
      <c r="I54" s="9" t="str">
        <f aca="false">SUBSTITUTE(Azymut!D54,"-","")</f>
        <v/>
      </c>
      <c r="J54" s="9" t="n">
        <f aca="false">VALUE(SUBSTITUTE(Azymut!O54,".",","))</f>
        <v>0</v>
      </c>
      <c r="K54" s="9" t="str">
        <f aca="false">SUBSTITUTE(Ebookpoint!E66,"-","")</f>
        <v/>
      </c>
      <c r="L54" s="9" t="str">
        <f aca="false">SUBSTITUTE(Nasbi!E66,"-","")</f>
        <v/>
      </c>
      <c r="M54" s="9" t="n">
        <f aca="false">VALUE(SUBSTITUTE(StorytelE!G54,".",","))</f>
        <v>0</v>
      </c>
      <c r="N54" s="9" t="n">
        <f aca="false">VALUE(SUBSTITUTE(StorytelA!G54,".",","))</f>
        <v>0</v>
      </c>
      <c r="O54" s="9" t="n">
        <f aca="false">VALUE(SUBSTITUTE(StorytelE!M54,".",","))</f>
        <v>0</v>
      </c>
      <c r="P54" s="9" t="n">
        <f aca="false">VALUE(SUBSTITUTE(StorytelA!M54,".",","))</f>
        <v>0</v>
      </c>
      <c r="Q54" s="29"/>
      <c r="R54" s="29" t="n">
        <f aca="false">VALUE(SUBSTITUTE(Woblink!H66,".",","))</f>
        <v>0</v>
      </c>
      <c r="S54" s="9" t="str">
        <f aca="false">SUBSTITUTE(AzymutB!D54,"-","")</f>
        <v/>
      </c>
      <c r="T54" s="9" t="n">
        <f aca="false">VALUE(SUBSTITUTE(AzymutB!O54,".",","))</f>
        <v>0</v>
      </c>
      <c r="U54" s="9" t="str">
        <f aca="false">SUBSTITUTE(Audioteka!Q56,"-","")</f>
        <v/>
      </c>
    </row>
    <row r="55" customFormat="false" ht="15.75" hidden="false" customHeight="false" outlineLevel="0" collapsed="false">
      <c r="A55" s="8" t="str">
        <f aca="false">SUBSTITUTE(Histmag!B55,"-","")</f>
        <v>9788365156686</v>
      </c>
      <c r="B55" s="9" t="n">
        <f aca="false">VALUE(SUBSTITUTE(Histmag!D55,".",","))</f>
        <v>7.37</v>
      </c>
      <c r="C55" s="8" t="str">
        <f aca="false">SUBSTITUTE(Virtualo!G55,"-","")</f>
        <v/>
      </c>
      <c r="D55" s="8" t="str">
        <f aca="false">SUBSTITUTE(Empik!F55,"-","")</f>
        <v/>
      </c>
      <c r="E55" s="8" t="str">
        <f aca="false">SUBSTITUTE(Publio!H55,"-","")</f>
        <v/>
      </c>
      <c r="F55" s="8" t="n">
        <f aca="false">VALUE(SUBSTITUTE(Publio!Q55,".",","))</f>
        <v>0</v>
      </c>
      <c r="G55" s="8" t="str">
        <f aca="false">IFERROR(IF(SEARCH("-", Nexto!B36), SUBSTITUTE(Nexto!B36,"-","")), "")</f>
        <v/>
      </c>
      <c r="H55" s="8" t="n">
        <f aca="false">IFERROR(VALUE(SUBSTITUTE(Nexto!P40,".",",")),0)</f>
        <v>0</v>
      </c>
      <c r="I55" s="9" t="str">
        <f aca="false">SUBSTITUTE(Azymut!D55,"-","")</f>
        <v/>
      </c>
      <c r="J55" s="9" t="n">
        <f aca="false">VALUE(SUBSTITUTE(Azymut!O55,".",","))</f>
        <v>0</v>
      </c>
      <c r="K55" s="9" t="str">
        <f aca="false">SUBSTITUTE(Ebookpoint!E67,"-","")</f>
        <v/>
      </c>
      <c r="L55" s="9" t="str">
        <f aca="false">SUBSTITUTE(Nasbi!E67,"-","")</f>
        <v/>
      </c>
      <c r="M55" s="9" t="n">
        <f aca="false">VALUE(SUBSTITUTE(StorytelE!G55,".",","))</f>
        <v>0</v>
      </c>
      <c r="N55" s="9" t="n">
        <f aca="false">VALUE(SUBSTITUTE(StorytelA!G55,".",","))</f>
        <v>0</v>
      </c>
      <c r="O55" s="9" t="n">
        <f aca="false">VALUE(SUBSTITUTE(StorytelE!M55,".",","))</f>
        <v>0</v>
      </c>
      <c r="P55" s="9" t="n">
        <f aca="false">VALUE(SUBSTITUTE(StorytelA!M55,".",","))</f>
        <v>0</v>
      </c>
      <c r="Q55" s="29"/>
      <c r="R55" s="29" t="n">
        <f aca="false">VALUE(SUBSTITUTE(Woblink!H67,".",","))</f>
        <v>0</v>
      </c>
      <c r="S55" s="9" t="str">
        <f aca="false">SUBSTITUTE(AzymutB!D55,"-","")</f>
        <v/>
      </c>
      <c r="T55" s="9" t="n">
        <f aca="false">VALUE(SUBSTITUTE(AzymutB!O55,".",","))</f>
        <v>0</v>
      </c>
      <c r="U55" s="9" t="str">
        <f aca="false">SUBSTITUTE(Audioteka!Q57,"-","")</f>
        <v/>
      </c>
    </row>
    <row r="56" customFormat="false" ht="15.75" hidden="false" customHeight="false" outlineLevel="0" collapsed="false">
      <c r="A56" s="8" t="str">
        <f aca="false">SUBSTITUTE(Histmag!B56,"-","")</f>
        <v>9788365156723</v>
      </c>
      <c r="B56" s="9" t="n">
        <f aca="false">VALUE(SUBSTITUTE(Histmag!D56,".",","))</f>
        <v>9.22</v>
      </c>
      <c r="C56" s="8" t="str">
        <f aca="false">SUBSTITUTE(Virtualo!G56,"-","")</f>
        <v/>
      </c>
      <c r="D56" s="8" t="str">
        <f aca="false">SUBSTITUTE(Empik!F56,"-","")</f>
        <v/>
      </c>
      <c r="E56" s="8" t="str">
        <f aca="false">SUBSTITUTE(Publio!H56,"-","")</f>
        <v/>
      </c>
      <c r="F56" s="8" t="n">
        <f aca="false">VALUE(SUBSTITUTE(Publio!Q56,".",","))</f>
        <v>0</v>
      </c>
      <c r="G56" s="8" t="str">
        <f aca="false">IFERROR(IF(SEARCH("-", Nexto!B37), SUBSTITUTE(Nexto!B37,"-","")), "")</f>
        <v/>
      </c>
      <c r="H56" s="8" t="n">
        <f aca="false">IFERROR(VALUE(SUBSTITUTE(Nexto!P41,".",",")),0)</f>
        <v>0</v>
      </c>
      <c r="I56" s="9" t="str">
        <f aca="false">SUBSTITUTE(Azymut!D56,"-","")</f>
        <v/>
      </c>
      <c r="J56" s="9" t="n">
        <f aca="false">VALUE(SUBSTITUTE(Azymut!O56,".",","))</f>
        <v>0</v>
      </c>
      <c r="K56" s="9" t="str">
        <f aca="false">SUBSTITUTE(Ebookpoint!E68,"-","")</f>
        <v/>
      </c>
      <c r="L56" s="9" t="str">
        <f aca="false">SUBSTITUTE(Nasbi!E68,"-","")</f>
        <v/>
      </c>
      <c r="M56" s="9" t="n">
        <f aca="false">VALUE(SUBSTITUTE(StorytelE!G56,".",","))</f>
        <v>0</v>
      </c>
      <c r="N56" s="9" t="n">
        <f aca="false">VALUE(SUBSTITUTE(StorytelA!G56,".",","))</f>
        <v>0</v>
      </c>
      <c r="O56" s="9" t="n">
        <f aca="false">VALUE(SUBSTITUTE(StorytelE!M56,".",","))</f>
        <v>0</v>
      </c>
      <c r="P56" s="9" t="n">
        <f aca="false">VALUE(SUBSTITUTE(StorytelA!M56,".",","))</f>
        <v>0</v>
      </c>
      <c r="Q56" s="29"/>
      <c r="R56" s="29" t="n">
        <f aca="false">VALUE(SUBSTITUTE(Woblink!H68,".",","))</f>
        <v>0</v>
      </c>
      <c r="S56" s="9" t="str">
        <f aca="false">SUBSTITUTE(AzymutB!D56,"-","")</f>
        <v/>
      </c>
      <c r="T56" s="9" t="n">
        <f aca="false">VALUE(SUBSTITUTE(AzymutB!O56,".",","))</f>
        <v>0</v>
      </c>
      <c r="U56" s="9" t="str">
        <f aca="false">SUBSTITUTE(Audioteka!Q58,"-","")</f>
        <v/>
      </c>
    </row>
    <row r="57" customFormat="false" ht="15.75" hidden="false" customHeight="false" outlineLevel="0" collapsed="false">
      <c r="A57" s="8" t="str">
        <f aca="false">SUBSTITUTE(Histmag!B57,"-","")</f>
        <v>9788365156792</v>
      </c>
      <c r="B57" s="9" t="n">
        <f aca="false">VALUE(SUBSTITUTE(Histmag!D57,".",","))</f>
        <v>9.22</v>
      </c>
      <c r="C57" s="8" t="str">
        <f aca="false">SUBSTITUTE(Virtualo!G57,"-","")</f>
        <v/>
      </c>
      <c r="D57" s="8" t="str">
        <f aca="false">SUBSTITUTE(Empik!F57,"-","")</f>
        <v/>
      </c>
      <c r="E57" s="8" t="str">
        <f aca="false">SUBSTITUTE(Publio!H57,"-","")</f>
        <v/>
      </c>
      <c r="F57" s="8" t="n">
        <f aca="false">VALUE(SUBSTITUTE(Publio!Q57,".",","))</f>
        <v>0</v>
      </c>
      <c r="G57" s="8" t="str">
        <f aca="false">IFERROR(IF(SEARCH("-", Nexto!B38), SUBSTITUTE(Nexto!B38,"-","")), "")</f>
        <v/>
      </c>
      <c r="H57" s="8" t="n">
        <f aca="false">IFERROR(VALUE(SUBSTITUTE(Nexto!P42,".",",")),0)</f>
        <v>0</v>
      </c>
      <c r="I57" s="9" t="str">
        <f aca="false">SUBSTITUTE(Azymut!D57,"-","")</f>
        <v/>
      </c>
      <c r="J57" s="9" t="n">
        <f aca="false">VALUE(SUBSTITUTE(Azymut!O57,".",","))</f>
        <v>0</v>
      </c>
      <c r="K57" s="9" t="str">
        <f aca="false">SUBSTITUTE(Ebookpoint!E69,"-","")</f>
        <v/>
      </c>
      <c r="L57" s="9" t="str">
        <f aca="false">SUBSTITUTE(Nasbi!E69,"-","")</f>
        <v/>
      </c>
      <c r="M57" s="9" t="n">
        <f aca="false">VALUE(SUBSTITUTE(StorytelE!G57,".",","))</f>
        <v>0</v>
      </c>
      <c r="N57" s="9" t="n">
        <f aca="false">VALUE(SUBSTITUTE(StorytelA!G57,".",","))</f>
        <v>0</v>
      </c>
      <c r="O57" s="9" t="n">
        <f aca="false">VALUE(SUBSTITUTE(StorytelE!M57,".",","))</f>
        <v>0</v>
      </c>
      <c r="P57" s="9" t="n">
        <f aca="false">VALUE(SUBSTITUTE(StorytelA!M57,".",","))</f>
        <v>0</v>
      </c>
      <c r="Q57" s="29"/>
      <c r="R57" s="29" t="n">
        <f aca="false">VALUE(SUBSTITUTE(Woblink!H69,".",","))</f>
        <v>0</v>
      </c>
      <c r="S57" s="9" t="str">
        <f aca="false">SUBSTITUTE(AzymutB!D57,"-","")</f>
        <v/>
      </c>
      <c r="T57" s="9" t="n">
        <f aca="false">VALUE(SUBSTITUTE(AzymutB!O57,".",","))</f>
        <v>0</v>
      </c>
      <c r="U57" s="9" t="str">
        <f aca="false">SUBSTITUTE(Audioteka!Q59,"-","")</f>
        <v/>
      </c>
    </row>
    <row r="58" customFormat="false" ht="15.75" hidden="false" customHeight="false" outlineLevel="0" collapsed="false">
      <c r="A58" s="8" t="str">
        <f aca="false">SUBSTITUTE(Histmag!B58,"-","")</f>
        <v>9788365156839</v>
      </c>
      <c r="B58" s="9" t="n">
        <f aca="false">VALUE(SUBSTITUTE(Histmag!D58,".",","))</f>
        <v>7.37</v>
      </c>
      <c r="C58" s="8" t="str">
        <f aca="false">SUBSTITUTE(Virtualo!G58,"-","")</f>
        <v/>
      </c>
      <c r="D58" s="8" t="str">
        <f aca="false">SUBSTITUTE(Empik!F58,"-","")</f>
        <v/>
      </c>
      <c r="E58" s="8" t="str">
        <f aca="false">SUBSTITUTE(Publio!H58,"-","")</f>
        <v/>
      </c>
      <c r="F58" s="8" t="n">
        <f aca="false">VALUE(SUBSTITUTE(Publio!Q58,".",","))</f>
        <v>0</v>
      </c>
      <c r="G58" s="8" t="str">
        <f aca="false">IFERROR(IF(SEARCH("-", Nexto!B39), SUBSTITUTE(Nexto!B39,"-","")), "")</f>
        <v/>
      </c>
      <c r="H58" s="8" t="n">
        <f aca="false">IFERROR(VALUE(SUBSTITUTE(Nexto!P43,".",",")),0)</f>
        <v>0</v>
      </c>
      <c r="I58" s="9" t="str">
        <f aca="false">SUBSTITUTE(Azymut!D58,"-","")</f>
        <v/>
      </c>
      <c r="J58" s="9" t="n">
        <f aca="false">VALUE(SUBSTITUTE(Azymut!O58,".",","))</f>
        <v>0</v>
      </c>
      <c r="K58" s="9" t="str">
        <f aca="false">SUBSTITUTE(Ebookpoint!E70,"-","")</f>
        <v/>
      </c>
      <c r="L58" s="9" t="str">
        <f aca="false">SUBSTITUTE(Nasbi!E70,"-","")</f>
        <v/>
      </c>
      <c r="M58" s="9" t="n">
        <f aca="false">VALUE(SUBSTITUTE(StorytelE!G58,".",","))</f>
        <v>0</v>
      </c>
      <c r="N58" s="9" t="n">
        <f aca="false">VALUE(SUBSTITUTE(StorytelA!G58,".",","))</f>
        <v>0</v>
      </c>
      <c r="O58" s="9" t="n">
        <f aca="false">VALUE(SUBSTITUTE(StorytelE!M58,".",","))</f>
        <v>0</v>
      </c>
      <c r="P58" s="9" t="n">
        <f aca="false">VALUE(SUBSTITUTE(StorytelA!M58,".",","))</f>
        <v>0</v>
      </c>
      <c r="Q58" s="29"/>
      <c r="R58" s="29" t="n">
        <f aca="false">VALUE(SUBSTITUTE(Woblink!H70,".",","))</f>
        <v>0</v>
      </c>
      <c r="S58" s="9" t="str">
        <f aca="false">SUBSTITUTE(AzymutB!D58,"-","")</f>
        <v/>
      </c>
      <c r="T58" s="9" t="n">
        <f aca="false">VALUE(SUBSTITUTE(AzymutB!O58,".",","))</f>
        <v>0</v>
      </c>
      <c r="U58" s="9" t="str">
        <f aca="false">SUBSTITUTE(Audioteka!Q60,"-","")</f>
        <v/>
      </c>
    </row>
    <row r="59" customFormat="false" ht="15.75" hidden="false" customHeight="false" outlineLevel="0" collapsed="false">
      <c r="A59" s="8" t="str">
        <f aca="false">SUBSTITUTE(Histmag!B59,"-","")</f>
        <v>9788365156877</v>
      </c>
      <c r="B59" s="9" t="n">
        <f aca="false">VALUE(SUBSTITUTE(Histmag!D59,".",","))</f>
        <v>16.1</v>
      </c>
      <c r="C59" s="8" t="str">
        <f aca="false">SUBSTITUTE(Virtualo!G59,"-","")</f>
        <v/>
      </c>
      <c r="D59" s="8" t="str">
        <f aca="false">SUBSTITUTE(Empik!F59,"-","")</f>
        <v/>
      </c>
      <c r="E59" s="8" t="str">
        <f aca="false">SUBSTITUTE(Publio!H59,"-","")</f>
        <v/>
      </c>
      <c r="F59" s="8" t="n">
        <f aca="false">VALUE(SUBSTITUTE(Publio!Q59,".",","))</f>
        <v>0</v>
      </c>
      <c r="G59" s="8" t="str">
        <f aca="false">IFERROR(IF(SEARCH("-", Nexto!B40), SUBSTITUTE(Nexto!B40,"-","")), "")</f>
        <v/>
      </c>
      <c r="H59" s="8" t="n">
        <f aca="false">IFERROR(VALUE(SUBSTITUTE(Nexto!P44,".",",")),0)</f>
        <v>0</v>
      </c>
      <c r="I59" s="9" t="str">
        <f aca="false">SUBSTITUTE(Azymut!D59,"-","")</f>
        <v/>
      </c>
      <c r="J59" s="9" t="n">
        <f aca="false">VALUE(SUBSTITUTE(Azymut!O59,".",","))</f>
        <v>0</v>
      </c>
      <c r="K59" s="9" t="str">
        <f aca="false">SUBSTITUTE(Ebookpoint!E71,"-","")</f>
        <v/>
      </c>
      <c r="L59" s="9" t="str">
        <f aca="false">SUBSTITUTE(Nasbi!E71,"-","")</f>
        <v/>
      </c>
      <c r="M59" s="9" t="n">
        <f aca="false">VALUE(SUBSTITUTE(StorytelE!G59,".",","))</f>
        <v>0</v>
      </c>
      <c r="N59" s="9" t="n">
        <f aca="false">VALUE(SUBSTITUTE(StorytelA!G59,".",","))</f>
        <v>0</v>
      </c>
      <c r="O59" s="9" t="n">
        <f aca="false">VALUE(SUBSTITUTE(StorytelE!M59,".",","))</f>
        <v>0</v>
      </c>
      <c r="P59" s="9" t="n">
        <f aca="false">VALUE(SUBSTITUTE(StorytelA!M59,".",","))</f>
        <v>0</v>
      </c>
      <c r="Q59" s="29"/>
      <c r="R59" s="29" t="n">
        <f aca="false">VALUE(SUBSTITUTE(Woblink!H71,".",","))</f>
        <v>0</v>
      </c>
      <c r="S59" s="9" t="str">
        <f aca="false">SUBSTITUTE(AzymutB!D59,"-","")</f>
        <v/>
      </c>
      <c r="T59" s="9" t="n">
        <f aca="false">VALUE(SUBSTITUTE(AzymutB!O59,".",","))</f>
        <v>0</v>
      </c>
      <c r="U59" s="9" t="str">
        <f aca="false">SUBSTITUTE(Audioteka!Q61,"-","")</f>
        <v/>
      </c>
    </row>
    <row r="60" customFormat="false" ht="15.75" hidden="false" customHeight="false" outlineLevel="0" collapsed="false">
      <c r="A60" s="8" t="str">
        <f aca="false">SUBSTITUTE(Histmag!B60,"-","")</f>
        <v/>
      </c>
      <c r="B60" s="9" t="n">
        <f aca="false">VALUE(SUBSTITUTE(Histmag!D60,".",","))</f>
        <v>0</v>
      </c>
      <c r="C60" s="8" t="str">
        <f aca="false">SUBSTITUTE(Virtualo!G60,"-","")</f>
        <v/>
      </c>
      <c r="D60" s="8" t="str">
        <f aca="false">SUBSTITUTE(Empik!F60,"-","")</f>
        <v/>
      </c>
      <c r="E60" s="8" t="str">
        <f aca="false">SUBSTITUTE(Publio!H60,"-","")</f>
        <v/>
      </c>
      <c r="F60" s="8" t="n">
        <f aca="false">VALUE(SUBSTITUTE(Publio!Q60,".",","))</f>
        <v>0</v>
      </c>
      <c r="G60" s="8" t="str">
        <f aca="false">IFERROR(IF(SEARCH("-", Nexto!B41), SUBSTITUTE(Nexto!B41,"-","")), "")</f>
        <v/>
      </c>
      <c r="H60" s="8" t="n">
        <f aca="false">IFERROR(VALUE(SUBSTITUTE(Nexto!P45,".",",")),0)</f>
        <v>0</v>
      </c>
      <c r="I60" s="9" t="str">
        <f aca="false">SUBSTITUTE(Azymut!D60,"-","")</f>
        <v/>
      </c>
      <c r="J60" s="9" t="n">
        <f aca="false">VALUE(SUBSTITUTE(Azymut!O60,".",","))</f>
        <v>0</v>
      </c>
      <c r="K60" s="9" t="str">
        <f aca="false">SUBSTITUTE(Ebookpoint!E72,"-","")</f>
        <v/>
      </c>
      <c r="L60" s="9" t="str">
        <f aca="false">SUBSTITUTE(Nasbi!E72,"-","")</f>
        <v/>
      </c>
      <c r="M60" s="9" t="n">
        <f aca="false">VALUE(SUBSTITUTE(StorytelE!G60,".",","))</f>
        <v>0</v>
      </c>
      <c r="N60" s="9" t="n">
        <f aca="false">VALUE(SUBSTITUTE(StorytelA!G60,".",","))</f>
        <v>0</v>
      </c>
      <c r="O60" s="9" t="n">
        <f aca="false">VALUE(SUBSTITUTE(StorytelE!M60,".",","))</f>
        <v>0</v>
      </c>
      <c r="P60" s="9" t="n">
        <f aca="false">VALUE(SUBSTITUTE(StorytelA!M60,".",","))</f>
        <v>0</v>
      </c>
      <c r="Q60" s="29"/>
      <c r="R60" s="29" t="n">
        <f aca="false">VALUE(SUBSTITUTE(Woblink!H72,".",","))</f>
        <v>0</v>
      </c>
      <c r="S60" s="9" t="str">
        <f aca="false">SUBSTITUTE(AzymutB!D60,"-","")</f>
        <v/>
      </c>
      <c r="T60" s="9" t="n">
        <f aca="false">VALUE(SUBSTITUTE(AzymutB!O60,".",","))</f>
        <v>0</v>
      </c>
      <c r="U60" s="9" t="str">
        <f aca="false">SUBSTITUTE(Audioteka!Q62,"-","")</f>
        <v/>
      </c>
    </row>
    <row r="61" customFormat="false" ht="15.75" hidden="false" customHeight="false" outlineLevel="0" collapsed="false">
      <c r="A61" s="8" t="str">
        <f aca="false">SUBSTITUTE(Histmag!B61,"-","")</f>
        <v/>
      </c>
      <c r="B61" s="9" t="n">
        <f aca="false">VALUE(SUBSTITUTE(Histmag!D61,".",","))</f>
        <v>0</v>
      </c>
      <c r="C61" s="8" t="str">
        <f aca="false">SUBSTITUTE(Virtualo!G61,"-","")</f>
        <v/>
      </c>
      <c r="D61" s="8" t="str">
        <f aca="false">SUBSTITUTE(Empik!F61,"-","")</f>
        <v/>
      </c>
      <c r="E61" s="8" t="str">
        <f aca="false">SUBSTITUTE(Publio!H61,"-","")</f>
        <v/>
      </c>
      <c r="F61" s="8" t="n">
        <f aca="false">VALUE(SUBSTITUTE(Publio!Q61,".",","))</f>
        <v>0</v>
      </c>
      <c r="G61" s="8" t="str">
        <f aca="false">IFERROR(IF(SEARCH("-", Nexto!B42), SUBSTITUTE(Nexto!B42,"-","")), "")</f>
        <v/>
      </c>
      <c r="H61" s="8" t="n">
        <f aca="false">IFERROR(VALUE(SUBSTITUTE(Nexto!P46,".",",")),0)</f>
        <v>0</v>
      </c>
      <c r="I61" s="9" t="str">
        <f aca="false">SUBSTITUTE(Azymut!D61,"-","")</f>
        <v/>
      </c>
      <c r="J61" s="9" t="n">
        <f aca="false">VALUE(SUBSTITUTE(Azymut!O61,".",","))</f>
        <v>0</v>
      </c>
      <c r="K61" s="9" t="str">
        <f aca="false">SUBSTITUTE(Ebookpoint!E73,"-","")</f>
        <v/>
      </c>
      <c r="L61" s="9" t="str">
        <f aca="false">SUBSTITUTE(Nasbi!E73,"-","")</f>
        <v/>
      </c>
      <c r="M61" s="9" t="n">
        <f aca="false">VALUE(SUBSTITUTE(StorytelE!G61,".",","))</f>
        <v>0</v>
      </c>
      <c r="N61" s="9" t="n">
        <f aca="false">VALUE(SUBSTITUTE(StorytelA!G61,".",","))</f>
        <v>0</v>
      </c>
      <c r="O61" s="9" t="n">
        <f aca="false">VALUE(SUBSTITUTE(StorytelE!M61,".",","))</f>
        <v>0</v>
      </c>
      <c r="P61" s="9" t="n">
        <f aca="false">VALUE(SUBSTITUTE(StorytelA!M61,".",","))</f>
        <v>0</v>
      </c>
      <c r="Q61" s="29"/>
      <c r="R61" s="29" t="n">
        <f aca="false">VALUE(SUBSTITUTE(Woblink!H73,".",","))</f>
        <v>0</v>
      </c>
      <c r="S61" s="9" t="str">
        <f aca="false">SUBSTITUTE(AzymutB!D61,"-","")</f>
        <v/>
      </c>
      <c r="T61" s="9" t="n">
        <f aca="false">VALUE(SUBSTITUTE(AzymutB!O61,".",","))</f>
        <v>0</v>
      </c>
      <c r="U61" s="9" t="str">
        <f aca="false">SUBSTITUTE(Audioteka!Q63,"-","")</f>
        <v/>
      </c>
    </row>
    <row r="62" customFormat="false" ht="15.75" hidden="false" customHeight="false" outlineLevel="0" collapsed="false">
      <c r="A62" s="8" t="str">
        <f aca="false">SUBSTITUTE(Histmag!B62,"-","")</f>
        <v/>
      </c>
      <c r="B62" s="9" t="n">
        <f aca="false">VALUE(SUBSTITUTE(Histmag!D62,".",","))</f>
        <v>0</v>
      </c>
      <c r="C62" s="8" t="str">
        <f aca="false">SUBSTITUTE(Virtualo!G62,"-","")</f>
        <v/>
      </c>
      <c r="D62" s="8" t="str">
        <f aca="false">SUBSTITUTE(Empik!F62,"-","")</f>
        <v/>
      </c>
      <c r="E62" s="8" t="str">
        <f aca="false">SUBSTITUTE(Publio!H62,"-","")</f>
        <v/>
      </c>
      <c r="F62" s="8" t="n">
        <f aca="false">VALUE(SUBSTITUTE(Publio!Q62,".",","))</f>
        <v>0</v>
      </c>
      <c r="G62" s="8" t="str">
        <f aca="false">IFERROR(IF(SEARCH("-", Nexto!B43), SUBSTITUTE(Nexto!B43,"-","")), "")</f>
        <v/>
      </c>
      <c r="H62" s="8" t="n">
        <f aca="false">IFERROR(VALUE(SUBSTITUTE(Nexto!P47,".",",")),0)</f>
        <v>0</v>
      </c>
      <c r="I62" s="9" t="str">
        <f aca="false">SUBSTITUTE(Azymut!D62,"-","")</f>
        <v/>
      </c>
      <c r="J62" s="9" t="n">
        <f aca="false">VALUE(SUBSTITUTE(Azymut!O62,".",","))</f>
        <v>0</v>
      </c>
      <c r="K62" s="9" t="str">
        <f aca="false">SUBSTITUTE(Ebookpoint!E74,"-","")</f>
        <v/>
      </c>
      <c r="L62" s="9" t="str">
        <f aca="false">SUBSTITUTE(Nasbi!E74,"-","")</f>
        <v/>
      </c>
      <c r="M62" s="9" t="n">
        <f aca="false">VALUE(SUBSTITUTE(StorytelE!G62,".",","))</f>
        <v>0</v>
      </c>
      <c r="N62" s="9" t="n">
        <f aca="false">VALUE(SUBSTITUTE(StorytelA!G62,".",","))</f>
        <v>0</v>
      </c>
      <c r="O62" s="9" t="n">
        <f aca="false">VALUE(SUBSTITUTE(StorytelE!M62,".",","))</f>
        <v>0</v>
      </c>
      <c r="P62" s="9" t="n">
        <f aca="false">VALUE(SUBSTITUTE(StorytelA!M62,".",","))</f>
        <v>0</v>
      </c>
      <c r="Q62" s="29"/>
      <c r="R62" s="29" t="n">
        <f aca="false">VALUE(SUBSTITUTE(Woblink!H74,".",","))</f>
        <v>0</v>
      </c>
      <c r="S62" s="9" t="str">
        <f aca="false">SUBSTITUTE(AzymutB!D62,"-","")</f>
        <v/>
      </c>
      <c r="T62" s="9" t="n">
        <f aca="false">VALUE(SUBSTITUTE(AzymutB!O62,".",","))</f>
        <v>0</v>
      </c>
      <c r="U62" s="9" t="str">
        <f aca="false">SUBSTITUTE(Audioteka!Q64,"-","")</f>
        <v/>
      </c>
    </row>
    <row r="63" customFormat="false" ht="15.75" hidden="false" customHeight="false" outlineLevel="0" collapsed="false">
      <c r="A63" s="8" t="str">
        <f aca="false">SUBSTITUTE(Histmag!B63,"-","")</f>
        <v/>
      </c>
      <c r="B63" s="9" t="n">
        <f aca="false">VALUE(SUBSTITUTE(Histmag!D63,".",","))</f>
        <v>0</v>
      </c>
      <c r="C63" s="8" t="str">
        <f aca="false">SUBSTITUTE(Virtualo!G63,"-","")</f>
        <v/>
      </c>
      <c r="D63" s="8" t="str">
        <f aca="false">SUBSTITUTE(Empik!F63,"-","")</f>
        <v/>
      </c>
      <c r="E63" s="8" t="str">
        <f aca="false">SUBSTITUTE(Publio!H63,"-","")</f>
        <v/>
      </c>
      <c r="F63" s="8" t="n">
        <f aca="false">VALUE(SUBSTITUTE(Publio!Q63,".",","))</f>
        <v>0</v>
      </c>
      <c r="G63" s="8" t="str">
        <f aca="false">IFERROR(IF(SEARCH("-", Nexto!B44), SUBSTITUTE(Nexto!B44,"-","")), "")</f>
        <v/>
      </c>
      <c r="H63" s="8" t="n">
        <f aca="false">IFERROR(VALUE(SUBSTITUTE(Nexto!P48,".",",")),0)</f>
        <v>0</v>
      </c>
      <c r="I63" s="9" t="str">
        <f aca="false">SUBSTITUTE(Azymut!D63,"-","")</f>
        <v/>
      </c>
      <c r="J63" s="9" t="n">
        <f aca="false">VALUE(SUBSTITUTE(Azymut!O63,".",","))</f>
        <v>0</v>
      </c>
      <c r="K63" s="9" t="str">
        <f aca="false">SUBSTITUTE(Ebookpoint!E75,"-","")</f>
        <v/>
      </c>
      <c r="L63" s="9" t="str">
        <f aca="false">SUBSTITUTE(Nasbi!E75,"-","")</f>
        <v/>
      </c>
      <c r="M63" s="9" t="n">
        <f aca="false">VALUE(SUBSTITUTE(StorytelE!G63,".",","))</f>
        <v>0</v>
      </c>
      <c r="N63" s="9" t="n">
        <f aca="false">VALUE(SUBSTITUTE(StorytelA!G63,".",","))</f>
        <v>0</v>
      </c>
      <c r="O63" s="9" t="n">
        <f aca="false">VALUE(SUBSTITUTE(StorytelE!M63,".",","))</f>
        <v>0</v>
      </c>
      <c r="P63" s="9" t="n">
        <f aca="false">VALUE(SUBSTITUTE(StorytelA!M63,".",","))</f>
        <v>0</v>
      </c>
      <c r="Q63" s="29"/>
      <c r="R63" s="29" t="n">
        <f aca="false">VALUE(SUBSTITUTE(Woblink!H75,".",","))</f>
        <v>0</v>
      </c>
      <c r="S63" s="9" t="str">
        <f aca="false">SUBSTITUTE(AzymutB!D63,"-","")</f>
        <v/>
      </c>
      <c r="T63" s="9" t="n">
        <f aca="false">VALUE(SUBSTITUTE(AzymutB!O63,".",","))</f>
        <v>0</v>
      </c>
      <c r="U63" s="9" t="str">
        <f aca="false">SUBSTITUTE(Audioteka!Q65,"-","")</f>
        <v/>
      </c>
    </row>
    <row r="64" customFormat="false" ht="15.75" hidden="false" customHeight="false" outlineLevel="0" collapsed="false">
      <c r="A64" s="8" t="str">
        <f aca="false">SUBSTITUTE(Histmag!B64,"-","")</f>
        <v/>
      </c>
      <c r="B64" s="9" t="n">
        <f aca="false">VALUE(SUBSTITUTE(Histmag!D64,".",","))</f>
        <v>0</v>
      </c>
      <c r="C64" s="8" t="str">
        <f aca="false">SUBSTITUTE(Virtualo!G64,"-","")</f>
        <v/>
      </c>
      <c r="D64" s="8" t="str">
        <f aca="false">SUBSTITUTE(Empik!F64,"-","")</f>
        <v/>
      </c>
      <c r="E64" s="8" t="str">
        <f aca="false">SUBSTITUTE(Publio!H64,"-","")</f>
        <v/>
      </c>
      <c r="F64" s="8" t="n">
        <f aca="false">VALUE(SUBSTITUTE(Publio!Q64,".",","))</f>
        <v>0</v>
      </c>
      <c r="G64" s="8" t="str">
        <f aca="false">IFERROR(IF(SEARCH("-", Nexto!B45), SUBSTITUTE(Nexto!B45,"-","")), "")</f>
        <v/>
      </c>
      <c r="H64" s="8" t="n">
        <f aca="false">IFERROR(VALUE(SUBSTITUTE(Nexto!P49,".",",")),0)</f>
        <v>0</v>
      </c>
      <c r="I64" s="9" t="str">
        <f aca="false">SUBSTITUTE(Azymut!D64,"-","")</f>
        <v/>
      </c>
      <c r="J64" s="9" t="n">
        <f aca="false">VALUE(SUBSTITUTE(Azymut!O64,".",","))</f>
        <v>0</v>
      </c>
      <c r="K64" s="9" t="str">
        <f aca="false">SUBSTITUTE(Ebookpoint!E76,"-","")</f>
        <v/>
      </c>
      <c r="L64" s="9" t="str">
        <f aca="false">SUBSTITUTE(Nasbi!E76,"-","")</f>
        <v/>
      </c>
      <c r="M64" s="9" t="n">
        <f aca="false">VALUE(SUBSTITUTE(StorytelE!G64,".",","))</f>
        <v>0</v>
      </c>
      <c r="N64" s="9" t="n">
        <f aca="false">VALUE(SUBSTITUTE(StorytelA!G64,".",","))</f>
        <v>0</v>
      </c>
      <c r="O64" s="9" t="n">
        <f aca="false">VALUE(SUBSTITUTE(StorytelE!M64,".",","))</f>
        <v>0</v>
      </c>
      <c r="P64" s="9" t="n">
        <f aca="false">VALUE(SUBSTITUTE(StorytelA!M64,".",","))</f>
        <v>0</v>
      </c>
      <c r="Q64" s="29"/>
      <c r="R64" s="29" t="n">
        <f aca="false">VALUE(SUBSTITUTE(Woblink!H76,".",","))</f>
        <v>0</v>
      </c>
      <c r="S64" s="9" t="str">
        <f aca="false">SUBSTITUTE(AzymutB!D64,"-","")</f>
        <v/>
      </c>
      <c r="T64" s="9" t="n">
        <f aca="false">VALUE(SUBSTITUTE(AzymutB!O64,".",","))</f>
        <v>0</v>
      </c>
      <c r="U64" s="9" t="str">
        <f aca="false">SUBSTITUTE(Audioteka!Q66,"-","")</f>
        <v/>
      </c>
    </row>
    <row r="65" customFormat="false" ht="15.75" hidden="false" customHeight="false" outlineLevel="0" collapsed="false">
      <c r="A65" s="8" t="str">
        <f aca="false">SUBSTITUTE(Histmag!B65,"-","")</f>
        <v/>
      </c>
      <c r="B65" s="9" t="n">
        <f aca="false">VALUE(SUBSTITUTE(Histmag!D65,".",","))</f>
        <v>0</v>
      </c>
      <c r="C65" s="8" t="str">
        <f aca="false">SUBSTITUTE(Virtualo!G65,"-","")</f>
        <v/>
      </c>
      <c r="D65" s="8" t="str">
        <f aca="false">SUBSTITUTE(Empik!F65,"-","")</f>
        <v/>
      </c>
      <c r="E65" s="8" t="str">
        <f aca="false">SUBSTITUTE(Publio!H65,"-","")</f>
        <v/>
      </c>
      <c r="F65" s="8" t="n">
        <f aca="false">VALUE(SUBSTITUTE(Publio!Q65,".",","))</f>
        <v>0</v>
      </c>
      <c r="G65" s="8" t="str">
        <f aca="false">IFERROR(IF(SEARCH("-", Nexto!B46), SUBSTITUTE(Nexto!B46,"-","")), "")</f>
        <v/>
      </c>
      <c r="H65" s="8" t="n">
        <f aca="false">IFERROR(VALUE(SUBSTITUTE(Nexto!P50,".",",")),0)</f>
        <v>0</v>
      </c>
      <c r="I65" s="9" t="str">
        <f aca="false">SUBSTITUTE(Azymut!D65,"-","")</f>
        <v/>
      </c>
      <c r="J65" s="9" t="n">
        <f aca="false">VALUE(SUBSTITUTE(Azymut!O65,".",","))</f>
        <v>0</v>
      </c>
      <c r="K65" s="9" t="str">
        <f aca="false">SUBSTITUTE(Ebookpoint!E77,"-","")</f>
        <v/>
      </c>
      <c r="L65" s="9" t="str">
        <f aca="false">SUBSTITUTE(Nasbi!E77,"-","")</f>
        <v/>
      </c>
      <c r="M65" s="9" t="n">
        <f aca="false">VALUE(SUBSTITUTE(StorytelE!G65,".",","))</f>
        <v>0</v>
      </c>
      <c r="N65" s="9" t="n">
        <f aca="false">VALUE(SUBSTITUTE(StorytelA!G65,".",","))</f>
        <v>0</v>
      </c>
      <c r="O65" s="9" t="n">
        <f aca="false">VALUE(SUBSTITUTE(StorytelE!M65,".",","))</f>
        <v>0</v>
      </c>
      <c r="P65" s="9" t="n">
        <f aca="false">VALUE(SUBSTITUTE(StorytelA!M65,".",","))</f>
        <v>0</v>
      </c>
      <c r="Q65" s="29"/>
      <c r="R65" s="29" t="n">
        <f aca="false">VALUE(SUBSTITUTE(Woblink!H77,".",","))</f>
        <v>0</v>
      </c>
      <c r="S65" s="9" t="str">
        <f aca="false">SUBSTITUTE(AzymutB!D65,"-","")</f>
        <v/>
      </c>
      <c r="T65" s="9" t="n">
        <f aca="false">VALUE(SUBSTITUTE(AzymutB!O65,".",","))</f>
        <v>0</v>
      </c>
      <c r="U65" s="9" t="str">
        <f aca="false">SUBSTITUTE(Audioteka!Q67,"-","")</f>
        <v/>
      </c>
    </row>
    <row r="66" customFormat="false" ht="15.75" hidden="false" customHeight="false" outlineLevel="0" collapsed="false">
      <c r="A66" s="8" t="str">
        <f aca="false">SUBSTITUTE(Histmag!B66,"-","")</f>
        <v/>
      </c>
      <c r="B66" s="9" t="n">
        <f aca="false">VALUE(SUBSTITUTE(Histmag!D66,".",","))</f>
        <v>0</v>
      </c>
      <c r="C66" s="8" t="str">
        <f aca="false">SUBSTITUTE(Virtualo!G66,"-","")</f>
        <v/>
      </c>
      <c r="D66" s="8" t="str">
        <f aca="false">SUBSTITUTE(Empik!F66,"-","")</f>
        <v/>
      </c>
      <c r="E66" s="8" t="str">
        <f aca="false">SUBSTITUTE(Publio!H66,"-","")</f>
        <v/>
      </c>
      <c r="F66" s="8" t="n">
        <f aca="false">VALUE(SUBSTITUTE(Publio!Q66,".",","))</f>
        <v>0</v>
      </c>
      <c r="G66" s="8" t="str">
        <f aca="false">IFERROR(IF(SEARCH("-", Nexto!B47), SUBSTITUTE(Nexto!B47,"-","")), "")</f>
        <v/>
      </c>
      <c r="H66" s="8" t="n">
        <f aca="false">IFERROR(VALUE(SUBSTITUTE(Nexto!P51,".",",")),0)</f>
        <v>0</v>
      </c>
      <c r="I66" s="9" t="str">
        <f aca="false">SUBSTITUTE(Azymut!D66,"-","")</f>
        <v/>
      </c>
      <c r="J66" s="9" t="n">
        <f aca="false">VALUE(SUBSTITUTE(Azymut!O66,".",","))</f>
        <v>0</v>
      </c>
      <c r="K66" s="9" t="str">
        <f aca="false">SUBSTITUTE(Ebookpoint!E78,"-","")</f>
        <v/>
      </c>
      <c r="L66" s="9" t="str">
        <f aca="false">SUBSTITUTE(Nasbi!E78,"-","")</f>
        <v/>
      </c>
      <c r="M66" s="9" t="n">
        <f aca="false">VALUE(SUBSTITUTE(StorytelE!G66,".",","))</f>
        <v>0</v>
      </c>
      <c r="N66" s="9" t="n">
        <f aca="false">VALUE(SUBSTITUTE(StorytelA!G66,".",","))</f>
        <v>0</v>
      </c>
      <c r="O66" s="9" t="n">
        <f aca="false">VALUE(SUBSTITUTE(StorytelE!M66,".",","))</f>
        <v>0</v>
      </c>
      <c r="P66" s="9" t="n">
        <f aca="false">VALUE(SUBSTITUTE(StorytelA!M66,".",","))</f>
        <v>0</v>
      </c>
      <c r="Q66" s="29"/>
      <c r="R66" s="29" t="n">
        <f aca="false">VALUE(SUBSTITUTE(Woblink!H78,".",","))</f>
        <v>0</v>
      </c>
      <c r="S66" s="9" t="str">
        <f aca="false">SUBSTITUTE(AzymutB!D66,"-","")</f>
        <v/>
      </c>
      <c r="T66" s="9" t="n">
        <f aca="false">VALUE(SUBSTITUTE(AzymutB!O66,".",","))</f>
        <v>0</v>
      </c>
      <c r="U66" s="9" t="str">
        <f aca="false">SUBSTITUTE(Audioteka!Q68,"-","")</f>
        <v/>
      </c>
    </row>
    <row r="67" customFormat="false" ht="15.75" hidden="false" customHeight="false" outlineLevel="0" collapsed="false">
      <c r="A67" s="8" t="str">
        <f aca="false">SUBSTITUTE(Histmag!B67,"-","")</f>
        <v/>
      </c>
      <c r="B67" s="9" t="n">
        <f aca="false">VALUE(SUBSTITUTE(Histmag!D67,".",","))</f>
        <v>0</v>
      </c>
      <c r="C67" s="8" t="str">
        <f aca="false">SUBSTITUTE(Virtualo!G67,"-","")</f>
        <v/>
      </c>
      <c r="D67" s="8" t="str">
        <f aca="false">SUBSTITUTE(Empik!F67,"-","")</f>
        <v/>
      </c>
      <c r="E67" s="8" t="str">
        <f aca="false">SUBSTITUTE(Publio!H67,"-","")</f>
        <v/>
      </c>
      <c r="F67" s="8" t="n">
        <f aca="false">VALUE(SUBSTITUTE(Publio!Q67,".",","))</f>
        <v>0</v>
      </c>
      <c r="G67" s="8" t="str">
        <f aca="false">IFERROR(IF(SEARCH("-", Nexto!B48), SUBSTITUTE(Nexto!B48,"-","")), "")</f>
        <v/>
      </c>
      <c r="H67" s="8" t="n">
        <f aca="false">IFERROR(VALUE(SUBSTITUTE(Nexto!P52,".",",")),0)</f>
        <v>0</v>
      </c>
      <c r="I67" s="9" t="str">
        <f aca="false">SUBSTITUTE(Azymut!D67,"-","")</f>
        <v/>
      </c>
      <c r="J67" s="9" t="n">
        <f aca="false">VALUE(SUBSTITUTE(Azymut!O67,".",","))</f>
        <v>0</v>
      </c>
      <c r="K67" s="9" t="str">
        <f aca="false">SUBSTITUTE(Ebookpoint!E79,"-","")</f>
        <v/>
      </c>
      <c r="L67" s="9" t="str">
        <f aca="false">SUBSTITUTE(Nasbi!E79,"-","")</f>
        <v/>
      </c>
      <c r="M67" s="9" t="n">
        <f aca="false">VALUE(SUBSTITUTE(StorytelE!G67,".",","))</f>
        <v>0</v>
      </c>
      <c r="N67" s="9" t="n">
        <f aca="false">VALUE(SUBSTITUTE(StorytelA!G67,".",","))</f>
        <v>0</v>
      </c>
      <c r="O67" s="9" t="n">
        <f aca="false">VALUE(SUBSTITUTE(StorytelE!M67,".",","))</f>
        <v>0</v>
      </c>
      <c r="P67" s="9" t="n">
        <f aca="false">VALUE(SUBSTITUTE(StorytelA!M67,".",","))</f>
        <v>0</v>
      </c>
      <c r="Q67" s="29"/>
      <c r="R67" s="29" t="n">
        <f aca="false">VALUE(SUBSTITUTE(Woblink!H79,".",","))</f>
        <v>0</v>
      </c>
      <c r="S67" s="9" t="str">
        <f aca="false">SUBSTITUTE(AzymutB!D67,"-","")</f>
        <v/>
      </c>
      <c r="T67" s="9" t="n">
        <f aca="false">VALUE(SUBSTITUTE(AzymutB!O67,".",","))</f>
        <v>0</v>
      </c>
      <c r="U67" s="9" t="str">
        <f aca="false">SUBSTITUTE(Audioteka!Q69,"-","")</f>
        <v/>
      </c>
    </row>
    <row r="68" customFormat="false" ht="15.75" hidden="false" customHeight="false" outlineLevel="0" collapsed="false">
      <c r="A68" s="8" t="str">
        <f aca="false">SUBSTITUTE(Histmag!B68,"-","")</f>
        <v/>
      </c>
      <c r="B68" s="9" t="n">
        <f aca="false">VALUE(SUBSTITUTE(Histmag!D68,".",","))</f>
        <v>0</v>
      </c>
      <c r="C68" s="8" t="str">
        <f aca="false">SUBSTITUTE(Virtualo!G68,"-","")</f>
        <v/>
      </c>
      <c r="D68" s="8" t="str">
        <f aca="false">SUBSTITUTE(Empik!F68,"-","")</f>
        <v/>
      </c>
      <c r="E68" s="8" t="str">
        <f aca="false">SUBSTITUTE(Publio!H68,"-","")</f>
        <v/>
      </c>
      <c r="F68" s="8" t="n">
        <f aca="false">VALUE(SUBSTITUTE(Publio!Q68,".",","))</f>
        <v>0</v>
      </c>
      <c r="G68" s="8" t="str">
        <f aca="false">IFERROR(IF(SEARCH("-", Nexto!B49), SUBSTITUTE(Nexto!B49,"-","")), "")</f>
        <v/>
      </c>
      <c r="H68" s="8" t="n">
        <f aca="false">IFERROR(VALUE(SUBSTITUTE(Nexto!P53,".",",")),0)</f>
        <v>0</v>
      </c>
      <c r="I68" s="9" t="str">
        <f aca="false">SUBSTITUTE(Azymut!D68,"-","")</f>
        <v/>
      </c>
      <c r="J68" s="9" t="n">
        <f aca="false">VALUE(SUBSTITUTE(Azymut!O68,".",","))</f>
        <v>0</v>
      </c>
      <c r="K68" s="9" t="str">
        <f aca="false">SUBSTITUTE(Ebookpoint!E80,"-","")</f>
        <v/>
      </c>
      <c r="L68" s="9" t="str">
        <f aca="false">SUBSTITUTE(Nasbi!E80,"-","")</f>
        <v/>
      </c>
      <c r="M68" s="9" t="n">
        <f aca="false">VALUE(SUBSTITUTE(StorytelE!G68,".",","))</f>
        <v>0</v>
      </c>
      <c r="N68" s="9" t="n">
        <f aca="false">VALUE(SUBSTITUTE(StorytelA!G68,".",","))</f>
        <v>0</v>
      </c>
      <c r="O68" s="9" t="n">
        <f aca="false">VALUE(SUBSTITUTE(StorytelE!M68,".",","))</f>
        <v>0</v>
      </c>
      <c r="P68" s="9" t="n">
        <f aca="false">VALUE(SUBSTITUTE(StorytelA!M68,".",","))</f>
        <v>0</v>
      </c>
      <c r="Q68" s="29"/>
      <c r="R68" s="29" t="n">
        <f aca="false">VALUE(SUBSTITUTE(Woblink!H80,".",","))</f>
        <v>0</v>
      </c>
      <c r="S68" s="9" t="str">
        <f aca="false">SUBSTITUTE(AzymutB!D68,"-","")</f>
        <v/>
      </c>
      <c r="T68" s="9" t="n">
        <f aca="false">VALUE(SUBSTITUTE(AzymutB!O68,".",","))</f>
        <v>0</v>
      </c>
      <c r="U68" s="9" t="str">
        <f aca="false">SUBSTITUTE(Audioteka!Q70,"-","")</f>
        <v/>
      </c>
    </row>
    <row r="69" customFormat="false" ht="15.75" hidden="false" customHeight="false" outlineLevel="0" collapsed="false">
      <c r="A69" s="8" t="str">
        <f aca="false">SUBSTITUTE(Histmag!B69,"-","")</f>
        <v/>
      </c>
      <c r="B69" s="9" t="n">
        <f aca="false">VALUE(SUBSTITUTE(Histmag!D69,".",","))</f>
        <v>0</v>
      </c>
      <c r="C69" s="8" t="str">
        <f aca="false">SUBSTITUTE(Virtualo!G69,"-","")</f>
        <v/>
      </c>
      <c r="D69" s="8" t="str">
        <f aca="false">SUBSTITUTE(Empik!F69,"-","")</f>
        <v/>
      </c>
      <c r="E69" s="8" t="str">
        <f aca="false">SUBSTITUTE(Publio!H69,"-","")</f>
        <v/>
      </c>
      <c r="F69" s="8" t="n">
        <f aca="false">VALUE(SUBSTITUTE(Publio!Q69,".",","))</f>
        <v>0</v>
      </c>
      <c r="G69" s="8" t="str">
        <f aca="false">IFERROR(IF(SEARCH("-", Nexto!B50), SUBSTITUTE(Nexto!B50,"-","")), "")</f>
        <v/>
      </c>
      <c r="H69" s="8" t="n">
        <f aca="false">IFERROR(VALUE(SUBSTITUTE(Nexto!P54,".",",")),0)</f>
        <v>0</v>
      </c>
      <c r="I69" s="9" t="str">
        <f aca="false">SUBSTITUTE(Azymut!D69,"-","")</f>
        <v/>
      </c>
      <c r="J69" s="9" t="n">
        <f aca="false">VALUE(SUBSTITUTE(Azymut!O69,".",","))</f>
        <v>0</v>
      </c>
      <c r="K69" s="9" t="str">
        <f aca="false">SUBSTITUTE(Ebookpoint!E81,"-","")</f>
        <v/>
      </c>
      <c r="L69" s="9" t="str">
        <f aca="false">SUBSTITUTE(Nasbi!E81,"-","")</f>
        <v/>
      </c>
      <c r="M69" s="9" t="n">
        <f aca="false">VALUE(SUBSTITUTE(StorytelE!G69,".",","))</f>
        <v>0</v>
      </c>
      <c r="N69" s="9" t="n">
        <f aca="false">VALUE(SUBSTITUTE(StorytelA!G69,".",","))</f>
        <v>0</v>
      </c>
      <c r="O69" s="9" t="n">
        <f aca="false">VALUE(SUBSTITUTE(StorytelE!M69,".",","))</f>
        <v>0</v>
      </c>
      <c r="P69" s="9" t="n">
        <f aca="false">VALUE(SUBSTITUTE(StorytelA!M69,".",","))</f>
        <v>0</v>
      </c>
      <c r="Q69" s="29"/>
      <c r="R69" s="29" t="n">
        <f aca="false">VALUE(SUBSTITUTE(Woblink!H81,".",","))</f>
        <v>0</v>
      </c>
      <c r="S69" s="9" t="str">
        <f aca="false">SUBSTITUTE(AzymutB!D69,"-","")</f>
        <v/>
      </c>
      <c r="T69" s="9" t="n">
        <f aca="false">VALUE(SUBSTITUTE(AzymutB!O69,".",","))</f>
        <v>0</v>
      </c>
      <c r="U69" s="9" t="str">
        <f aca="false">SUBSTITUTE(Audioteka!Q71,"-","")</f>
        <v/>
      </c>
    </row>
    <row r="70" customFormat="false" ht="15.75" hidden="false" customHeight="false" outlineLevel="0" collapsed="false">
      <c r="A70" s="8" t="str">
        <f aca="false">SUBSTITUTE(Histmag!B70,"-","")</f>
        <v/>
      </c>
      <c r="B70" s="9" t="n">
        <f aca="false">VALUE(SUBSTITUTE(Histmag!D70,".",","))</f>
        <v>0</v>
      </c>
      <c r="C70" s="8" t="str">
        <f aca="false">SUBSTITUTE(Virtualo!G70,"-","")</f>
        <v/>
      </c>
      <c r="D70" s="8" t="str">
        <f aca="false">SUBSTITUTE(Empik!F70,"-","")</f>
        <v/>
      </c>
      <c r="E70" s="8" t="str">
        <f aca="false">SUBSTITUTE(Publio!H70,"-","")</f>
        <v/>
      </c>
      <c r="F70" s="8" t="n">
        <f aca="false">VALUE(SUBSTITUTE(Publio!Q70,".",","))</f>
        <v>0</v>
      </c>
      <c r="G70" s="8" t="str">
        <f aca="false">IFERROR(IF(SEARCH("-", Nexto!B51), SUBSTITUTE(Nexto!B51,"-","")), "")</f>
        <v/>
      </c>
      <c r="H70" s="8" t="n">
        <f aca="false">IFERROR(VALUE(SUBSTITUTE(Nexto!P55,".",",")),0)</f>
        <v>0</v>
      </c>
      <c r="I70" s="9" t="str">
        <f aca="false">SUBSTITUTE(Azymut!D70,"-","")</f>
        <v/>
      </c>
      <c r="J70" s="9" t="n">
        <f aca="false">VALUE(SUBSTITUTE(Azymut!O70,".",","))</f>
        <v>0</v>
      </c>
      <c r="K70" s="9" t="str">
        <f aca="false">SUBSTITUTE(Ebookpoint!E82,"-","")</f>
        <v/>
      </c>
      <c r="L70" s="9" t="str">
        <f aca="false">SUBSTITUTE(Nasbi!E82,"-","")</f>
        <v/>
      </c>
      <c r="M70" s="9" t="n">
        <f aca="false">VALUE(SUBSTITUTE(StorytelE!G70,".",","))</f>
        <v>0</v>
      </c>
      <c r="N70" s="9" t="n">
        <f aca="false">VALUE(SUBSTITUTE(StorytelA!G70,".",","))</f>
        <v>0</v>
      </c>
      <c r="O70" s="9" t="n">
        <f aca="false">VALUE(SUBSTITUTE(StorytelE!M70,".",","))</f>
        <v>0</v>
      </c>
      <c r="P70" s="9" t="n">
        <f aca="false">VALUE(SUBSTITUTE(StorytelA!M70,".",","))</f>
        <v>0</v>
      </c>
      <c r="Q70" s="29"/>
      <c r="R70" s="29" t="n">
        <f aca="false">VALUE(SUBSTITUTE(Woblink!H82,".",","))</f>
        <v>0</v>
      </c>
      <c r="S70" s="9" t="str">
        <f aca="false">SUBSTITUTE(AzymutB!D70,"-","")</f>
        <v/>
      </c>
      <c r="T70" s="9" t="n">
        <f aca="false">VALUE(SUBSTITUTE(AzymutB!O70,".",","))</f>
        <v>0</v>
      </c>
      <c r="U70" s="9" t="str">
        <f aca="false">SUBSTITUTE(Audioteka!Q72,"-","")</f>
        <v/>
      </c>
    </row>
    <row r="71" customFormat="false" ht="15.75" hidden="false" customHeight="false" outlineLevel="0" collapsed="false">
      <c r="A71" s="8" t="str">
        <f aca="false">SUBSTITUTE(Histmag!B71,"-","")</f>
        <v/>
      </c>
      <c r="B71" s="9" t="n">
        <f aca="false">VALUE(SUBSTITUTE(Histmag!D71,".",","))</f>
        <v>0</v>
      </c>
      <c r="C71" s="8" t="str">
        <f aca="false">SUBSTITUTE(Virtualo!G71,"-","")</f>
        <v/>
      </c>
      <c r="D71" s="8" t="str">
        <f aca="false">SUBSTITUTE(Empik!F71,"-","")</f>
        <v/>
      </c>
      <c r="E71" s="8" t="str">
        <f aca="false">SUBSTITUTE(Publio!H71,"-","")</f>
        <v/>
      </c>
      <c r="F71" s="8" t="n">
        <f aca="false">VALUE(SUBSTITUTE(Publio!Q71,".",","))</f>
        <v>0</v>
      </c>
      <c r="G71" s="8" t="str">
        <f aca="false">IFERROR(IF(SEARCH("-", Nexto!B52), SUBSTITUTE(Nexto!B52,"-","")), "")</f>
        <v/>
      </c>
      <c r="H71" s="8" t="n">
        <f aca="false">IFERROR(VALUE(SUBSTITUTE(Nexto!P56,".",",")),0)</f>
        <v>0</v>
      </c>
      <c r="I71" s="9" t="str">
        <f aca="false">SUBSTITUTE(Azymut!D71,"-","")</f>
        <v/>
      </c>
      <c r="J71" s="9" t="n">
        <f aca="false">VALUE(SUBSTITUTE(Azymut!O71,".",","))</f>
        <v>0</v>
      </c>
      <c r="K71" s="9" t="str">
        <f aca="false">SUBSTITUTE(Ebookpoint!E83,"-","")</f>
        <v/>
      </c>
      <c r="L71" s="9" t="str">
        <f aca="false">SUBSTITUTE(Nasbi!E83,"-","")</f>
        <v/>
      </c>
      <c r="M71" s="9" t="n">
        <f aca="false">VALUE(SUBSTITUTE(StorytelE!G71,".",","))</f>
        <v>0</v>
      </c>
      <c r="N71" s="9" t="n">
        <f aca="false">VALUE(SUBSTITUTE(StorytelA!G71,".",","))</f>
        <v>0</v>
      </c>
      <c r="O71" s="9" t="n">
        <f aca="false">VALUE(SUBSTITUTE(StorytelE!M71,".",","))</f>
        <v>0</v>
      </c>
      <c r="P71" s="9" t="n">
        <f aca="false">VALUE(SUBSTITUTE(StorytelA!M71,".",","))</f>
        <v>0</v>
      </c>
      <c r="Q71" s="29"/>
      <c r="R71" s="29" t="n">
        <f aca="false">VALUE(SUBSTITUTE(Woblink!H83,".",","))</f>
        <v>0</v>
      </c>
      <c r="S71" s="9" t="str">
        <f aca="false">SUBSTITUTE(AzymutB!D71,"-","")</f>
        <v/>
      </c>
      <c r="T71" s="9" t="n">
        <f aca="false">VALUE(SUBSTITUTE(AzymutB!O71,".",","))</f>
        <v>0</v>
      </c>
      <c r="U71" s="9" t="str">
        <f aca="false">SUBSTITUTE(Audioteka!Q73,"-","")</f>
        <v/>
      </c>
    </row>
    <row r="72" customFormat="false" ht="15.75" hidden="false" customHeight="false" outlineLevel="0" collapsed="false">
      <c r="A72" s="8" t="str">
        <f aca="false">SUBSTITUTE(Histmag!B72,"-","")</f>
        <v/>
      </c>
      <c r="B72" s="9" t="n">
        <f aca="false">VALUE(SUBSTITUTE(Histmag!D72,".",","))</f>
        <v>0</v>
      </c>
      <c r="C72" s="8" t="str">
        <f aca="false">SUBSTITUTE(Virtualo!G72,"-","")</f>
        <v/>
      </c>
      <c r="D72" s="8" t="str">
        <f aca="false">SUBSTITUTE(Empik!F72,"-","")</f>
        <v/>
      </c>
      <c r="E72" s="8" t="str">
        <f aca="false">SUBSTITUTE(Publio!H72,"-","")</f>
        <v/>
      </c>
      <c r="F72" s="8" t="n">
        <f aca="false">VALUE(SUBSTITUTE(Publio!Q72,".",","))</f>
        <v>0</v>
      </c>
      <c r="G72" s="8" t="str">
        <f aca="false">IFERROR(IF(SEARCH("-", Nexto!B53), SUBSTITUTE(Nexto!B53,"-","")), "")</f>
        <v/>
      </c>
      <c r="H72" s="8" t="n">
        <f aca="false">IFERROR(VALUE(SUBSTITUTE(Nexto!P57,".",",")),0)</f>
        <v>0</v>
      </c>
      <c r="I72" s="9" t="str">
        <f aca="false">SUBSTITUTE(Azymut!D72,"-","")</f>
        <v/>
      </c>
      <c r="J72" s="9" t="n">
        <f aca="false">VALUE(SUBSTITUTE(Azymut!O72,".",","))</f>
        <v>0</v>
      </c>
      <c r="K72" s="9" t="str">
        <f aca="false">SUBSTITUTE(Ebookpoint!E84,"-","")</f>
        <v/>
      </c>
      <c r="L72" s="9" t="str">
        <f aca="false">SUBSTITUTE(Nasbi!E84,"-","")</f>
        <v/>
      </c>
      <c r="M72" s="9" t="n">
        <f aca="false">VALUE(SUBSTITUTE(StorytelE!G72,".",","))</f>
        <v>0</v>
      </c>
      <c r="N72" s="9" t="n">
        <f aca="false">VALUE(SUBSTITUTE(StorytelA!G72,".",","))</f>
        <v>0</v>
      </c>
      <c r="O72" s="9" t="n">
        <f aca="false">VALUE(SUBSTITUTE(StorytelE!M72,".",","))</f>
        <v>0</v>
      </c>
      <c r="P72" s="9" t="n">
        <f aca="false">VALUE(SUBSTITUTE(StorytelA!M72,".",","))</f>
        <v>0</v>
      </c>
      <c r="Q72" s="29"/>
      <c r="R72" s="29" t="n">
        <f aca="false">VALUE(SUBSTITUTE(Woblink!H84,".",","))</f>
        <v>0</v>
      </c>
      <c r="S72" s="9" t="str">
        <f aca="false">SUBSTITUTE(AzymutB!D72,"-","")</f>
        <v/>
      </c>
      <c r="T72" s="9" t="n">
        <f aca="false">VALUE(SUBSTITUTE(AzymutB!O72,".",","))</f>
        <v>0</v>
      </c>
      <c r="U72" s="9" t="str">
        <f aca="false">SUBSTITUTE(Audioteka!Q74,"-","")</f>
        <v/>
      </c>
    </row>
    <row r="73" customFormat="false" ht="15.75" hidden="false" customHeight="false" outlineLevel="0" collapsed="false">
      <c r="A73" s="8" t="str">
        <f aca="false">SUBSTITUTE(Histmag!B73,"-","")</f>
        <v/>
      </c>
      <c r="B73" s="9" t="n">
        <f aca="false">VALUE(SUBSTITUTE(Histmag!D73,".",","))</f>
        <v>0</v>
      </c>
      <c r="C73" s="8" t="str">
        <f aca="false">SUBSTITUTE(Virtualo!G73,"-","")</f>
        <v/>
      </c>
      <c r="D73" s="8" t="str">
        <f aca="false">SUBSTITUTE(Empik!F73,"-","")</f>
        <v/>
      </c>
      <c r="E73" s="8" t="str">
        <f aca="false">SUBSTITUTE(Publio!H73,"-","")</f>
        <v/>
      </c>
      <c r="F73" s="8" t="n">
        <f aca="false">VALUE(SUBSTITUTE(Publio!Q73,".",","))</f>
        <v>0</v>
      </c>
      <c r="G73" s="8" t="str">
        <f aca="false">IFERROR(IF(SEARCH("-", Nexto!B54), SUBSTITUTE(Nexto!B54,"-","")), "")</f>
        <v/>
      </c>
      <c r="H73" s="8" t="n">
        <f aca="false">IFERROR(VALUE(SUBSTITUTE(Nexto!P58,".",",")),0)</f>
        <v>0</v>
      </c>
      <c r="I73" s="9" t="str">
        <f aca="false">SUBSTITUTE(Azymut!D73,"-","")</f>
        <v/>
      </c>
      <c r="J73" s="9" t="n">
        <f aca="false">VALUE(SUBSTITUTE(Azymut!O73,".",","))</f>
        <v>0</v>
      </c>
      <c r="K73" s="9" t="str">
        <f aca="false">SUBSTITUTE(Ebookpoint!E85,"-","")</f>
        <v/>
      </c>
      <c r="L73" s="9" t="str">
        <f aca="false">SUBSTITUTE(Nasbi!E85,"-","")</f>
        <v/>
      </c>
      <c r="M73" s="9" t="n">
        <f aca="false">VALUE(SUBSTITUTE(StorytelE!G73,".",","))</f>
        <v>0</v>
      </c>
      <c r="N73" s="9" t="n">
        <f aca="false">VALUE(SUBSTITUTE(StorytelA!G73,".",","))</f>
        <v>0</v>
      </c>
      <c r="O73" s="9" t="n">
        <f aca="false">VALUE(SUBSTITUTE(StorytelE!M73,".",","))</f>
        <v>0</v>
      </c>
      <c r="P73" s="9" t="n">
        <f aca="false">VALUE(SUBSTITUTE(StorytelA!M73,".",","))</f>
        <v>0</v>
      </c>
      <c r="Q73" s="29"/>
      <c r="R73" s="29" t="n">
        <f aca="false">VALUE(SUBSTITUTE(Woblink!H85,".",","))</f>
        <v>0</v>
      </c>
      <c r="S73" s="9" t="str">
        <f aca="false">SUBSTITUTE(AzymutB!D73,"-","")</f>
        <v/>
      </c>
      <c r="T73" s="9" t="n">
        <f aca="false">VALUE(SUBSTITUTE(AzymutB!O73,".",","))</f>
        <v>0</v>
      </c>
      <c r="U73" s="9" t="str">
        <f aca="false">SUBSTITUTE(Audioteka!Q75,"-","")</f>
        <v/>
      </c>
    </row>
    <row r="74" customFormat="false" ht="15.75" hidden="false" customHeight="false" outlineLevel="0" collapsed="false">
      <c r="A74" s="8" t="str">
        <f aca="false">SUBSTITUTE(Histmag!B74,"-","")</f>
        <v/>
      </c>
      <c r="B74" s="9" t="n">
        <f aca="false">VALUE(SUBSTITUTE(Histmag!D74,".",","))</f>
        <v>0</v>
      </c>
      <c r="C74" s="8" t="str">
        <f aca="false">SUBSTITUTE(Virtualo!G74,"-","")</f>
        <v/>
      </c>
      <c r="D74" s="8" t="str">
        <f aca="false">SUBSTITUTE(Empik!F74,"-","")</f>
        <v/>
      </c>
      <c r="E74" s="8" t="str">
        <f aca="false">SUBSTITUTE(Publio!H74,"-","")</f>
        <v/>
      </c>
      <c r="F74" s="8" t="n">
        <f aca="false">VALUE(SUBSTITUTE(Publio!Q74,".",","))</f>
        <v>0</v>
      </c>
      <c r="G74" s="8" t="str">
        <f aca="false">IFERROR(IF(SEARCH("-", Nexto!B55), SUBSTITUTE(Nexto!B55,"-","")), "")</f>
        <v/>
      </c>
      <c r="H74" s="8" t="n">
        <f aca="false">IFERROR(VALUE(SUBSTITUTE(Nexto!P59,".",",")),0)</f>
        <v>0</v>
      </c>
      <c r="I74" s="9" t="str">
        <f aca="false">SUBSTITUTE(Azymut!D74,"-","")</f>
        <v/>
      </c>
      <c r="J74" s="9" t="n">
        <f aca="false">VALUE(SUBSTITUTE(Azymut!O74,".",","))</f>
        <v>0</v>
      </c>
      <c r="K74" s="9" t="str">
        <f aca="false">SUBSTITUTE(Ebookpoint!E86,"-","")</f>
        <v/>
      </c>
      <c r="L74" s="9" t="str">
        <f aca="false">SUBSTITUTE(Nasbi!E86,"-","")</f>
        <v/>
      </c>
      <c r="M74" s="9" t="n">
        <f aca="false">VALUE(SUBSTITUTE(StorytelE!G74,".",","))</f>
        <v>0</v>
      </c>
      <c r="N74" s="9" t="n">
        <f aca="false">VALUE(SUBSTITUTE(StorytelA!G74,".",","))</f>
        <v>0</v>
      </c>
      <c r="O74" s="9" t="n">
        <f aca="false">VALUE(SUBSTITUTE(StorytelE!M74,".",","))</f>
        <v>0</v>
      </c>
      <c r="P74" s="9" t="n">
        <f aca="false">VALUE(SUBSTITUTE(StorytelA!M74,".",","))</f>
        <v>0</v>
      </c>
      <c r="Q74" s="29"/>
      <c r="R74" s="29" t="n">
        <f aca="false">VALUE(SUBSTITUTE(Woblink!H86,".",","))</f>
        <v>0</v>
      </c>
      <c r="S74" s="9" t="str">
        <f aca="false">SUBSTITUTE(AzymutB!D74,"-","")</f>
        <v/>
      </c>
      <c r="T74" s="9" t="n">
        <f aca="false">VALUE(SUBSTITUTE(AzymutB!O74,".",","))</f>
        <v>0</v>
      </c>
      <c r="U74" s="9" t="str">
        <f aca="false">SUBSTITUTE(Audioteka!Q76,"-","")</f>
        <v/>
      </c>
    </row>
    <row r="75" customFormat="false" ht="15.75" hidden="false" customHeight="false" outlineLevel="0" collapsed="false">
      <c r="A75" s="8" t="str">
        <f aca="false">SUBSTITUTE(Histmag!B75,"-","")</f>
        <v/>
      </c>
      <c r="B75" s="9" t="n">
        <f aca="false">VALUE(SUBSTITUTE(Histmag!D75,".",","))</f>
        <v>0</v>
      </c>
      <c r="C75" s="8" t="str">
        <f aca="false">SUBSTITUTE(Virtualo!G75,"-","")</f>
        <v/>
      </c>
      <c r="D75" s="8" t="str">
        <f aca="false">SUBSTITUTE(Empik!F75,"-","")</f>
        <v/>
      </c>
      <c r="E75" s="8" t="str">
        <f aca="false">SUBSTITUTE(Publio!H75,"-","")</f>
        <v/>
      </c>
      <c r="F75" s="8" t="n">
        <f aca="false">VALUE(SUBSTITUTE(Publio!Q75,".",","))</f>
        <v>0</v>
      </c>
      <c r="G75" s="8" t="str">
        <f aca="false">IFERROR(IF(SEARCH("-", Nexto!B56), SUBSTITUTE(Nexto!B56,"-","")), "")</f>
        <v/>
      </c>
      <c r="H75" s="8" t="n">
        <f aca="false">IFERROR(VALUE(SUBSTITUTE(Nexto!P60,".",",")),0)</f>
        <v>0</v>
      </c>
      <c r="I75" s="9" t="str">
        <f aca="false">SUBSTITUTE(Azymut!D75,"-","")</f>
        <v/>
      </c>
      <c r="J75" s="9" t="n">
        <f aca="false">VALUE(SUBSTITUTE(Azymut!O75,".",","))</f>
        <v>0</v>
      </c>
      <c r="K75" s="9" t="str">
        <f aca="false">SUBSTITUTE(Ebookpoint!E87,"-","")</f>
        <v/>
      </c>
      <c r="L75" s="9" t="str">
        <f aca="false">SUBSTITUTE(Nasbi!E87,"-","")</f>
        <v/>
      </c>
      <c r="M75" s="9" t="n">
        <f aca="false">VALUE(SUBSTITUTE(StorytelE!G75,".",","))</f>
        <v>0</v>
      </c>
      <c r="N75" s="9" t="n">
        <f aca="false">VALUE(SUBSTITUTE(StorytelA!G75,".",","))</f>
        <v>0</v>
      </c>
      <c r="O75" s="9" t="n">
        <f aca="false">VALUE(SUBSTITUTE(StorytelE!M75,".",","))</f>
        <v>0</v>
      </c>
      <c r="P75" s="9" t="n">
        <f aca="false">VALUE(SUBSTITUTE(StorytelA!M75,".",","))</f>
        <v>0</v>
      </c>
      <c r="Q75" s="29"/>
      <c r="R75" s="29" t="n">
        <f aca="false">VALUE(SUBSTITUTE(Woblink!H87,".",","))</f>
        <v>0</v>
      </c>
      <c r="S75" s="9" t="str">
        <f aca="false">SUBSTITUTE(AzymutB!D75,"-","")</f>
        <v/>
      </c>
      <c r="T75" s="9" t="n">
        <f aca="false">VALUE(SUBSTITUTE(AzymutB!O75,".",","))</f>
        <v>0</v>
      </c>
      <c r="U75" s="9" t="str">
        <f aca="false">SUBSTITUTE(Audioteka!Q77,"-","")</f>
        <v/>
      </c>
    </row>
    <row r="76" customFormat="false" ht="15.75" hidden="false" customHeight="false" outlineLevel="0" collapsed="false">
      <c r="A76" s="8" t="str">
        <f aca="false">SUBSTITUTE(Histmag!B76,"-","")</f>
        <v/>
      </c>
      <c r="B76" s="9" t="n">
        <f aca="false">VALUE(SUBSTITUTE(Histmag!D76,".",","))</f>
        <v>0</v>
      </c>
      <c r="C76" s="8" t="str">
        <f aca="false">SUBSTITUTE(Virtualo!G76,"-","")</f>
        <v/>
      </c>
      <c r="D76" s="8" t="str">
        <f aca="false">SUBSTITUTE(Empik!F76,"-","")</f>
        <v/>
      </c>
      <c r="E76" s="8" t="str">
        <f aca="false">SUBSTITUTE(Publio!H76,"-","")</f>
        <v/>
      </c>
      <c r="F76" s="8" t="n">
        <f aca="false">VALUE(SUBSTITUTE(Publio!Q76,".",","))</f>
        <v>0</v>
      </c>
      <c r="G76" s="8" t="str">
        <f aca="false">IFERROR(IF(SEARCH("-", Nexto!B57), SUBSTITUTE(Nexto!B57,"-","")), "")</f>
        <v/>
      </c>
      <c r="H76" s="8" t="n">
        <f aca="false">IFERROR(VALUE(SUBSTITUTE(Nexto!P61,".",",")),0)</f>
        <v>0</v>
      </c>
      <c r="I76" s="9" t="str">
        <f aca="false">SUBSTITUTE(Azymut!D76,"-","")</f>
        <v/>
      </c>
      <c r="J76" s="9" t="n">
        <f aca="false">VALUE(SUBSTITUTE(Azymut!O76,".",","))</f>
        <v>0</v>
      </c>
      <c r="K76" s="9" t="str">
        <f aca="false">SUBSTITUTE(Ebookpoint!E88,"-","")</f>
        <v/>
      </c>
      <c r="L76" s="9" t="str">
        <f aca="false">SUBSTITUTE(Nasbi!E88,"-","")</f>
        <v/>
      </c>
      <c r="M76" s="9" t="n">
        <f aca="false">VALUE(SUBSTITUTE(StorytelE!G76,".",","))</f>
        <v>0</v>
      </c>
      <c r="N76" s="9" t="n">
        <f aca="false">VALUE(SUBSTITUTE(StorytelA!G76,".",","))</f>
        <v>0</v>
      </c>
      <c r="O76" s="9" t="n">
        <f aca="false">VALUE(SUBSTITUTE(StorytelE!M76,".",","))</f>
        <v>0</v>
      </c>
      <c r="P76" s="9" t="n">
        <f aca="false">VALUE(SUBSTITUTE(StorytelA!M76,".",","))</f>
        <v>0</v>
      </c>
      <c r="Q76" s="29"/>
      <c r="R76" s="29" t="n">
        <f aca="false">VALUE(SUBSTITUTE(Woblink!H88,".",","))</f>
        <v>0</v>
      </c>
      <c r="S76" s="9" t="str">
        <f aca="false">SUBSTITUTE(AzymutB!D76,"-","")</f>
        <v/>
      </c>
      <c r="T76" s="9" t="n">
        <f aca="false">VALUE(SUBSTITUTE(AzymutB!O76,".",","))</f>
        <v>0</v>
      </c>
      <c r="U76" s="9" t="str">
        <f aca="false">SUBSTITUTE(Audioteka!Q78,"-","")</f>
        <v/>
      </c>
    </row>
    <row r="77" customFormat="false" ht="15.75" hidden="false" customHeight="false" outlineLevel="0" collapsed="false">
      <c r="A77" s="8" t="str">
        <f aca="false">SUBSTITUTE(Histmag!B77,"-","")</f>
        <v/>
      </c>
      <c r="B77" s="9" t="n">
        <f aca="false">VALUE(SUBSTITUTE(Histmag!D77,".",","))</f>
        <v>0</v>
      </c>
      <c r="C77" s="8" t="str">
        <f aca="false">SUBSTITUTE(Virtualo!G77,"-","")</f>
        <v/>
      </c>
      <c r="D77" s="8" t="str">
        <f aca="false">SUBSTITUTE(Empik!F77,"-","")</f>
        <v/>
      </c>
      <c r="E77" s="8" t="str">
        <f aca="false">SUBSTITUTE(Publio!H77,"-","")</f>
        <v/>
      </c>
      <c r="F77" s="8" t="n">
        <f aca="false">VALUE(SUBSTITUTE(Publio!Q77,".",","))</f>
        <v>0</v>
      </c>
      <c r="G77" s="8" t="str">
        <f aca="false">IFERROR(IF(SEARCH("-", Nexto!B58), SUBSTITUTE(Nexto!B58,"-","")), "")</f>
        <v/>
      </c>
      <c r="H77" s="8" t="n">
        <f aca="false">IFERROR(VALUE(SUBSTITUTE(Nexto!P62,".",",")),0)</f>
        <v>0</v>
      </c>
      <c r="I77" s="9" t="str">
        <f aca="false">SUBSTITUTE(Azymut!D77,"-","")</f>
        <v/>
      </c>
      <c r="J77" s="9" t="n">
        <f aca="false">VALUE(SUBSTITUTE(Azymut!O77,".",","))</f>
        <v>0</v>
      </c>
      <c r="K77" s="9" t="str">
        <f aca="false">SUBSTITUTE(Ebookpoint!E89,"-","")</f>
        <v/>
      </c>
      <c r="L77" s="9" t="str">
        <f aca="false">SUBSTITUTE(Nasbi!E89,"-","")</f>
        <v/>
      </c>
      <c r="M77" s="9" t="n">
        <f aca="false">VALUE(SUBSTITUTE(StorytelE!G77,".",","))</f>
        <v>0</v>
      </c>
      <c r="N77" s="9" t="n">
        <f aca="false">VALUE(SUBSTITUTE(StorytelA!G77,".",","))</f>
        <v>0</v>
      </c>
      <c r="O77" s="9" t="n">
        <f aca="false">VALUE(SUBSTITUTE(StorytelE!M77,".",","))</f>
        <v>0</v>
      </c>
      <c r="P77" s="9" t="n">
        <f aca="false">VALUE(SUBSTITUTE(StorytelA!M77,".",","))</f>
        <v>0</v>
      </c>
      <c r="Q77" s="29"/>
      <c r="R77" s="29" t="n">
        <f aca="false">VALUE(SUBSTITUTE(Woblink!H89,".",","))</f>
        <v>0</v>
      </c>
      <c r="S77" s="9" t="str">
        <f aca="false">SUBSTITUTE(AzymutB!D77,"-","")</f>
        <v/>
      </c>
      <c r="T77" s="9" t="n">
        <f aca="false">VALUE(SUBSTITUTE(AzymutB!O77,".",","))</f>
        <v>0</v>
      </c>
      <c r="U77" s="9" t="str">
        <f aca="false">SUBSTITUTE(Audioteka!Q79,"-","")</f>
        <v/>
      </c>
    </row>
    <row r="78" customFormat="false" ht="15.75" hidden="false" customHeight="false" outlineLevel="0" collapsed="false">
      <c r="A78" s="8" t="str">
        <f aca="false">SUBSTITUTE(Histmag!B78,"-","")</f>
        <v/>
      </c>
      <c r="B78" s="9" t="n">
        <f aca="false">VALUE(SUBSTITUTE(Histmag!D78,".",","))</f>
        <v>0</v>
      </c>
      <c r="C78" s="8" t="str">
        <f aca="false">SUBSTITUTE(Virtualo!G78,"-","")</f>
        <v/>
      </c>
      <c r="D78" s="8" t="str">
        <f aca="false">SUBSTITUTE(Empik!F78,"-","")</f>
        <v/>
      </c>
      <c r="E78" s="8" t="str">
        <f aca="false">SUBSTITUTE(Publio!H78,"-","")</f>
        <v/>
      </c>
      <c r="F78" s="8" t="n">
        <f aca="false">VALUE(SUBSTITUTE(Publio!Q78,".",","))</f>
        <v>0</v>
      </c>
      <c r="G78" s="8" t="str">
        <f aca="false">IFERROR(IF(SEARCH("-", Nexto!B59), SUBSTITUTE(Nexto!B59,"-","")), "")</f>
        <v/>
      </c>
      <c r="H78" s="8" t="n">
        <f aca="false">IFERROR(VALUE(SUBSTITUTE(Nexto!P63,".",",")),0)</f>
        <v>0</v>
      </c>
      <c r="I78" s="9" t="str">
        <f aca="false">SUBSTITUTE(Azymut!D78,"-","")</f>
        <v/>
      </c>
      <c r="J78" s="9" t="n">
        <f aca="false">VALUE(SUBSTITUTE(Azymut!O78,".",","))</f>
        <v>0</v>
      </c>
      <c r="K78" s="9" t="str">
        <f aca="false">SUBSTITUTE(Ebookpoint!E90,"-","")</f>
        <v/>
      </c>
      <c r="L78" s="9" t="str">
        <f aca="false">SUBSTITUTE(Nasbi!E90,"-","")</f>
        <v/>
      </c>
      <c r="M78" s="9" t="n">
        <f aca="false">VALUE(SUBSTITUTE(StorytelE!G78,".",","))</f>
        <v>0</v>
      </c>
      <c r="N78" s="9" t="n">
        <f aca="false">VALUE(SUBSTITUTE(StorytelA!G78,".",","))</f>
        <v>0</v>
      </c>
      <c r="O78" s="9" t="n">
        <f aca="false">VALUE(SUBSTITUTE(StorytelE!M78,".",","))</f>
        <v>0</v>
      </c>
      <c r="P78" s="9" t="n">
        <f aca="false">VALUE(SUBSTITUTE(StorytelA!M78,".",","))</f>
        <v>0</v>
      </c>
      <c r="Q78" s="29"/>
      <c r="R78" s="29" t="n">
        <f aca="false">VALUE(SUBSTITUTE(Woblink!H90,".",","))</f>
        <v>0</v>
      </c>
      <c r="S78" s="9" t="str">
        <f aca="false">SUBSTITUTE(AzymutB!D78,"-","")</f>
        <v/>
      </c>
      <c r="T78" s="9" t="n">
        <f aca="false">VALUE(SUBSTITUTE(AzymutB!O78,".",","))</f>
        <v>0</v>
      </c>
      <c r="U78" s="9" t="str">
        <f aca="false">SUBSTITUTE(Audioteka!Q80,"-","")</f>
        <v/>
      </c>
    </row>
    <row r="79" customFormat="false" ht="15.75" hidden="false" customHeight="false" outlineLevel="0" collapsed="false">
      <c r="A79" s="8" t="str">
        <f aca="false">SUBSTITUTE(Histmag!B79,"-","")</f>
        <v/>
      </c>
      <c r="B79" s="9" t="n">
        <f aca="false">VALUE(SUBSTITUTE(Histmag!D79,".",","))</f>
        <v>0</v>
      </c>
      <c r="C79" s="8" t="str">
        <f aca="false">SUBSTITUTE(Virtualo!G79,"-","")</f>
        <v/>
      </c>
      <c r="D79" s="8" t="str">
        <f aca="false">SUBSTITUTE(Empik!F79,"-","")</f>
        <v/>
      </c>
      <c r="E79" s="8" t="str">
        <f aca="false">SUBSTITUTE(Publio!H79,"-","")</f>
        <v/>
      </c>
      <c r="F79" s="8" t="n">
        <f aca="false">VALUE(SUBSTITUTE(Publio!Q79,".",","))</f>
        <v>0</v>
      </c>
      <c r="G79" s="8" t="str">
        <f aca="false">IFERROR(IF(SEARCH("-", Nexto!B60), SUBSTITUTE(Nexto!B60,"-","")), "")</f>
        <v/>
      </c>
      <c r="H79" s="8" t="n">
        <f aca="false">IFERROR(VALUE(SUBSTITUTE(Nexto!P64,".",",")),0)</f>
        <v>0</v>
      </c>
      <c r="I79" s="9" t="str">
        <f aca="false">SUBSTITUTE(Azymut!D79,"-","")</f>
        <v/>
      </c>
      <c r="J79" s="9" t="n">
        <f aca="false">VALUE(SUBSTITUTE(Azymut!O79,".",","))</f>
        <v>0</v>
      </c>
      <c r="K79" s="9" t="str">
        <f aca="false">SUBSTITUTE(Ebookpoint!E91,"-","")</f>
        <v/>
      </c>
      <c r="L79" s="9" t="str">
        <f aca="false">SUBSTITUTE(Nasbi!E91,"-","")</f>
        <v/>
      </c>
      <c r="M79" s="9" t="n">
        <f aca="false">VALUE(SUBSTITUTE(StorytelE!G79,".",","))</f>
        <v>0</v>
      </c>
      <c r="N79" s="9" t="n">
        <f aca="false">VALUE(SUBSTITUTE(StorytelA!G79,".",","))</f>
        <v>0</v>
      </c>
      <c r="O79" s="9" t="n">
        <f aca="false">VALUE(SUBSTITUTE(StorytelE!M79,".",","))</f>
        <v>0</v>
      </c>
      <c r="P79" s="9" t="n">
        <f aca="false">VALUE(SUBSTITUTE(StorytelA!M79,".",","))</f>
        <v>0</v>
      </c>
      <c r="Q79" s="29"/>
      <c r="R79" s="29" t="n">
        <f aca="false">VALUE(SUBSTITUTE(Woblink!H91,".",","))</f>
        <v>0</v>
      </c>
      <c r="S79" s="9" t="str">
        <f aca="false">SUBSTITUTE(AzymutB!D79,"-","")</f>
        <v/>
      </c>
      <c r="T79" s="9" t="n">
        <f aca="false">VALUE(SUBSTITUTE(AzymutB!O79,".",","))</f>
        <v>0</v>
      </c>
      <c r="U79" s="9" t="str">
        <f aca="false">SUBSTITUTE(Audioteka!Q81,"-","")</f>
        <v/>
      </c>
    </row>
    <row r="80" customFormat="false" ht="15.75" hidden="false" customHeight="false" outlineLevel="0" collapsed="false">
      <c r="A80" s="8" t="str">
        <f aca="false">SUBSTITUTE(Histmag!B80,"-","")</f>
        <v/>
      </c>
      <c r="B80" s="9" t="n">
        <f aca="false">VALUE(SUBSTITUTE(Histmag!D80,".",","))</f>
        <v>0</v>
      </c>
      <c r="C80" s="8" t="str">
        <f aca="false">SUBSTITUTE(Virtualo!G80,"-","")</f>
        <v/>
      </c>
      <c r="D80" s="8" t="str">
        <f aca="false">SUBSTITUTE(Empik!F80,"-","")</f>
        <v/>
      </c>
      <c r="E80" s="8" t="str">
        <f aca="false">SUBSTITUTE(Publio!H80,"-","")</f>
        <v/>
      </c>
      <c r="F80" s="8" t="n">
        <f aca="false">VALUE(SUBSTITUTE(Publio!Q80,".",","))</f>
        <v>0</v>
      </c>
      <c r="G80" s="8" t="str">
        <f aca="false">IFERROR(IF(SEARCH("-", Nexto!B61), SUBSTITUTE(Nexto!B61,"-","")), "")</f>
        <v/>
      </c>
      <c r="H80" s="8" t="n">
        <f aca="false">IFERROR(VALUE(SUBSTITUTE(Nexto!P65,".",",")),0)</f>
        <v>0</v>
      </c>
      <c r="I80" s="9" t="str">
        <f aca="false">SUBSTITUTE(Azymut!D80,"-","")</f>
        <v/>
      </c>
      <c r="J80" s="9" t="n">
        <f aca="false">VALUE(SUBSTITUTE(Azymut!O80,".",","))</f>
        <v>0</v>
      </c>
      <c r="K80" s="9" t="str">
        <f aca="false">SUBSTITUTE(Ebookpoint!E92,"-","")</f>
        <v/>
      </c>
      <c r="L80" s="9" t="str">
        <f aca="false">SUBSTITUTE(Nasbi!E92,"-","")</f>
        <v/>
      </c>
      <c r="M80" s="9" t="n">
        <f aca="false">VALUE(SUBSTITUTE(StorytelE!G80,".",","))</f>
        <v>0</v>
      </c>
      <c r="N80" s="9" t="n">
        <f aca="false">VALUE(SUBSTITUTE(StorytelA!G80,".",","))</f>
        <v>0</v>
      </c>
      <c r="O80" s="9" t="n">
        <f aca="false">VALUE(SUBSTITUTE(StorytelE!M80,".",","))</f>
        <v>0</v>
      </c>
      <c r="P80" s="9" t="n">
        <f aca="false">VALUE(SUBSTITUTE(StorytelA!M80,".",","))</f>
        <v>0</v>
      </c>
      <c r="Q80" s="29"/>
      <c r="R80" s="29" t="n">
        <f aca="false">VALUE(SUBSTITUTE(Woblink!H92,".",","))</f>
        <v>0</v>
      </c>
      <c r="S80" s="9" t="str">
        <f aca="false">SUBSTITUTE(AzymutB!D80,"-","")</f>
        <v/>
      </c>
      <c r="T80" s="9" t="n">
        <f aca="false">VALUE(SUBSTITUTE(AzymutB!O80,".",","))</f>
        <v>0</v>
      </c>
      <c r="U80" s="9" t="str">
        <f aca="false">SUBSTITUTE(Audioteka!Q82,"-","")</f>
        <v/>
      </c>
    </row>
    <row r="81" customFormat="false" ht="15.75" hidden="false" customHeight="false" outlineLevel="0" collapsed="false">
      <c r="A81" s="8" t="str">
        <f aca="false">SUBSTITUTE(Histmag!B81,"-","")</f>
        <v/>
      </c>
      <c r="B81" s="9" t="n">
        <f aca="false">VALUE(SUBSTITUTE(Histmag!D81,".",","))</f>
        <v>0</v>
      </c>
      <c r="C81" s="8" t="str">
        <f aca="false">SUBSTITUTE(Virtualo!G81,"-","")</f>
        <v/>
      </c>
      <c r="D81" s="8" t="str">
        <f aca="false">SUBSTITUTE(Empik!F81,"-","")</f>
        <v/>
      </c>
      <c r="E81" s="8" t="str">
        <f aca="false">SUBSTITUTE(Publio!H81,"-","")</f>
        <v/>
      </c>
      <c r="F81" s="8" t="n">
        <f aca="false">VALUE(SUBSTITUTE(Publio!Q81,".",","))</f>
        <v>0</v>
      </c>
      <c r="G81" s="8" t="str">
        <f aca="false">IFERROR(IF(SEARCH("-", Nexto!B62), SUBSTITUTE(Nexto!B62,"-","")), "")</f>
        <v/>
      </c>
      <c r="H81" s="8" t="n">
        <f aca="false">IFERROR(VALUE(SUBSTITUTE(Nexto!P66,".",",")),0)</f>
        <v>0</v>
      </c>
      <c r="I81" s="9" t="str">
        <f aca="false">SUBSTITUTE(Azymut!D81,"-","")</f>
        <v/>
      </c>
      <c r="J81" s="9" t="n">
        <f aca="false">VALUE(SUBSTITUTE(Azymut!O81,".",","))</f>
        <v>0</v>
      </c>
      <c r="K81" s="9" t="str">
        <f aca="false">SUBSTITUTE(Ebookpoint!E93,"-","")</f>
        <v/>
      </c>
      <c r="L81" s="9" t="str">
        <f aca="false">SUBSTITUTE(Nasbi!E93,"-","")</f>
        <v/>
      </c>
      <c r="M81" s="9" t="n">
        <f aca="false">VALUE(SUBSTITUTE(StorytelE!G81,".",","))</f>
        <v>0</v>
      </c>
      <c r="N81" s="9" t="n">
        <f aca="false">VALUE(SUBSTITUTE(StorytelA!G81,".",","))</f>
        <v>0</v>
      </c>
      <c r="O81" s="9" t="n">
        <f aca="false">VALUE(SUBSTITUTE(StorytelE!M81,".",","))</f>
        <v>0</v>
      </c>
      <c r="P81" s="9" t="n">
        <f aca="false">VALUE(SUBSTITUTE(StorytelA!M81,".",","))</f>
        <v>0</v>
      </c>
      <c r="Q81" s="29"/>
      <c r="R81" s="29" t="n">
        <f aca="false">VALUE(SUBSTITUTE(Woblink!H93,".",","))</f>
        <v>0</v>
      </c>
      <c r="S81" s="9" t="str">
        <f aca="false">SUBSTITUTE(AzymutB!D81,"-","")</f>
        <v/>
      </c>
      <c r="T81" s="9" t="n">
        <f aca="false">VALUE(SUBSTITUTE(AzymutB!O81,".",","))</f>
        <v>0</v>
      </c>
      <c r="U81" s="9" t="str">
        <f aca="false">SUBSTITUTE(Audioteka!Q83,"-","")</f>
        <v/>
      </c>
    </row>
    <row r="82" customFormat="false" ht="15.75" hidden="false" customHeight="false" outlineLevel="0" collapsed="false">
      <c r="A82" s="8" t="str">
        <f aca="false">SUBSTITUTE(Histmag!B82,"-","")</f>
        <v/>
      </c>
      <c r="B82" s="9" t="n">
        <f aca="false">VALUE(SUBSTITUTE(Histmag!D82,".",","))</f>
        <v>0</v>
      </c>
      <c r="C82" s="8" t="str">
        <f aca="false">SUBSTITUTE(Virtualo!G82,"-","")</f>
        <v/>
      </c>
      <c r="D82" s="8" t="str">
        <f aca="false">SUBSTITUTE(Empik!F82,"-","")</f>
        <v/>
      </c>
      <c r="E82" s="8" t="str">
        <f aca="false">SUBSTITUTE(Publio!H82,"-","")</f>
        <v/>
      </c>
      <c r="F82" s="8" t="n">
        <f aca="false">VALUE(SUBSTITUTE(Publio!Q82,".",","))</f>
        <v>0</v>
      </c>
      <c r="G82" s="8" t="str">
        <f aca="false">IFERROR(IF(SEARCH("-", Nexto!B63), SUBSTITUTE(Nexto!B63,"-","")), "")</f>
        <v/>
      </c>
      <c r="H82" s="8" t="n">
        <f aca="false">IFERROR(VALUE(SUBSTITUTE(Nexto!P67,".",",")),0)</f>
        <v>0</v>
      </c>
      <c r="I82" s="9" t="str">
        <f aca="false">SUBSTITUTE(Azymut!D82,"-","")</f>
        <v/>
      </c>
      <c r="J82" s="9" t="n">
        <f aca="false">VALUE(SUBSTITUTE(Azymut!O82,".",","))</f>
        <v>0</v>
      </c>
      <c r="K82" s="9" t="str">
        <f aca="false">SUBSTITUTE(Ebookpoint!E94,"-","")</f>
        <v/>
      </c>
      <c r="L82" s="9" t="str">
        <f aca="false">SUBSTITUTE(Nasbi!E94,"-","")</f>
        <v/>
      </c>
      <c r="M82" s="9" t="n">
        <f aca="false">VALUE(SUBSTITUTE(StorytelE!G82,".",","))</f>
        <v>0</v>
      </c>
      <c r="N82" s="9" t="n">
        <f aca="false">VALUE(SUBSTITUTE(StorytelA!G82,".",","))</f>
        <v>0</v>
      </c>
      <c r="O82" s="9" t="n">
        <f aca="false">VALUE(SUBSTITUTE(StorytelE!M82,".",","))</f>
        <v>0</v>
      </c>
      <c r="P82" s="9" t="n">
        <f aca="false">VALUE(SUBSTITUTE(StorytelA!M82,".",","))</f>
        <v>0</v>
      </c>
      <c r="Q82" s="29"/>
      <c r="R82" s="29" t="n">
        <f aca="false">VALUE(SUBSTITUTE(Woblink!H94,".",","))</f>
        <v>0</v>
      </c>
      <c r="S82" s="9" t="str">
        <f aca="false">SUBSTITUTE(AzymutB!D82,"-","")</f>
        <v/>
      </c>
      <c r="T82" s="9" t="n">
        <f aca="false">VALUE(SUBSTITUTE(AzymutB!O82,".",","))</f>
        <v>0</v>
      </c>
      <c r="U82" s="9" t="str">
        <f aca="false">SUBSTITUTE(Audioteka!Q84,"-","")</f>
        <v/>
      </c>
    </row>
    <row r="83" customFormat="false" ht="15.75" hidden="false" customHeight="false" outlineLevel="0" collapsed="false">
      <c r="A83" s="8" t="str">
        <f aca="false">SUBSTITUTE(Histmag!B83,"-","")</f>
        <v/>
      </c>
      <c r="B83" s="9" t="n">
        <f aca="false">VALUE(SUBSTITUTE(Histmag!D83,".",","))</f>
        <v>0</v>
      </c>
      <c r="C83" s="8" t="str">
        <f aca="false">SUBSTITUTE(Virtualo!G83,"-","")</f>
        <v/>
      </c>
      <c r="D83" s="8" t="str">
        <f aca="false">SUBSTITUTE(Empik!F83,"-","")</f>
        <v/>
      </c>
      <c r="E83" s="8" t="str">
        <f aca="false">SUBSTITUTE(Publio!H83,"-","")</f>
        <v/>
      </c>
      <c r="F83" s="8" t="n">
        <f aca="false">VALUE(SUBSTITUTE(Publio!Q83,".",","))</f>
        <v>0</v>
      </c>
      <c r="G83" s="8" t="str">
        <f aca="false">IFERROR(IF(SEARCH("-", Nexto!B64), SUBSTITUTE(Nexto!B64,"-","")), "")</f>
        <v/>
      </c>
      <c r="H83" s="8" t="n">
        <f aca="false">IFERROR(VALUE(SUBSTITUTE(Nexto!P68,".",",")),0)</f>
        <v>0</v>
      </c>
      <c r="I83" s="9" t="str">
        <f aca="false">SUBSTITUTE(Azymut!D83,"-","")</f>
        <v/>
      </c>
      <c r="J83" s="9" t="n">
        <f aca="false">VALUE(SUBSTITUTE(Azymut!O83,".",","))</f>
        <v>0</v>
      </c>
      <c r="K83" s="9" t="str">
        <f aca="false">SUBSTITUTE(Ebookpoint!E95,"-","")</f>
        <v/>
      </c>
      <c r="L83" s="9" t="str">
        <f aca="false">SUBSTITUTE(Nasbi!E95,"-","")</f>
        <v/>
      </c>
      <c r="M83" s="9" t="n">
        <f aca="false">VALUE(SUBSTITUTE(StorytelE!G83,".",","))</f>
        <v>0</v>
      </c>
      <c r="N83" s="9" t="n">
        <f aca="false">VALUE(SUBSTITUTE(StorytelA!G83,".",","))</f>
        <v>0</v>
      </c>
      <c r="O83" s="9" t="n">
        <f aca="false">VALUE(SUBSTITUTE(StorytelE!M83,".",","))</f>
        <v>0</v>
      </c>
      <c r="P83" s="9" t="n">
        <f aca="false">VALUE(SUBSTITUTE(StorytelA!M83,".",","))</f>
        <v>0</v>
      </c>
      <c r="Q83" s="29"/>
      <c r="R83" s="29" t="n">
        <f aca="false">VALUE(SUBSTITUTE(Woblink!H95,".",","))</f>
        <v>0</v>
      </c>
      <c r="S83" s="9" t="str">
        <f aca="false">SUBSTITUTE(AzymutB!D83,"-","")</f>
        <v/>
      </c>
      <c r="T83" s="9" t="n">
        <f aca="false">VALUE(SUBSTITUTE(AzymutB!O83,".",","))</f>
        <v>0</v>
      </c>
      <c r="U83" s="9" t="str">
        <f aca="false">SUBSTITUTE(Audioteka!Q85,"-","")</f>
        <v/>
      </c>
    </row>
    <row r="84" customFormat="false" ht="15.75" hidden="false" customHeight="false" outlineLevel="0" collapsed="false">
      <c r="A84" s="8" t="str">
        <f aca="false">SUBSTITUTE(Histmag!B84,"-","")</f>
        <v/>
      </c>
      <c r="B84" s="9" t="n">
        <f aca="false">VALUE(SUBSTITUTE(Histmag!D84,".",","))</f>
        <v>0</v>
      </c>
      <c r="C84" s="8" t="str">
        <f aca="false">SUBSTITUTE(Virtualo!G84,"-","")</f>
        <v/>
      </c>
      <c r="D84" s="8" t="str">
        <f aca="false">SUBSTITUTE(Empik!F84,"-","")</f>
        <v/>
      </c>
      <c r="E84" s="8" t="str">
        <f aca="false">SUBSTITUTE(Publio!H84,"-","")</f>
        <v/>
      </c>
      <c r="F84" s="8" t="n">
        <f aca="false">VALUE(SUBSTITUTE(Publio!Q84,".",","))</f>
        <v>0</v>
      </c>
      <c r="G84" s="8" t="str">
        <f aca="false">IFERROR(IF(SEARCH("-", Nexto!B65), SUBSTITUTE(Nexto!B65,"-","")), "")</f>
        <v/>
      </c>
      <c r="H84" s="8" t="n">
        <f aca="false">IFERROR(VALUE(SUBSTITUTE(Nexto!P69,".",",")),0)</f>
        <v>0</v>
      </c>
      <c r="I84" s="9" t="str">
        <f aca="false">SUBSTITUTE(Azymut!D84,"-","")</f>
        <v/>
      </c>
      <c r="J84" s="9" t="n">
        <f aca="false">VALUE(SUBSTITUTE(Azymut!O84,".",","))</f>
        <v>0</v>
      </c>
      <c r="K84" s="9" t="str">
        <f aca="false">SUBSTITUTE(Ebookpoint!E96,"-","")</f>
        <v/>
      </c>
      <c r="L84" s="9" t="str">
        <f aca="false">SUBSTITUTE(Nasbi!E96,"-","")</f>
        <v/>
      </c>
      <c r="M84" s="9" t="n">
        <f aca="false">VALUE(SUBSTITUTE(StorytelE!G84,".",","))</f>
        <v>0</v>
      </c>
      <c r="N84" s="9" t="n">
        <f aca="false">VALUE(SUBSTITUTE(StorytelA!G84,".",","))</f>
        <v>0</v>
      </c>
      <c r="O84" s="9" t="n">
        <f aca="false">VALUE(SUBSTITUTE(StorytelE!M84,".",","))</f>
        <v>0</v>
      </c>
      <c r="P84" s="9" t="n">
        <f aca="false">VALUE(SUBSTITUTE(StorytelA!M84,".",","))</f>
        <v>0</v>
      </c>
      <c r="Q84" s="29"/>
      <c r="R84" s="29" t="n">
        <f aca="false">VALUE(SUBSTITUTE(Woblink!H96,".",","))</f>
        <v>0</v>
      </c>
      <c r="S84" s="9" t="str">
        <f aca="false">SUBSTITUTE(AzymutB!D84,"-","")</f>
        <v/>
      </c>
      <c r="T84" s="9" t="n">
        <f aca="false">VALUE(SUBSTITUTE(AzymutB!O84,".",","))</f>
        <v>0</v>
      </c>
      <c r="U84" s="9" t="str">
        <f aca="false">SUBSTITUTE(Audioteka!Q86,"-","")</f>
        <v/>
      </c>
    </row>
    <row r="85" customFormat="false" ht="15.75" hidden="false" customHeight="false" outlineLevel="0" collapsed="false">
      <c r="A85" s="8" t="str">
        <f aca="false">SUBSTITUTE(Histmag!B85,"-","")</f>
        <v/>
      </c>
      <c r="B85" s="9" t="n">
        <f aca="false">VALUE(SUBSTITUTE(Histmag!D85,".",","))</f>
        <v>0</v>
      </c>
      <c r="C85" s="8" t="str">
        <f aca="false">SUBSTITUTE(Virtualo!G85,"-","")</f>
        <v/>
      </c>
      <c r="D85" s="8" t="str">
        <f aca="false">SUBSTITUTE(Empik!F85,"-","")</f>
        <v/>
      </c>
      <c r="E85" s="8" t="str">
        <f aca="false">SUBSTITUTE(Publio!H85,"-","")</f>
        <v/>
      </c>
      <c r="F85" s="8" t="n">
        <f aca="false">VALUE(SUBSTITUTE(Publio!Q85,".",","))</f>
        <v>0</v>
      </c>
      <c r="G85" s="8" t="str">
        <f aca="false">IFERROR(IF(SEARCH("-", Nexto!B66), SUBSTITUTE(Nexto!B66,"-","")), "")</f>
        <v/>
      </c>
      <c r="H85" s="8" t="n">
        <f aca="false">IFERROR(VALUE(SUBSTITUTE(Nexto!P70,".",",")),0)</f>
        <v>0</v>
      </c>
      <c r="I85" s="9" t="str">
        <f aca="false">SUBSTITUTE(Azymut!D85,"-","")</f>
        <v/>
      </c>
      <c r="J85" s="9" t="n">
        <f aca="false">VALUE(SUBSTITUTE(Azymut!O85,".",","))</f>
        <v>0</v>
      </c>
      <c r="K85" s="9" t="str">
        <f aca="false">SUBSTITUTE(Ebookpoint!E97,"-","")</f>
        <v/>
      </c>
      <c r="L85" s="9" t="str">
        <f aca="false">SUBSTITUTE(Nasbi!E97,"-","")</f>
        <v/>
      </c>
      <c r="M85" s="9" t="n">
        <f aca="false">VALUE(SUBSTITUTE(StorytelE!G85,".",","))</f>
        <v>0</v>
      </c>
      <c r="N85" s="9" t="n">
        <f aca="false">VALUE(SUBSTITUTE(StorytelA!G85,".",","))</f>
        <v>0</v>
      </c>
      <c r="O85" s="9" t="n">
        <f aca="false">VALUE(SUBSTITUTE(StorytelE!M85,".",","))</f>
        <v>0</v>
      </c>
      <c r="P85" s="9" t="n">
        <f aca="false">VALUE(SUBSTITUTE(StorytelA!M85,".",","))</f>
        <v>0</v>
      </c>
      <c r="Q85" s="29"/>
      <c r="R85" s="29" t="n">
        <f aca="false">VALUE(SUBSTITUTE(Woblink!H97,".",","))</f>
        <v>0</v>
      </c>
      <c r="S85" s="9" t="str">
        <f aca="false">SUBSTITUTE(AzymutB!D85,"-","")</f>
        <v/>
      </c>
      <c r="T85" s="9" t="n">
        <f aca="false">VALUE(SUBSTITUTE(AzymutB!O85,".",","))</f>
        <v>0</v>
      </c>
      <c r="U85" s="9" t="str">
        <f aca="false">SUBSTITUTE(Audioteka!Q87,"-","")</f>
        <v/>
      </c>
    </row>
    <row r="86" customFormat="false" ht="15.75" hidden="false" customHeight="false" outlineLevel="0" collapsed="false">
      <c r="A86" s="8" t="str">
        <f aca="false">SUBSTITUTE(Histmag!B86,"-","")</f>
        <v/>
      </c>
      <c r="B86" s="9" t="n">
        <f aca="false">VALUE(SUBSTITUTE(Histmag!D86,".",","))</f>
        <v>0</v>
      </c>
      <c r="C86" s="8" t="str">
        <f aca="false">SUBSTITUTE(Virtualo!G86,"-","")</f>
        <v/>
      </c>
      <c r="D86" s="8" t="str">
        <f aca="false">SUBSTITUTE(Empik!F86,"-","")</f>
        <v/>
      </c>
      <c r="E86" s="8" t="str">
        <f aca="false">SUBSTITUTE(Publio!H86,"-","")</f>
        <v/>
      </c>
      <c r="F86" s="8" t="n">
        <f aca="false">VALUE(SUBSTITUTE(Publio!Q86,".",","))</f>
        <v>0</v>
      </c>
      <c r="G86" s="8" t="str">
        <f aca="false">IFERROR(IF(SEARCH("-", Nexto!B67), SUBSTITUTE(Nexto!B67,"-","")), "")</f>
        <v/>
      </c>
      <c r="H86" s="8" t="n">
        <f aca="false">IFERROR(VALUE(SUBSTITUTE(Nexto!P71,".",",")),0)</f>
        <v>0</v>
      </c>
      <c r="I86" s="9" t="str">
        <f aca="false">SUBSTITUTE(Azymut!D86,"-","")</f>
        <v/>
      </c>
      <c r="J86" s="9" t="n">
        <f aca="false">VALUE(SUBSTITUTE(Azymut!O86,".",","))</f>
        <v>0</v>
      </c>
      <c r="K86" s="9" t="str">
        <f aca="false">SUBSTITUTE(Ebookpoint!E98,"-","")</f>
        <v/>
      </c>
      <c r="L86" s="9" t="str">
        <f aca="false">SUBSTITUTE(Nasbi!E98,"-","")</f>
        <v/>
      </c>
      <c r="M86" s="9" t="n">
        <f aca="false">VALUE(SUBSTITUTE(StorytelE!G86,".",","))</f>
        <v>0</v>
      </c>
      <c r="N86" s="9" t="n">
        <f aca="false">VALUE(SUBSTITUTE(StorytelA!G86,".",","))</f>
        <v>0</v>
      </c>
      <c r="O86" s="9" t="n">
        <f aca="false">VALUE(SUBSTITUTE(StorytelE!M86,".",","))</f>
        <v>0</v>
      </c>
      <c r="P86" s="9" t="n">
        <f aca="false">VALUE(SUBSTITUTE(StorytelA!M86,".",","))</f>
        <v>0</v>
      </c>
      <c r="Q86" s="29"/>
      <c r="R86" s="29" t="n">
        <f aca="false">VALUE(SUBSTITUTE(Woblink!H98,".",","))</f>
        <v>0</v>
      </c>
      <c r="S86" s="9" t="str">
        <f aca="false">SUBSTITUTE(AzymutB!D86,"-","")</f>
        <v/>
      </c>
      <c r="T86" s="9" t="n">
        <f aca="false">VALUE(SUBSTITUTE(AzymutB!O86,".",","))</f>
        <v>0</v>
      </c>
      <c r="U86" s="9" t="str">
        <f aca="false">SUBSTITUTE(Audioteka!Q88,"-","")</f>
        <v/>
      </c>
    </row>
    <row r="87" customFormat="false" ht="15.75" hidden="false" customHeight="false" outlineLevel="0" collapsed="false">
      <c r="A87" s="8" t="str">
        <f aca="false">SUBSTITUTE(Histmag!B87,"-","")</f>
        <v/>
      </c>
      <c r="B87" s="9" t="n">
        <f aca="false">VALUE(SUBSTITUTE(Histmag!D87,".",","))</f>
        <v>0</v>
      </c>
      <c r="C87" s="8" t="str">
        <f aca="false">SUBSTITUTE(Virtualo!G87,"-","")</f>
        <v/>
      </c>
      <c r="D87" s="8" t="str">
        <f aca="false">SUBSTITUTE(Empik!F87,"-","")</f>
        <v/>
      </c>
      <c r="E87" s="8" t="str">
        <f aca="false">SUBSTITUTE(Publio!H87,"-","")</f>
        <v/>
      </c>
      <c r="F87" s="8" t="n">
        <f aca="false">VALUE(SUBSTITUTE(Publio!Q87,".",","))</f>
        <v>0</v>
      </c>
      <c r="G87" s="8" t="str">
        <f aca="false">IFERROR(IF(SEARCH("-", Nexto!B68), SUBSTITUTE(Nexto!B68,"-","")), "")</f>
        <v/>
      </c>
      <c r="H87" s="8" t="n">
        <f aca="false">IFERROR(VALUE(SUBSTITUTE(Nexto!P72,".",",")),0)</f>
        <v>0</v>
      </c>
      <c r="I87" s="9" t="str">
        <f aca="false">SUBSTITUTE(Azymut!D87,"-","")</f>
        <v/>
      </c>
      <c r="J87" s="9" t="n">
        <f aca="false">VALUE(SUBSTITUTE(Azymut!O87,".",","))</f>
        <v>0</v>
      </c>
      <c r="K87" s="9" t="str">
        <f aca="false">SUBSTITUTE(Ebookpoint!E99,"-","")</f>
        <v/>
      </c>
      <c r="L87" s="9" t="str">
        <f aca="false">SUBSTITUTE(Nasbi!E99,"-","")</f>
        <v/>
      </c>
      <c r="M87" s="9" t="n">
        <f aca="false">VALUE(SUBSTITUTE(StorytelE!G87,".",","))</f>
        <v>0</v>
      </c>
      <c r="N87" s="9" t="n">
        <f aca="false">VALUE(SUBSTITUTE(StorytelA!G87,".",","))</f>
        <v>0</v>
      </c>
      <c r="O87" s="9" t="n">
        <f aca="false">VALUE(SUBSTITUTE(StorytelE!M87,".",","))</f>
        <v>0</v>
      </c>
      <c r="P87" s="9" t="n">
        <f aca="false">VALUE(SUBSTITUTE(StorytelA!M87,".",","))</f>
        <v>0</v>
      </c>
      <c r="Q87" s="29"/>
      <c r="R87" s="29" t="n">
        <f aca="false">VALUE(SUBSTITUTE(Woblink!H99,".",","))</f>
        <v>0</v>
      </c>
      <c r="S87" s="9" t="str">
        <f aca="false">SUBSTITUTE(AzymutB!D87,"-","")</f>
        <v/>
      </c>
      <c r="T87" s="9" t="n">
        <f aca="false">VALUE(SUBSTITUTE(AzymutB!O87,".",","))</f>
        <v>0</v>
      </c>
      <c r="U87" s="9" t="str">
        <f aca="false">SUBSTITUTE(Audioteka!Q89,"-","")</f>
        <v/>
      </c>
    </row>
    <row r="88" customFormat="false" ht="15.75" hidden="false" customHeight="false" outlineLevel="0" collapsed="false">
      <c r="A88" s="8" t="str">
        <f aca="false">SUBSTITUTE(Histmag!B88,"-","")</f>
        <v/>
      </c>
      <c r="B88" s="9" t="n">
        <f aca="false">VALUE(SUBSTITUTE(Histmag!D88,".",","))</f>
        <v>0</v>
      </c>
      <c r="C88" s="8" t="str">
        <f aca="false">SUBSTITUTE(Virtualo!G88,"-","")</f>
        <v/>
      </c>
      <c r="D88" s="8" t="str">
        <f aca="false">SUBSTITUTE(Empik!F88,"-","")</f>
        <v/>
      </c>
      <c r="E88" s="8" t="str">
        <f aca="false">SUBSTITUTE(Publio!H88,"-","")</f>
        <v/>
      </c>
      <c r="F88" s="8" t="n">
        <f aca="false">VALUE(SUBSTITUTE(Publio!Q88,".",","))</f>
        <v>0</v>
      </c>
      <c r="G88" s="8" t="str">
        <f aca="false">IFERROR(IF(SEARCH("-", Nexto!B69), SUBSTITUTE(Nexto!B69,"-","")), "")</f>
        <v/>
      </c>
      <c r="H88" s="8" t="n">
        <f aca="false">IFERROR(VALUE(SUBSTITUTE(Nexto!P73,".",",")),0)</f>
        <v>0</v>
      </c>
      <c r="I88" s="9" t="str">
        <f aca="false">SUBSTITUTE(Azymut!D88,"-","")</f>
        <v/>
      </c>
      <c r="J88" s="9" t="n">
        <f aca="false">VALUE(SUBSTITUTE(Azymut!O88,".",","))</f>
        <v>0</v>
      </c>
      <c r="K88" s="9" t="str">
        <f aca="false">SUBSTITUTE(Ebookpoint!E100,"-","")</f>
        <v/>
      </c>
      <c r="L88" s="9" t="str">
        <f aca="false">SUBSTITUTE(Nasbi!E100,"-","")</f>
        <v/>
      </c>
      <c r="M88" s="9" t="n">
        <f aca="false">VALUE(SUBSTITUTE(StorytelE!G88,".",","))</f>
        <v>0</v>
      </c>
      <c r="N88" s="9" t="n">
        <f aca="false">VALUE(SUBSTITUTE(StorytelA!G88,".",","))</f>
        <v>0</v>
      </c>
      <c r="O88" s="9" t="n">
        <f aca="false">VALUE(SUBSTITUTE(StorytelE!M88,".",","))</f>
        <v>0</v>
      </c>
      <c r="P88" s="9" t="n">
        <f aca="false">VALUE(SUBSTITUTE(StorytelA!M88,".",","))</f>
        <v>0</v>
      </c>
      <c r="Q88" s="29"/>
      <c r="R88" s="29" t="n">
        <f aca="false">VALUE(SUBSTITUTE(Woblink!H100,".",","))</f>
        <v>0</v>
      </c>
      <c r="S88" s="9" t="str">
        <f aca="false">SUBSTITUTE(AzymutB!D88,"-","")</f>
        <v/>
      </c>
      <c r="T88" s="9" t="n">
        <f aca="false">VALUE(SUBSTITUTE(AzymutB!O88,".",","))</f>
        <v>0</v>
      </c>
      <c r="U88" s="9" t="str">
        <f aca="false">SUBSTITUTE(Audioteka!Q90,"-","")</f>
        <v/>
      </c>
    </row>
    <row r="89" customFormat="false" ht="15.75" hidden="false" customHeight="false" outlineLevel="0" collapsed="false">
      <c r="A89" s="8" t="str">
        <f aca="false">SUBSTITUTE(Histmag!B89,"-","")</f>
        <v/>
      </c>
      <c r="B89" s="9" t="n">
        <f aca="false">VALUE(SUBSTITUTE(Histmag!D89,".",","))</f>
        <v>0</v>
      </c>
      <c r="C89" s="8" t="str">
        <f aca="false">SUBSTITUTE(Virtualo!G89,"-","")</f>
        <v/>
      </c>
      <c r="D89" s="8" t="str">
        <f aca="false">SUBSTITUTE(Empik!F89,"-","")</f>
        <v/>
      </c>
      <c r="E89" s="8" t="str">
        <f aca="false">SUBSTITUTE(Publio!H89,"-","")</f>
        <v/>
      </c>
      <c r="F89" s="8" t="n">
        <f aca="false">VALUE(SUBSTITUTE(Publio!Q89,".",","))</f>
        <v>0</v>
      </c>
      <c r="G89" s="8" t="str">
        <f aca="false">IFERROR(IF(SEARCH("-", Nexto!B70), SUBSTITUTE(Nexto!B70,"-","")), "")</f>
        <v/>
      </c>
      <c r="H89" s="8" t="n">
        <f aca="false">IFERROR(VALUE(SUBSTITUTE(Nexto!P74,".",",")),0)</f>
        <v>0</v>
      </c>
      <c r="I89" s="9" t="str">
        <f aca="false">SUBSTITUTE(Azymut!D89,"-","")</f>
        <v/>
      </c>
      <c r="J89" s="9" t="n">
        <f aca="false">VALUE(SUBSTITUTE(Azymut!O89,".",","))</f>
        <v>0</v>
      </c>
      <c r="K89" s="9" t="str">
        <f aca="false">SUBSTITUTE(Ebookpoint!E101,"-","")</f>
        <v/>
      </c>
      <c r="L89" s="9" t="str">
        <f aca="false">SUBSTITUTE(Nasbi!E101,"-","")</f>
        <v/>
      </c>
      <c r="M89" s="9" t="n">
        <f aca="false">VALUE(SUBSTITUTE(StorytelE!G89,".",","))</f>
        <v>0</v>
      </c>
      <c r="N89" s="9" t="n">
        <f aca="false">VALUE(SUBSTITUTE(StorytelA!G89,".",","))</f>
        <v>0</v>
      </c>
      <c r="O89" s="9" t="n">
        <f aca="false">VALUE(SUBSTITUTE(StorytelE!M89,".",","))</f>
        <v>0</v>
      </c>
      <c r="P89" s="9" t="n">
        <f aca="false">VALUE(SUBSTITUTE(StorytelA!M89,".",","))</f>
        <v>0</v>
      </c>
      <c r="Q89" s="29"/>
      <c r="R89" s="29" t="n">
        <f aca="false">VALUE(SUBSTITUTE(Woblink!H101,".",","))</f>
        <v>0</v>
      </c>
      <c r="S89" s="9" t="str">
        <f aca="false">SUBSTITUTE(AzymutB!D89,"-","")</f>
        <v/>
      </c>
      <c r="T89" s="9" t="n">
        <f aca="false">VALUE(SUBSTITUTE(AzymutB!O89,".",","))</f>
        <v>0</v>
      </c>
      <c r="U89" s="9" t="str">
        <f aca="false">SUBSTITUTE(Audioteka!Q91,"-","")</f>
        <v/>
      </c>
    </row>
    <row r="90" customFormat="false" ht="15.75" hidden="false" customHeight="false" outlineLevel="0" collapsed="false">
      <c r="A90" s="8" t="str">
        <f aca="false">SUBSTITUTE(Histmag!B90,"-","")</f>
        <v/>
      </c>
      <c r="B90" s="9" t="n">
        <f aca="false">VALUE(SUBSTITUTE(Histmag!D90,".",","))</f>
        <v>0</v>
      </c>
      <c r="C90" s="8" t="str">
        <f aca="false">SUBSTITUTE(Virtualo!G90,"-","")</f>
        <v/>
      </c>
      <c r="D90" s="8" t="str">
        <f aca="false">SUBSTITUTE(Empik!F90,"-","")</f>
        <v/>
      </c>
      <c r="E90" s="8" t="str">
        <f aca="false">SUBSTITUTE(Publio!H90,"-","")</f>
        <v/>
      </c>
      <c r="F90" s="8" t="n">
        <f aca="false">VALUE(SUBSTITUTE(Publio!Q90,".",","))</f>
        <v>0</v>
      </c>
      <c r="G90" s="8" t="str">
        <f aca="false">IFERROR(IF(SEARCH("-", Nexto!B71), SUBSTITUTE(Nexto!B71,"-","")), "")</f>
        <v/>
      </c>
      <c r="H90" s="8" t="n">
        <f aca="false">IFERROR(VALUE(SUBSTITUTE(Nexto!P75,".",",")),0)</f>
        <v>0</v>
      </c>
      <c r="I90" s="9" t="str">
        <f aca="false">SUBSTITUTE(Azymut!D90,"-","")</f>
        <v/>
      </c>
      <c r="J90" s="9" t="n">
        <f aca="false">VALUE(SUBSTITUTE(Azymut!O90,".",","))</f>
        <v>0</v>
      </c>
      <c r="K90" s="9" t="str">
        <f aca="false">SUBSTITUTE(Ebookpoint!E102,"-","")</f>
        <v/>
      </c>
      <c r="L90" s="9" t="str">
        <f aca="false">SUBSTITUTE(Nasbi!E102,"-","")</f>
        <v/>
      </c>
      <c r="M90" s="9" t="n">
        <f aca="false">VALUE(SUBSTITUTE(StorytelE!G90,".",","))</f>
        <v>0</v>
      </c>
      <c r="N90" s="9" t="n">
        <f aca="false">VALUE(SUBSTITUTE(StorytelA!G90,".",","))</f>
        <v>0</v>
      </c>
      <c r="O90" s="9" t="n">
        <f aca="false">VALUE(SUBSTITUTE(StorytelE!M90,".",","))</f>
        <v>0</v>
      </c>
      <c r="P90" s="9" t="n">
        <f aca="false">VALUE(SUBSTITUTE(StorytelA!M90,".",","))</f>
        <v>0</v>
      </c>
      <c r="Q90" s="29"/>
      <c r="R90" s="29" t="n">
        <f aca="false">VALUE(SUBSTITUTE(Woblink!H102,".",","))</f>
        <v>0</v>
      </c>
      <c r="S90" s="9" t="str">
        <f aca="false">SUBSTITUTE(AzymutB!D90,"-","")</f>
        <v/>
      </c>
      <c r="T90" s="9" t="n">
        <f aca="false">VALUE(SUBSTITUTE(AzymutB!O90,".",","))</f>
        <v>0</v>
      </c>
      <c r="U90" s="9" t="str">
        <f aca="false">SUBSTITUTE(Audioteka!Q92,"-","")</f>
        <v/>
      </c>
    </row>
    <row r="91" customFormat="false" ht="15.75" hidden="false" customHeight="false" outlineLevel="0" collapsed="false">
      <c r="A91" s="8" t="str">
        <f aca="false">SUBSTITUTE(Histmag!B91,"-","")</f>
        <v/>
      </c>
      <c r="B91" s="9" t="n">
        <f aca="false">VALUE(SUBSTITUTE(Histmag!D91,".",","))</f>
        <v>0</v>
      </c>
      <c r="C91" s="8" t="str">
        <f aca="false">SUBSTITUTE(Virtualo!G91,"-","")</f>
        <v/>
      </c>
      <c r="D91" s="8" t="str">
        <f aca="false">SUBSTITUTE(Empik!F91,"-","")</f>
        <v/>
      </c>
      <c r="E91" s="8" t="str">
        <f aca="false">SUBSTITUTE(Publio!H91,"-","")</f>
        <v/>
      </c>
      <c r="F91" s="8" t="n">
        <f aca="false">VALUE(SUBSTITUTE(Publio!Q91,".",","))</f>
        <v>0</v>
      </c>
      <c r="G91" s="8" t="str">
        <f aca="false">IFERROR(IF(SEARCH("-", Nexto!B72), SUBSTITUTE(Nexto!B72,"-","")), "")</f>
        <v/>
      </c>
      <c r="H91" s="8" t="n">
        <f aca="false">IFERROR(VALUE(SUBSTITUTE(Nexto!P76,".",",")),0)</f>
        <v>0</v>
      </c>
      <c r="I91" s="9" t="str">
        <f aca="false">SUBSTITUTE(Azymut!D91,"-","")</f>
        <v/>
      </c>
      <c r="J91" s="9" t="n">
        <f aca="false">VALUE(SUBSTITUTE(Azymut!O91,".",","))</f>
        <v>0</v>
      </c>
      <c r="K91" s="9" t="str">
        <f aca="false">SUBSTITUTE(Ebookpoint!E103,"-","")</f>
        <v/>
      </c>
      <c r="L91" s="9" t="str">
        <f aca="false">SUBSTITUTE(Nasbi!E103,"-","")</f>
        <v/>
      </c>
      <c r="M91" s="9" t="n">
        <f aca="false">VALUE(SUBSTITUTE(StorytelE!G91,".",","))</f>
        <v>0</v>
      </c>
      <c r="N91" s="9" t="n">
        <f aca="false">VALUE(SUBSTITUTE(StorytelA!G91,".",","))</f>
        <v>0</v>
      </c>
      <c r="O91" s="9" t="n">
        <f aca="false">VALUE(SUBSTITUTE(StorytelE!M91,".",","))</f>
        <v>0</v>
      </c>
      <c r="P91" s="9" t="n">
        <f aca="false">VALUE(SUBSTITUTE(StorytelA!M91,".",","))</f>
        <v>0</v>
      </c>
      <c r="Q91" s="29"/>
      <c r="R91" s="29" t="n">
        <f aca="false">VALUE(SUBSTITUTE(Woblink!H103,".",","))</f>
        <v>0</v>
      </c>
      <c r="S91" s="9" t="str">
        <f aca="false">SUBSTITUTE(AzymutB!D91,"-","")</f>
        <v/>
      </c>
      <c r="T91" s="9" t="n">
        <f aca="false">VALUE(SUBSTITUTE(AzymutB!O91,".",","))</f>
        <v>0</v>
      </c>
      <c r="U91" s="9" t="str">
        <f aca="false">SUBSTITUTE(Audioteka!Q93,"-","")</f>
        <v/>
      </c>
    </row>
    <row r="92" customFormat="false" ht="15.75" hidden="false" customHeight="false" outlineLevel="0" collapsed="false">
      <c r="A92" s="8" t="str">
        <f aca="false">SUBSTITUTE(Histmag!B92,"-","")</f>
        <v/>
      </c>
      <c r="B92" s="9" t="n">
        <f aca="false">VALUE(SUBSTITUTE(Histmag!D92,".",","))</f>
        <v>0</v>
      </c>
      <c r="C92" s="8" t="str">
        <f aca="false">SUBSTITUTE(Virtualo!G92,"-","")</f>
        <v/>
      </c>
      <c r="D92" s="8" t="str">
        <f aca="false">SUBSTITUTE(Empik!F92,"-","")</f>
        <v/>
      </c>
      <c r="E92" s="8" t="str">
        <f aca="false">SUBSTITUTE(Publio!H92,"-","")</f>
        <v/>
      </c>
      <c r="F92" s="8" t="n">
        <f aca="false">VALUE(SUBSTITUTE(Publio!Q92,".",","))</f>
        <v>0</v>
      </c>
      <c r="G92" s="8" t="str">
        <f aca="false">IFERROR(IF(SEARCH("-", Nexto!B73), SUBSTITUTE(Nexto!B73,"-","")), "")</f>
        <v/>
      </c>
      <c r="H92" s="8" t="n">
        <f aca="false">IFERROR(VALUE(SUBSTITUTE(Nexto!P77,".",",")),0)</f>
        <v>0</v>
      </c>
      <c r="I92" s="9" t="str">
        <f aca="false">SUBSTITUTE(Azymut!D92,"-","")</f>
        <v/>
      </c>
      <c r="J92" s="9" t="n">
        <f aca="false">VALUE(SUBSTITUTE(Azymut!O92,".",","))</f>
        <v>0</v>
      </c>
      <c r="K92" s="9" t="str">
        <f aca="false">SUBSTITUTE(Ebookpoint!E104,"-","")</f>
        <v/>
      </c>
      <c r="L92" s="9" t="str">
        <f aca="false">SUBSTITUTE(Nasbi!E104,"-","")</f>
        <v/>
      </c>
      <c r="M92" s="9" t="n">
        <f aca="false">VALUE(SUBSTITUTE(StorytelE!G92,".",","))</f>
        <v>0</v>
      </c>
      <c r="N92" s="9" t="n">
        <f aca="false">VALUE(SUBSTITUTE(StorytelA!G92,".",","))</f>
        <v>0</v>
      </c>
      <c r="O92" s="9" t="n">
        <f aca="false">VALUE(SUBSTITUTE(StorytelE!M92,".",","))</f>
        <v>0</v>
      </c>
      <c r="P92" s="9" t="n">
        <f aca="false">VALUE(SUBSTITUTE(StorytelA!M92,".",","))</f>
        <v>0</v>
      </c>
      <c r="Q92" s="29"/>
      <c r="R92" s="29" t="n">
        <f aca="false">VALUE(SUBSTITUTE(Woblink!H104,".",","))</f>
        <v>0</v>
      </c>
      <c r="S92" s="9" t="str">
        <f aca="false">SUBSTITUTE(AzymutB!D92,"-","")</f>
        <v/>
      </c>
      <c r="T92" s="9" t="n">
        <f aca="false">VALUE(SUBSTITUTE(AzymutB!O92,".",","))</f>
        <v>0</v>
      </c>
      <c r="U92" s="9" t="str">
        <f aca="false">SUBSTITUTE(Audioteka!Q94,"-","")</f>
        <v/>
      </c>
    </row>
    <row r="93" customFormat="false" ht="15.75" hidden="false" customHeight="false" outlineLevel="0" collapsed="false">
      <c r="A93" s="8" t="str">
        <f aca="false">SUBSTITUTE(Histmag!B93,"-","")</f>
        <v/>
      </c>
      <c r="B93" s="9" t="n">
        <f aca="false">VALUE(SUBSTITUTE(Histmag!D93,".",","))</f>
        <v>0</v>
      </c>
      <c r="C93" s="8" t="str">
        <f aca="false">SUBSTITUTE(Virtualo!G93,"-","")</f>
        <v/>
      </c>
      <c r="D93" s="8" t="str">
        <f aca="false">SUBSTITUTE(Empik!F93,"-","")</f>
        <v/>
      </c>
      <c r="E93" s="8" t="str">
        <f aca="false">SUBSTITUTE(Publio!H93,"-","")</f>
        <v/>
      </c>
      <c r="F93" s="8" t="n">
        <f aca="false">VALUE(SUBSTITUTE(Publio!Q93,".",","))</f>
        <v>0</v>
      </c>
      <c r="G93" s="8" t="str">
        <f aca="false">IFERROR(IF(SEARCH("-", Nexto!B74), SUBSTITUTE(Nexto!B74,"-","")), "")</f>
        <v/>
      </c>
      <c r="H93" s="8" t="n">
        <f aca="false">IFERROR(VALUE(SUBSTITUTE(Nexto!P78,".",",")),0)</f>
        <v>0</v>
      </c>
      <c r="I93" s="9" t="str">
        <f aca="false">SUBSTITUTE(Azymut!D93,"-","")</f>
        <v/>
      </c>
      <c r="J93" s="9" t="n">
        <f aca="false">VALUE(SUBSTITUTE(Azymut!O93,".",","))</f>
        <v>0</v>
      </c>
      <c r="K93" s="9" t="str">
        <f aca="false">SUBSTITUTE(Ebookpoint!E105,"-","")</f>
        <v/>
      </c>
      <c r="L93" s="9" t="str">
        <f aca="false">SUBSTITUTE(Nasbi!E105,"-","")</f>
        <v/>
      </c>
      <c r="M93" s="9" t="n">
        <f aca="false">VALUE(SUBSTITUTE(StorytelE!G93,".",","))</f>
        <v>0</v>
      </c>
      <c r="N93" s="9" t="n">
        <f aca="false">VALUE(SUBSTITUTE(StorytelA!G93,".",","))</f>
        <v>0</v>
      </c>
      <c r="O93" s="9" t="n">
        <f aca="false">VALUE(SUBSTITUTE(StorytelE!M93,".",","))</f>
        <v>0</v>
      </c>
      <c r="P93" s="9" t="n">
        <f aca="false">VALUE(SUBSTITUTE(StorytelA!M93,".",","))</f>
        <v>0</v>
      </c>
      <c r="Q93" s="29"/>
      <c r="R93" s="29" t="n">
        <f aca="false">VALUE(SUBSTITUTE(Woblink!H105,".",","))</f>
        <v>0</v>
      </c>
      <c r="S93" s="9" t="str">
        <f aca="false">SUBSTITUTE(AzymutB!D93,"-","")</f>
        <v/>
      </c>
      <c r="T93" s="9" t="n">
        <f aca="false">VALUE(SUBSTITUTE(AzymutB!O93,".",","))</f>
        <v>0</v>
      </c>
      <c r="U93" s="9" t="str">
        <f aca="false">SUBSTITUTE(Audioteka!Q95,"-","")</f>
        <v/>
      </c>
    </row>
    <row r="94" customFormat="false" ht="15.75" hidden="false" customHeight="false" outlineLevel="0" collapsed="false">
      <c r="A94" s="8" t="str">
        <f aca="false">SUBSTITUTE(Histmag!B94,"-","")</f>
        <v/>
      </c>
      <c r="B94" s="9" t="n">
        <f aca="false">VALUE(SUBSTITUTE(Histmag!D94,".",","))</f>
        <v>0</v>
      </c>
      <c r="C94" s="8" t="str">
        <f aca="false">SUBSTITUTE(Virtualo!G94,"-","")</f>
        <v/>
      </c>
      <c r="D94" s="8" t="str">
        <f aca="false">SUBSTITUTE(Empik!F94,"-","")</f>
        <v/>
      </c>
      <c r="E94" s="8" t="str">
        <f aca="false">SUBSTITUTE(Publio!H94,"-","")</f>
        <v/>
      </c>
      <c r="F94" s="8" t="n">
        <f aca="false">VALUE(SUBSTITUTE(Publio!Q94,".",","))</f>
        <v>0</v>
      </c>
      <c r="G94" s="8" t="str">
        <f aca="false">IFERROR(IF(SEARCH("-", Nexto!B75), SUBSTITUTE(Nexto!B75,"-","")), "")</f>
        <v/>
      </c>
      <c r="H94" s="8" t="n">
        <f aca="false">IFERROR(VALUE(SUBSTITUTE(Nexto!P79,".",",")),0)</f>
        <v>0</v>
      </c>
      <c r="I94" s="9" t="str">
        <f aca="false">SUBSTITUTE(Azymut!D94,"-","")</f>
        <v/>
      </c>
      <c r="J94" s="9" t="n">
        <f aca="false">VALUE(SUBSTITUTE(Azymut!O94,".",","))</f>
        <v>0</v>
      </c>
      <c r="K94" s="9" t="str">
        <f aca="false">SUBSTITUTE(Ebookpoint!E106,"-","")</f>
        <v/>
      </c>
      <c r="L94" s="9" t="str">
        <f aca="false">SUBSTITUTE(Nasbi!E106,"-","")</f>
        <v/>
      </c>
      <c r="M94" s="9" t="n">
        <f aca="false">VALUE(SUBSTITUTE(StorytelE!G94,".",","))</f>
        <v>0</v>
      </c>
      <c r="N94" s="9" t="n">
        <f aca="false">VALUE(SUBSTITUTE(StorytelA!G94,".",","))</f>
        <v>0</v>
      </c>
      <c r="O94" s="9" t="n">
        <f aca="false">VALUE(SUBSTITUTE(StorytelE!M94,".",","))</f>
        <v>0</v>
      </c>
      <c r="P94" s="9" t="n">
        <f aca="false">VALUE(SUBSTITUTE(StorytelA!M94,".",","))</f>
        <v>0</v>
      </c>
      <c r="Q94" s="29"/>
      <c r="R94" s="29" t="n">
        <f aca="false">VALUE(SUBSTITUTE(Woblink!H106,".",","))</f>
        <v>0</v>
      </c>
      <c r="S94" s="9" t="str">
        <f aca="false">SUBSTITUTE(AzymutB!D94,"-","")</f>
        <v/>
      </c>
      <c r="T94" s="9" t="n">
        <f aca="false">VALUE(SUBSTITUTE(AzymutB!O94,".",","))</f>
        <v>0</v>
      </c>
      <c r="U94" s="9" t="str">
        <f aca="false">SUBSTITUTE(Audioteka!Q96,"-","")</f>
        <v/>
      </c>
    </row>
    <row r="95" customFormat="false" ht="15.75" hidden="false" customHeight="false" outlineLevel="0" collapsed="false">
      <c r="A95" s="8" t="str">
        <f aca="false">SUBSTITUTE(Histmag!B95,"-","")</f>
        <v/>
      </c>
      <c r="B95" s="9" t="n">
        <f aca="false">VALUE(SUBSTITUTE(Histmag!D95,".",","))</f>
        <v>0</v>
      </c>
      <c r="C95" s="8" t="str">
        <f aca="false">SUBSTITUTE(Virtualo!G95,"-","")</f>
        <v/>
      </c>
      <c r="D95" s="8" t="str">
        <f aca="false">SUBSTITUTE(Empik!F95,"-","")</f>
        <v/>
      </c>
      <c r="E95" s="8" t="str">
        <f aca="false">SUBSTITUTE(Publio!H95,"-","")</f>
        <v/>
      </c>
      <c r="F95" s="8" t="n">
        <f aca="false">VALUE(SUBSTITUTE(Publio!Q95,".",","))</f>
        <v>0</v>
      </c>
      <c r="G95" s="8" t="str">
        <f aca="false">IFERROR(IF(SEARCH("-", Nexto!B76), SUBSTITUTE(Nexto!B76,"-","")), "")</f>
        <v/>
      </c>
      <c r="H95" s="8" t="n">
        <f aca="false">IFERROR(VALUE(SUBSTITUTE(Nexto!P80,".",",")),0)</f>
        <v>0</v>
      </c>
      <c r="I95" s="9" t="str">
        <f aca="false">SUBSTITUTE(Azymut!D95,"-","")</f>
        <v/>
      </c>
      <c r="J95" s="9" t="n">
        <f aca="false">VALUE(SUBSTITUTE(Azymut!O95,".",","))</f>
        <v>0</v>
      </c>
      <c r="K95" s="9" t="str">
        <f aca="false">SUBSTITUTE(Ebookpoint!E107,"-","")</f>
        <v/>
      </c>
      <c r="L95" s="9" t="str">
        <f aca="false">SUBSTITUTE(Nasbi!E107,"-","")</f>
        <v/>
      </c>
      <c r="M95" s="9" t="n">
        <f aca="false">VALUE(SUBSTITUTE(StorytelE!G95,".",","))</f>
        <v>0</v>
      </c>
      <c r="N95" s="9" t="n">
        <f aca="false">VALUE(SUBSTITUTE(StorytelA!G95,".",","))</f>
        <v>0</v>
      </c>
      <c r="O95" s="9" t="n">
        <f aca="false">VALUE(SUBSTITUTE(StorytelE!M95,".",","))</f>
        <v>0</v>
      </c>
      <c r="P95" s="9" t="n">
        <f aca="false">VALUE(SUBSTITUTE(StorytelA!M95,".",","))</f>
        <v>0</v>
      </c>
      <c r="Q95" s="29"/>
      <c r="R95" s="29" t="n">
        <f aca="false">VALUE(SUBSTITUTE(Woblink!H107,".",","))</f>
        <v>0</v>
      </c>
      <c r="S95" s="9" t="str">
        <f aca="false">SUBSTITUTE(AzymutB!D95,"-","")</f>
        <v/>
      </c>
      <c r="T95" s="9" t="n">
        <f aca="false">VALUE(SUBSTITUTE(AzymutB!O95,".",","))</f>
        <v>0</v>
      </c>
      <c r="U95" s="9" t="str">
        <f aca="false">SUBSTITUTE(Audioteka!Q97,"-","")</f>
        <v/>
      </c>
    </row>
    <row r="96" customFormat="false" ht="15.75" hidden="false" customHeight="false" outlineLevel="0" collapsed="false">
      <c r="A96" s="8" t="str">
        <f aca="false">SUBSTITUTE(Histmag!B96,"-","")</f>
        <v/>
      </c>
      <c r="B96" s="9" t="n">
        <f aca="false">VALUE(SUBSTITUTE(Histmag!D96,".",","))</f>
        <v>0</v>
      </c>
      <c r="C96" s="8" t="str">
        <f aca="false">SUBSTITUTE(Virtualo!G96,"-","")</f>
        <v/>
      </c>
      <c r="D96" s="8" t="str">
        <f aca="false">SUBSTITUTE(Empik!F96,"-","")</f>
        <v/>
      </c>
      <c r="E96" s="8" t="str">
        <f aca="false">SUBSTITUTE(Publio!H96,"-","")</f>
        <v/>
      </c>
      <c r="F96" s="8" t="n">
        <f aca="false">VALUE(SUBSTITUTE(Publio!Q96,".",","))</f>
        <v>0</v>
      </c>
      <c r="G96" s="8" t="str">
        <f aca="false">IFERROR(IF(SEARCH("-", Nexto!B77), SUBSTITUTE(Nexto!B77,"-","")), "")</f>
        <v/>
      </c>
      <c r="H96" s="8" t="n">
        <f aca="false">IFERROR(VALUE(SUBSTITUTE(Nexto!P81,".",",")),0)</f>
        <v>0</v>
      </c>
      <c r="I96" s="9" t="str">
        <f aca="false">SUBSTITUTE(Azymut!D96,"-","")</f>
        <v/>
      </c>
      <c r="J96" s="9" t="n">
        <f aca="false">VALUE(SUBSTITUTE(Azymut!O96,".",","))</f>
        <v>0</v>
      </c>
      <c r="K96" s="9" t="str">
        <f aca="false">SUBSTITUTE(Ebookpoint!E108,"-","")</f>
        <v/>
      </c>
      <c r="L96" s="9" t="str">
        <f aca="false">SUBSTITUTE(Nasbi!E108,"-","")</f>
        <v/>
      </c>
      <c r="M96" s="9" t="n">
        <f aca="false">VALUE(SUBSTITUTE(StorytelE!G96,".",","))</f>
        <v>0</v>
      </c>
      <c r="N96" s="9" t="n">
        <f aca="false">VALUE(SUBSTITUTE(StorytelA!G96,".",","))</f>
        <v>0</v>
      </c>
      <c r="O96" s="9" t="n">
        <f aca="false">VALUE(SUBSTITUTE(StorytelE!M96,".",","))</f>
        <v>0</v>
      </c>
      <c r="P96" s="9" t="n">
        <f aca="false">VALUE(SUBSTITUTE(StorytelA!M96,".",","))</f>
        <v>0</v>
      </c>
      <c r="Q96" s="29"/>
      <c r="R96" s="29" t="n">
        <f aca="false">VALUE(SUBSTITUTE(Woblink!H108,".",","))</f>
        <v>0</v>
      </c>
      <c r="S96" s="9" t="str">
        <f aca="false">SUBSTITUTE(AzymutB!D96,"-","")</f>
        <v/>
      </c>
      <c r="T96" s="9" t="n">
        <f aca="false">VALUE(SUBSTITUTE(AzymutB!O96,".",","))</f>
        <v>0</v>
      </c>
      <c r="U96" s="9" t="str">
        <f aca="false">SUBSTITUTE(Audioteka!Q98,"-","")</f>
        <v/>
      </c>
    </row>
    <row r="97" customFormat="false" ht="15.75" hidden="false" customHeight="false" outlineLevel="0" collapsed="false">
      <c r="A97" s="8" t="str">
        <f aca="false">SUBSTITUTE(Histmag!B97,"-","")</f>
        <v/>
      </c>
      <c r="B97" s="9" t="n">
        <f aca="false">VALUE(SUBSTITUTE(Histmag!D97,".",","))</f>
        <v>0</v>
      </c>
      <c r="C97" s="8" t="str">
        <f aca="false">SUBSTITUTE(Virtualo!G97,"-","")</f>
        <v/>
      </c>
      <c r="D97" s="8" t="str">
        <f aca="false">SUBSTITUTE(Empik!F97,"-","")</f>
        <v/>
      </c>
      <c r="E97" s="8" t="str">
        <f aca="false">SUBSTITUTE(Publio!H97,"-","")</f>
        <v/>
      </c>
      <c r="F97" s="8" t="n">
        <f aca="false">VALUE(SUBSTITUTE(Publio!Q97,".",","))</f>
        <v>0</v>
      </c>
      <c r="G97" s="8" t="str">
        <f aca="false">IFERROR(IF(SEARCH("-", Nexto!B78), SUBSTITUTE(Nexto!B78,"-","")), "")</f>
        <v/>
      </c>
      <c r="H97" s="8" t="n">
        <f aca="false">IFERROR(VALUE(SUBSTITUTE(Nexto!P82,".",",")),0)</f>
        <v>0</v>
      </c>
      <c r="I97" s="9" t="str">
        <f aca="false">SUBSTITUTE(Azymut!D97,"-","")</f>
        <v/>
      </c>
      <c r="J97" s="9" t="n">
        <f aca="false">VALUE(SUBSTITUTE(Azymut!O97,".",","))</f>
        <v>0</v>
      </c>
      <c r="K97" s="9" t="str">
        <f aca="false">SUBSTITUTE(Ebookpoint!E109,"-","")</f>
        <v/>
      </c>
      <c r="L97" s="9" t="str">
        <f aca="false">SUBSTITUTE(Nasbi!E109,"-","")</f>
        <v/>
      </c>
      <c r="M97" s="9" t="n">
        <f aca="false">VALUE(SUBSTITUTE(StorytelE!G97,".",","))</f>
        <v>0</v>
      </c>
      <c r="N97" s="9" t="n">
        <f aca="false">VALUE(SUBSTITUTE(StorytelA!G97,".",","))</f>
        <v>0</v>
      </c>
      <c r="O97" s="9" t="n">
        <f aca="false">VALUE(SUBSTITUTE(StorytelE!M97,".",","))</f>
        <v>0</v>
      </c>
      <c r="P97" s="9" t="n">
        <f aca="false">VALUE(SUBSTITUTE(StorytelA!M97,".",","))</f>
        <v>0</v>
      </c>
      <c r="Q97" s="29"/>
      <c r="R97" s="29" t="n">
        <f aca="false">VALUE(SUBSTITUTE(Woblink!H109,".",","))</f>
        <v>0</v>
      </c>
      <c r="S97" s="9" t="str">
        <f aca="false">SUBSTITUTE(AzymutB!D97,"-","")</f>
        <v/>
      </c>
      <c r="T97" s="9" t="n">
        <f aca="false">VALUE(SUBSTITUTE(AzymutB!O97,".",","))</f>
        <v>0</v>
      </c>
      <c r="U97" s="9" t="str">
        <f aca="false">SUBSTITUTE(Audioteka!Q99,"-","")</f>
        <v/>
      </c>
    </row>
    <row r="98" customFormat="false" ht="15.75" hidden="false" customHeight="false" outlineLevel="0" collapsed="false">
      <c r="A98" s="8" t="str">
        <f aca="false">SUBSTITUTE(Histmag!B98,"-","")</f>
        <v/>
      </c>
      <c r="B98" s="9" t="n">
        <f aca="false">VALUE(SUBSTITUTE(Histmag!D98,".",","))</f>
        <v>0</v>
      </c>
      <c r="C98" s="8" t="str">
        <f aca="false">SUBSTITUTE(Virtualo!G98,"-","")</f>
        <v/>
      </c>
      <c r="D98" s="8" t="str">
        <f aca="false">SUBSTITUTE(Empik!F98,"-","")</f>
        <v/>
      </c>
      <c r="E98" s="8" t="str">
        <f aca="false">SUBSTITUTE(Publio!H98,"-","")</f>
        <v/>
      </c>
      <c r="F98" s="8" t="n">
        <f aca="false">VALUE(SUBSTITUTE(Publio!Q98,".",","))</f>
        <v>0</v>
      </c>
      <c r="G98" s="8" t="str">
        <f aca="false">IFERROR(IF(SEARCH("-", Nexto!B79), SUBSTITUTE(Nexto!B79,"-","")), "")</f>
        <v/>
      </c>
      <c r="H98" s="8" t="n">
        <f aca="false">IFERROR(VALUE(SUBSTITUTE(Nexto!P83,".",",")),0)</f>
        <v>0</v>
      </c>
      <c r="I98" s="9" t="str">
        <f aca="false">SUBSTITUTE(Azymut!D98,"-","")</f>
        <v/>
      </c>
      <c r="J98" s="9" t="n">
        <f aca="false">VALUE(SUBSTITUTE(Azymut!O98,".",","))</f>
        <v>0</v>
      </c>
      <c r="K98" s="9" t="str">
        <f aca="false">SUBSTITUTE(Ebookpoint!E110,"-","")</f>
        <v/>
      </c>
      <c r="L98" s="9" t="str">
        <f aca="false">SUBSTITUTE(Nasbi!E110,"-","")</f>
        <v/>
      </c>
      <c r="M98" s="9" t="n">
        <f aca="false">VALUE(SUBSTITUTE(StorytelE!G98,".",","))</f>
        <v>0</v>
      </c>
      <c r="N98" s="9" t="n">
        <f aca="false">VALUE(SUBSTITUTE(StorytelA!G98,".",","))</f>
        <v>0</v>
      </c>
      <c r="O98" s="9" t="n">
        <f aca="false">VALUE(SUBSTITUTE(StorytelE!M98,".",","))</f>
        <v>0</v>
      </c>
      <c r="P98" s="9" t="n">
        <f aca="false">VALUE(SUBSTITUTE(StorytelA!M98,".",","))</f>
        <v>0</v>
      </c>
      <c r="Q98" s="29"/>
      <c r="R98" s="29" t="n">
        <f aca="false">VALUE(SUBSTITUTE(Woblink!H110,".",","))</f>
        <v>0</v>
      </c>
      <c r="S98" s="9" t="str">
        <f aca="false">SUBSTITUTE(AzymutB!D98,"-","")</f>
        <v/>
      </c>
      <c r="T98" s="9" t="n">
        <f aca="false">VALUE(SUBSTITUTE(AzymutB!O98,".",","))</f>
        <v>0</v>
      </c>
      <c r="U98" s="9" t="str">
        <f aca="false">SUBSTITUTE(Audioteka!Q100,"-","")</f>
        <v/>
      </c>
    </row>
    <row r="99" customFormat="false" ht="15.75" hidden="false" customHeight="false" outlineLevel="0" collapsed="false">
      <c r="A99" s="8" t="str">
        <f aca="false">SUBSTITUTE(Histmag!B99,"-","")</f>
        <v/>
      </c>
      <c r="B99" s="9" t="n">
        <f aca="false">VALUE(SUBSTITUTE(Histmag!D99,".",","))</f>
        <v>0</v>
      </c>
      <c r="C99" s="8" t="str">
        <f aca="false">SUBSTITUTE(Virtualo!G99,"-","")</f>
        <v/>
      </c>
      <c r="D99" s="8" t="str">
        <f aca="false">SUBSTITUTE(Empik!F99,"-","")</f>
        <v/>
      </c>
      <c r="E99" s="8" t="str">
        <f aca="false">SUBSTITUTE(Publio!H99,"-","")</f>
        <v/>
      </c>
      <c r="F99" s="8" t="n">
        <f aca="false">VALUE(SUBSTITUTE(Publio!Q99,".",","))</f>
        <v>0</v>
      </c>
      <c r="G99" s="8" t="str">
        <f aca="false">IFERROR(IF(SEARCH("-", Nexto!B80), SUBSTITUTE(Nexto!B80,"-","")), "")</f>
        <v/>
      </c>
      <c r="H99" s="8" t="n">
        <f aca="false">IFERROR(VALUE(SUBSTITUTE(Nexto!P84,".",",")),0)</f>
        <v>0</v>
      </c>
      <c r="I99" s="9" t="str">
        <f aca="false">SUBSTITUTE(Azymut!D99,"-","")</f>
        <v/>
      </c>
      <c r="J99" s="9" t="n">
        <f aca="false">VALUE(SUBSTITUTE(Azymut!O99,".",","))</f>
        <v>0</v>
      </c>
      <c r="K99" s="9" t="str">
        <f aca="false">SUBSTITUTE(Ebookpoint!E111,"-","")</f>
        <v/>
      </c>
      <c r="L99" s="9" t="str">
        <f aca="false">SUBSTITUTE(Nasbi!E111,"-","")</f>
        <v/>
      </c>
      <c r="M99" s="9" t="n">
        <f aca="false">VALUE(SUBSTITUTE(StorytelE!G99,".",","))</f>
        <v>0</v>
      </c>
      <c r="N99" s="9" t="n">
        <f aca="false">VALUE(SUBSTITUTE(StorytelA!G99,".",","))</f>
        <v>0</v>
      </c>
      <c r="O99" s="9" t="n">
        <f aca="false">VALUE(SUBSTITUTE(StorytelE!M99,".",","))</f>
        <v>0</v>
      </c>
      <c r="P99" s="9" t="n">
        <f aca="false">VALUE(SUBSTITUTE(StorytelA!M99,".",","))</f>
        <v>0</v>
      </c>
      <c r="Q99" s="29"/>
      <c r="R99" s="29" t="n">
        <f aca="false">VALUE(SUBSTITUTE(Woblink!H111,".",","))</f>
        <v>0</v>
      </c>
      <c r="S99" s="9" t="str">
        <f aca="false">SUBSTITUTE(AzymutB!D99,"-","")</f>
        <v/>
      </c>
      <c r="T99" s="9" t="n">
        <f aca="false">VALUE(SUBSTITUTE(AzymutB!O99,".",","))</f>
        <v>0</v>
      </c>
      <c r="U99" s="9" t="str">
        <f aca="false">SUBSTITUTE(Audioteka!Q101,"-","")</f>
        <v/>
      </c>
    </row>
    <row r="100" customFormat="false" ht="15.75" hidden="false" customHeight="false" outlineLevel="0" collapsed="false">
      <c r="A100" s="8" t="str">
        <f aca="false">SUBSTITUTE(Histmag!B100,"-","")</f>
        <v/>
      </c>
      <c r="B100" s="9" t="n">
        <f aca="false">VALUE(SUBSTITUTE(Histmag!D100,".",","))</f>
        <v>0</v>
      </c>
      <c r="C100" s="8" t="str">
        <f aca="false">SUBSTITUTE(Virtualo!G100,"-","")</f>
        <v/>
      </c>
      <c r="D100" s="8" t="str">
        <f aca="false">SUBSTITUTE(Empik!F100,"-","")</f>
        <v/>
      </c>
      <c r="E100" s="8" t="str">
        <f aca="false">SUBSTITUTE(Publio!H100,"-","")</f>
        <v/>
      </c>
      <c r="F100" s="8" t="n">
        <f aca="false">VALUE(SUBSTITUTE(Publio!Q100,".",","))</f>
        <v>0</v>
      </c>
      <c r="G100" s="8" t="str">
        <f aca="false">IFERROR(IF(SEARCH("-", Nexto!B81), SUBSTITUTE(Nexto!B81,"-","")), "")</f>
        <v/>
      </c>
      <c r="H100" s="8" t="n">
        <f aca="false">IFERROR(VALUE(SUBSTITUTE(Nexto!P85,".",",")),0)</f>
        <v>0</v>
      </c>
      <c r="I100" s="9" t="str">
        <f aca="false">SUBSTITUTE(Azymut!D100,"-","")</f>
        <v/>
      </c>
      <c r="J100" s="9" t="n">
        <f aca="false">VALUE(SUBSTITUTE(Azymut!O100,".",","))</f>
        <v>0</v>
      </c>
      <c r="K100" s="9" t="str">
        <f aca="false">SUBSTITUTE(Ebookpoint!E112,"-","")</f>
        <v/>
      </c>
      <c r="L100" s="9" t="str">
        <f aca="false">SUBSTITUTE(Nasbi!E112,"-","")</f>
        <v/>
      </c>
      <c r="M100" s="9" t="n">
        <f aca="false">VALUE(SUBSTITUTE(StorytelE!G100,".",","))</f>
        <v>0</v>
      </c>
      <c r="N100" s="9" t="n">
        <f aca="false">VALUE(SUBSTITUTE(StorytelA!G100,".",","))</f>
        <v>0</v>
      </c>
      <c r="O100" s="9" t="n">
        <f aca="false">VALUE(SUBSTITUTE(StorytelE!M100,".",","))</f>
        <v>0</v>
      </c>
      <c r="P100" s="9" t="n">
        <f aca="false">VALUE(SUBSTITUTE(StorytelA!M100,".",","))</f>
        <v>0</v>
      </c>
      <c r="Q100" s="29"/>
      <c r="R100" s="29" t="n">
        <f aca="false">VALUE(SUBSTITUTE(Woblink!H112,".",","))</f>
        <v>0</v>
      </c>
      <c r="S100" s="9" t="str">
        <f aca="false">SUBSTITUTE(AzymutB!D100,"-","")</f>
        <v/>
      </c>
      <c r="T100" s="9" t="n">
        <f aca="false">VALUE(SUBSTITUTE(AzymutB!O100,".",","))</f>
        <v>0</v>
      </c>
      <c r="U100" s="9" t="str">
        <f aca="false">SUBSTITUTE(Audioteka!Q102,"-","")</f>
        <v/>
      </c>
    </row>
    <row r="101" customFormat="false" ht="15.75" hidden="false" customHeight="false" outlineLevel="0" collapsed="false">
      <c r="A101" s="8" t="str">
        <f aca="false">SUBSTITUTE(Histmag!B101,"-","")</f>
        <v/>
      </c>
      <c r="B101" s="9" t="n">
        <f aca="false">VALUE(SUBSTITUTE(Histmag!D101,".",","))</f>
        <v>0</v>
      </c>
      <c r="C101" s="8" t="str">
        <f aca="false">SUBSTITUTE(Virtualo!G101,"-","")</f>
        <v/>
      </c>
      <c r="D101" s="8" t="str">
        <f aca="false">SUBSTITUTE(Empik!F101,"-","")</f>
        <v/>
      </c>
      <c r="E101" s="8" t="str">
        <f aca="false">SUBSTITUTE(Publio!H101,"-","")</f>
        <v/>
      </c>
      <c r="F101" s="8" t="n">
        <f aca="false">VALUE(SUBSTITUTE(Publio!Q101,".",","))</f>
        <v>0</v>
      </c>
      <c r="G101" s="8" t="str">
        <f aca="false">IFERROR(IF(SEARCH("-", Nexto!B82), SUBSTITUTE(Nexto!B82,"-","")), "")</f>
        <v/>
      </c>
      <c r="H101" s="8" t="n">
        <f aca="false">IFERROR(VALUE(SUBSTITUTE(Nexto!P86,".",",")),0)</f>
        <v>0</v>
      </c>
      <c r="I101" s="9" t="str">
        <f aca="false">SUBSTITUTE(Azymut!D101,"-","")</f>
        <v/>
      </c>
      <c r="J101" s="9" t="n">
        <f aca="false">VALUE(SUBSTITUTE(Azymut!O101,".",","))</f>
        <v>0</v>
      </c>
      <c r="K101" s="9" t="str">
        <f aca="false">SUBSTITUTE(Ebookpoint!E113,"-","")</f>
        <v/>
      </c>
      <c r="L101" s="9" t="str">
        <f aca="false">SUBSTITUTE(Nasbi!E113,"-","")</f>
        <v/>
      </c>
      <c r="M101" s="9" t="n">
        <f aca="false">VALUE(SUBSTITUTE(StorytelE!G101,".",","))</f>
        <v>0</v>
      </c>
      <c r="N101" s="9" t="n">
        <f aca="false">VALUE(SUBSTITUTE(StorytelA!G101,".",","))</f>
        <v>0</v>
      </c>
      <c r="O101" s="9" t="n">
        <f aca="false">VALUE(SUBSTITUTE(StorytelE!M101,".",","))</f>
        <v>0</v>
      </c>
      <c r="P101" s="9" t="n">
        <f aca="false">VALUE(SUBSTITUTE(StorytelA!M101,".",","))</f>
        <v>0</v>
      </c>
      <c r="Q101" s="29"/>
      <c r="R101" s="29" t="n">
        <f aca="false">VALUE(SUBSTITUTE(Woblink!H113,".",","))</f>
        <v>0</v>
      </c>
      <c r="S101" s="9" t="str">
        <f aca="false">SUBSTITUTE(AzymutB!D101,"-","")</f>
        <v/>
      </c>
      <c r="T101" s="9" t="n">
        <f aca="false">VALUE(SUBSTITUTE(AzymutB!O101,".",","))</f>
        <v>0</v>
      </c>
      <c r="U101" s="9" t="str">
        <f aca="false">SUBSTITUTE(Audioteka!Q103,"-","")</f>
        <v/>
      </c>
    </row>
    <row r="102" customFormat="false" ht="15.75" hidden="false" customHeight="false" outlineLevel="0" collapsed="false">
      <c r="A102" s="8" t="str">
        <f aca="false">SUBSTITUTE(Histmag!B102,"-","")</f>
        <v/>
      </c>
      <c r="B102" s="9" t="n">
        <f aca="false">VALUE(SUBSTITUTE(Histmag!D102,".",","))</f>
        <v>0</v>
      </c>
      <c r="C102" s="8" t="str">
        <f aca="false">SUBSTITUTE(Virtualo!G102,"-","")</f>
        <v/>
      </c>
      <c r="D102" s="8" t="str">
        <f aca="false">SUBSTITUTE(Empik!F102,"-","")</f>
        <v/>
      </c>
      <c r="E102" s="8" t="str">
        <f aca="false">SUBSTITUTE(Publio!H102,"-","")</f>
        <v/>
      </c>
      <c r="F102" s="8" t="n">
        <f aca="false">VALUE(SUBSTITUTE(Publio!Q102,".",","))</f>
        <v>0</v>
      </c>
      <c r="G102" s="8" t="str">
        <f aca="false">IFERROR(IF(SEARCH("-", Nexto!B83), SUBSTITUTE(Nexto!B83,"-","")), "")</f>
        <v/>
      </c>
      <c r="H102" s="8" t="n">
        <f aca="false">IFERROR(VALUE(SUBSTITUTE(Nexto!P87,".",",")),0)</f>
        <v>0</v>
      </c>
      <c r="I102" s="9" t="str">
        <f aca="false">SUBSTITUTE(Azymut!D102,"-","")</f>
        <v/>
      </c>
      <c r="J102" s="9" t="n">
        <f aca="false">VALUE(SUBSTITUTE(Azymut!O102,".",","))</f>
        <v>0</v>
      </c>
      <c r="K102" s="9" t="str">
        <f aca="false">SUBSTITUTE(Ebookpoint!E114,"-","")</f>
        <v/>
      </c>
      <c r="L102" s="9" t="str">
        <f aca="false">SUBSTITUTE(Nasbi!E114,"-","")</f>
        <v/>
      </c>
      <c r="M102" s="9" t="n">
        <f aca="false">VALUE(SUBSTITUTE(StorytelE!G102,".",","))</f>
        <v>0</v>
      </c>
      <c r="N102" s="9" t="n">
        <f aca="false">VALUE(SUBSTITUTE(StorytelA!G102,".",","))</f>
        <v>0</v>
      </c>
      <c r="O102" s="9" t="n">
        <f aca="false">VALUE(SUBSTITUTE(StorytelE!M102,".",","))</f>
        <v>0</v>
      </c>
      <c r="P102" s="9" t="n">
        <f aca="false">VALUE(SUBSTITUTE(StorytelA!M102,".",","))</f>
        <v>0</v>
      </c>
      <c r="Q102" s="29"/>
      <c r="R102" s="29" t="n">
        <f aca="false">VALUE(SUBSTITUTE(Woblink!H114,".",","))</f>
        <v>0</v>
      </c>
      <c r="S102" s="9" t="str">
        <f aca="false">SUBSTITUTE(AzymutB!D102,"-","")</f>
        <v/>
      </c>
      <c r="T102" s="9" t="n">
        <f aca="false">VALUE(SUBSTITUTE(AzymutB!O102,".",","))</f>
        <v>0</v>
      </c>
      <c r="U102" s="9" t="str">
        <f aca="false">SUBSTITUTE(Audioteka!Q104,"-","")</f>
        <v/>
      </c>
    </row>
    <row r="103" customFormat="false" ht="15.75" hidden="false" customHeight="false" outlineLevel="0" collapsed="false">
      <c r="A103" s="8" t="str">
        <f aca="false">SUBSTITUTE(Histmag!B103,"-","")</f>
        <v/>
      </c>
      <c r="B103" s="9" t="n">
        <f aca="false">VALUE(SUBSTITUTE(Histmag!D103,".",","))</f>
        <v>0</v>
      </c>
      <c r="C103" s="8" t="str">
        <f aca="false">SUBSTITUTE(Virtualo!G103,"-","")</f>
        <v/>
      </c>
      <c r="D103" s="8" t="str">
        <f aca="false">SUBSTITUTE(Empik!F103,"-","")</f>
        <v/>
      </c>
      <c r="E103" s="8" t="str">
        <f aca="false">SUBSTITUTE(Publio!H103,"-","")</f>
        <v/>
      </c>
      <c r="F103" s="8" t="n">
        <f aca="false">VALUE(SUBSTITUTE(Publio!Q103,".",","))</f>
        <v>0</v>
      </c>
      <c r="G103" s="8" t="str">
        <f aca="false">IFERROR(IF(SEARCH("-", Nexto!B84), SUBSTITUTE(Nexto!B84,"-","")), "")</f>
        <v/>
      </c>
      <c r="H103" s="8" t="n">
        <f aca="false">IFERROR(VALUE(SUBSTITUTE(Nexto!P88,".",",")),0)</f>
        <v>0</v>
      </c>
      <c r="I103" s="9" t="str">
        <f aca="false">SUBSTITUTE(Azymut!D103,"-","")</f>
        <v/>
      </c>
      <c r="J103" s="9" t="n">
        <f aca="false">VALUE(SUBSTITUTE(Azymut!O103,".",","))</f>
        <v>0</v>
      </c>
      <c r="K103" s="9" t="str">
        <f aca="false">SUBSTITUTE(Ebookpoint!E115,"-","")</f>
        <v/>
      </c>
      <c r="L103" s="9" t="str">
        <f aca="false">SUBSTITUTE(Nasbi!E115,"-","")</f>
        <v/>
      </c>
      <c r="M103" s="9" t="n">
        <f aca="false">VALUE(SUBSTITUTE(StorytelE!G103,".",","))</f>
        <v>0</v>
      </c>
      <c r="N103" s="9" t="n">
        <f aca="false">VALUE(SUBSTITUTE(StorytelA!G103,".",","))</f>
        <v>0</v>
      </c>
      <c r="O103" s="9" t="n">
        <f aca="false">VALUE(SUBSTITUTE(StorytelE!M103,".",","))</f>
        <v>0</v>
      </c>
      <c r="P103" s="9" t="n">
        <f aca="false">VALUE(SUBSTITUTE(StorytelA!M103,".",","))</f>
        <v>0</v>
      </c>
      <c r="Q103" s="29"/>
      <c r="R103" s="29" t="n">
        <f aca="false">VALUE(SUBSTITUTE(Woblink!H115,".",","))</f>
        <v>0</v>
      </c>
      <c r="S103" s="9" t="str">
        <f aca="false">SUBSTITUTE(AzymutB!D103,"-","")</f>
        <v/>
      </c>
      <c r="T103" s="9" t="n">
        <f aca="false">VALUE(SUBSTITUTE(AzymutB!O103,".",","))</f>
        <v>0</v>
      </c>
      <c r="U103" s="9" t="str">
        <f aca="false">SUBSTITUTE(Audioteka!Q105,"-","")</f>
        <v/>
      </c>
    </row>
    <row r="104" customFormat="false" ht="15.75" hidden="false" customHeight="false" outlineLevel="0" collapsed="false">
      <c r="A104" s="8" t="str">
        <f aca="false">SUBSTITUTE(Histmag!B104,"-","")</f>
        <v/>
      </c>
      <c r="B104" s="9" t="n">
        <f aca="false">VALUE(SUBSTITUTE(Histmag!D104,".",","))</f>
        <v>0</v>
      </c>
      <c r="C104" s="8" t="str">
        <f aca="false">SUBSTITUTE(Virtualo!G104,"-","")</f>
        <v/>
      </c>
      <c r="D104" s="8" t="str">
        <f aca="false">SUBSTITUTE(Empik!F104,"-","")</f>
        <v/>
      </c>
      <c r="E104" s="8" t="str">
        <f aca="false">SUBSTITUTE(Publio!H104,"-","")</f>
        <v/>
      </c>
      <c r="F104" s="8" t="n">
        <f aca="false">VALUE(SUBSTITUTE(Publio!Q104,".",","))</f>
        <v>0</v>
      </c>
      <c r="G104" s="8" t="str">
        <f aca="false">IFERROR(IF(SEARCH("-", Nexto!B85), SUBSTITUTE(Nexto!B85,"-","")), "")</f>
        <v/>
      </c>
      <c r="H104" s="8" t="n">
        <f aca="false">IFERROR(VALUE(SUBSTITUTE(Nexto!P89,".",",")),0)</f>
        <v>0</v>
      </c>
      <c r="I104" s="9" t="str">
        <f aca="false">SUBSTITUTE(Azymut!D104,"-","")</f>
        <v/>
      </c>
      <c r="J104" s="9" t="n">
        <f aca="false">VALUE(SUBSTITUTE(Azymut!O104,".",","))</f>
        <v>0</v>
      </c>
      <c r="K104" s="9" t="str">
        <f aca="false">SUBSTITUTE(Ebookpoint!E116,"-","")</f>
        <v/>
      </c>
      <c r="L104" s="9" t="str">
        <f aca="false">SUBSTITUTE(Nasbi!E116,"-","")</f>
        <v/>
      </c>
      <c r="M104" s="9" t="n">
        <f aca="false">VALUE(SUBSTITUTE(StorytelE!G104,".",","))</f>
        <v>0</v>
      </c>
      <c r="N104" s="9" t="n">
        <f aca="false">VALUE(SUBSTITUTE(StorytelA!G104,".",","))</f>
        <v>0</v>
      </c>
      <c r="O104" s="9" t="n">
        <f aca="false">VALUE(SUBSTITUTE(StorytelE!M104,".",","))</f>
        <v>0</v>
      </c>
      <c r="P104" s="9" t="n">
        <f aca="false">VALUE(SUBSTITUTE(StorytelA!M104,".",","))</f>
        <v>0</v>
      </c>
      <c r="Q104" s="29"/>
      <c r="R104" s="29" t="n">
        <f aca="false">VALUE(SUBSTITUTE(Woblink!H116,".",","))</f>
        <v>0</v>
      </c>
      <c r="S104" s="9" t="str">
        <f aca="false">SUBSTITUTE(AzymutB!D104,"-","")</f>
        <v/>
      </c>
      <c r="T104" s="9" t="n">
        <f aca="false">VALUE(SUBSTITUTE(AzymutB!O104,".",","))</f>
        <v>0</v>
      </c>
      <c r="U104" s="9" t="str">
        <f aca="false">SUBSTITUTE(Audioteka!Q106,"-","")</f>
        <v/>
      </c>
    </row>
    <row r="105" customFormat="false" ht="15.75" hidden="false" customHeight="false" outlineLevel="0" collapsed="false">
      <c r="A105" s="8" t="str">
        <f aca="false">SUBSTITUTE(Histmag!B105,"-","")</f>
        <v/>
      </c>
      <c r="B105" s="9" t="n">
        <f aca="false">VALUE(SUBSTITUTE(Histmag!D105,".",","))</f>
        <v>0</v>
      </c>
      <c r="C105" s="8" t="str">
        <f aca="false">SUBSTITUTE(Virtualo!G105,"-","")</f>
        <v/>
      </c>
      <c r="D105" s="8" t="str">
        <f aca="false">SUBSTITUTE(Empik!F105,"-","")</f>
        <v/>
      </c>
      <c r="E105" s="8" t="str">
        <f aca="false">SUBSTITUTE(Publio!H105,"-","")</f>
        <v/>
      </c>
      <c r="F105" s="8" t="n">
        <f aca="false">VALUE(SUBSTITUTE(Publio!Q105,".",","))</f>
        <v>0</v>
      </c>
      <c r="G105" s="8" t="str">
        <f aca="false">IFERROR(IF(SEARCH("-", Nexto!B86), SUBSTITUTE(Nexto!B86,"-","")), "")</f>
        <v/>
      </c>
      <c r="H105" s="8" t="n">
        <f aca="false">IFERROR(VALUE(SUBSTITUTE(Nexto!P90,".",",")),0)</f>
        <v>0</v>
      </c>
      <c r="I105" s="9" t="str">
        <f aca="false">SUBSTITUTE(Azymut!D105,"-","")</f>
        <v/>
      </c>
      <c r="J105" s="9" t="n">
        <f aca="false">VALUE(SUBSTITUTE(Azymut!O105,".",","))</f>
        <v>0</v>
      </c>
      <c r="K105" s="9" t="str">
        <f aca="false">SUBSTITUTE(Ebookpoint!E117,"-","")</f>
        <v/>
      </c>
      <c r="L105" s="9" t="str">
        <f aca="false">SUBSTITUTE(Nasbi!E117,"-","")</f>
        <v/>
      </c>
      <c r="M105" s="9" t="n">
        <f aca="false">VALUE(SUBSTITUTE(StorytelE!G105,".",","))</f>
        <v>0</v>
      </c>
      <c r="N105" s="9" t="n">
        <f aca="false">VALUE(SUBSTITUTE(StorytelA!G105,".",","))</f>
        <v>0</v>
      </c>
      <c r="O105" s="9" t="n">
        <f aca="false">VALUE(SUBSTITUTE(StorytelE!M105,".",","))</f>
        <v>0</v>
      </c>
      <c r="P105" s="9" t="n">
        <f aca="false">VALUE(SUBSTITUTE(StorytelA!M105,".",","))</f>
        <v>0</v>
      </c>
      <c r="Q105" s="29"/>
      <c r="R105" s="29" t="n">
        <f aca="false">VALUE(SUBSTITUTE(Woblink!H117,".",","))</f>
        <v>0</v>
      </c>
      <c r="S105" s="9" t="str">
        <f aca="false">SUBSTITUTE(AzymutB!D105,"-","")</f>
        <v/>
      </c>
      <c r="T105" s="9" t="n">
        <f aca="false">VALUE(SUBSTITUTE(AzymutB!O105,".",","))</f>
        <v>0</v>
      </c>
      <c r="U105" s="9" t="str">
        <f aca="false">SUBSTITUTE(Audioteka!Q107,"-","")</f>
        <v/>
      </c>
    </row>
    <row r="106" customFormat="false" ht="15.75" hidden="false" customHeight="false" outlineLevel="0" collapsed="false">
      <c r="A106" s="8" t="str">
        <f aca="false">SUBSTITUTE(Histmag!B106,"-","")</f>
        <v/>
      </c>
      <c r="B106" s="9" t="n">
        <f aca="false">VALUE(SUBSTITUTE(Histmag!D106,".",","))</f>
        <v>0</v>
      </c>
      <c r="C106" s="8" t="str">
        <f aca="false">SUBSTITUTE(Virtualo!G106,"-","")</f>
        <v/>
      </c>
      <c r="D106" s="8" t="str">
        <f aca="false">SUBSTITUTE(Empik!F106,"-","")</f>
        <v/>
      </c>
      <c r="E106" s="8" t="str">
        <f aca="false">SUBSTITUTE(Publio!H106,"-","")</f>
        <v/>
      </c>
      <c r="F106" s="8" t="n">
        <f aca="false">VALUE(SUBSTITUTE(Publio!Q106,".",","))</f>
        <v>0</v>
      </c>
      <c r="G106" s="8" t="str">
        <f aca="false">IFERROR(IF(SEARCH("-", Nexto!B87), SUBSTITUTE(Nexto!B87,"-","")), "")</f>
        <v/>
      </c>
      <c r="H106" s="8" t="n">
        <f aca="false">IFERROR(VALUE(SUBSTITUTE(Nexto!P91,".",",")),0)</f>
        <v>0</v>
      </c>
      <c r="I106" s="9" t="str">
        <f aca="false">SUBSTITUTE(Azymut!D106,"-","")</f>
        <v/>
      </c>
      <c r="J106" s="9" t="n">
        <f aca="false">VALUE(SUBSTITUTE(Azymut!O106,".",","))</f>
        <v>0</v>
      </c>
      <c r="K106" s="9" t="str">
        <f aca="false">SUBSTITUTE(Ebookpoint!E118,"-","")</f>
        <v/>
      </c>
      <c r="L106" s="9" t="str">
        <f aca="false">SUBSTITUTE(Nasbi!E118,"-","")</f>
        <v/>
      </c>
      <c r="M106" s="9" t="n">
        <f aca="false">VALUE(SUBSTITUTE(StorytelE!G106,".",","))</f>
        <v>0</v>
      </c>
      <c r="N106" s="9" t="n">
        <f aca="false">VALUE(SUBSTITUTE(StorytelA!G106,".",","))</f>
        <v>0</v>
      </c>
      <c r="O106" s="9" t="n">
        <f aca="false">VALUE(SUBSTITUTE(StorytelE!M106,".",","))</f>
        <v>0</v>
      </c>
      <c r="P106" s="9" t="n">
        <f aca="false">VALUE(SUBSTITUTE(StorytelA!M106,".",","))</f>
        <v>0</v>
      </c>
      <c r="Q106" s="29"/>
      <c r="R106" s="29" t="n">
        <f aca="false">VALUE(SUBSTITUTE(Woblink!H118,".",","))</f>
        <v>0</v>
      </c>
      <c r="S106" s="9" t="str">
        <f aca="false">SUBSTITUTE(AzymutB!D106,"-","")</f>
        <v/>
      </c>
      <c r="T106" s="9" t="n">
        <f aca="false">VALUE(SUBSTITUTE(AzymutB!O106,".",","))</f>
        <v>0</v>
      </c>
      <c r="U106" s="9" t="str">
        <f aca="false">SUBSTITUTE(Audioteka!Q108,"-","")</f>
        <v/>
      </c>
    </row>
    <row r="107" customFormat="false" ht="15.75" hidden="false" customHeight="false" outlineLevel="0" collapsed="false">
      <c r="A107" s="8" t="str">
        <f aca="false">SUBSTITUTE(Histmag!B107,"-","")</f>
        <v/>
      </c>
      <c r="B107" s="9" t="n">
        <f aca="false">VALUE(SUBSTITUTE(Histmag!D107,".",","))</f>
        <v>0</v>
      </c>
      <c r="C107" s="8" t="str">
        <f aca="false">SUBSTITUTE(Virtualo!G107,"-","")</f>
        <v/>
      </c>
      <c r="D107" s="8" t="str">
        <f aca="false">SUBSTITUTE(Empik!F107,"-","")</f>
        <v/>
      </c>
      <c r="E107" s="8" t="str">
        <f aca="false">SUBSTITUTE(Publio!H107,"-","")</f>
        <v/>
      </c>
      <c r="F107" s="8" t="n">
        <f aca="false">VALUE(SUBSTITUTE(Publio!Q107,".",","))</f>
        <v>0</v>
      </c>
      <c r="G107" s="8" t="str">
        <f aca="false">IFERROR(IF(SEARCH("-", Nexto!B88), SUBSTITUTE(Nexto!B88,"-","")), "")</f>
        <v/>
      </c>
      <c r="H107" s="8" t="n">
        <f aca="false">IFERROR(VALUE(SUBSTITUTE(Nexto!P92,".",",")),0)</f>
        <v>0</v>
      </c>
      <c r="I107" s="9" t="str">
        <f aca="false">SUBSTITUTE(Azymut!D107,"-","")</f>
        <v/>
      </c>
      <c r="J107" s="9" t="n">
        <f aca="false">VALUE(SUBSTITUTE(Azymut!O107,".",","))</f>
        <v>0</v>
      </c>
      <c r="K107" s="9" t="str">
        <f aca="false">SUBSTITUTE(Ebookpoint!E119,"-","")</f>
        <v/>
      </c>
      <c r="L107" s="9" t="str">
        <f aca="false">SUBSTITUTE(Nasbi!E119,"-","")</f>
        <v/>
      </c>
      <c r="M107" s="9" t="n">
        <f aca="false">VALUE(SUBSTITUTE(StorytelE!G107,".",","))</f>
        <v>0</v>
      </c>
      <c r="N107" s="9" t="n">
        <f aca="false">VALUE(SUBSTITUTE(StorytelA!G107,".",","))</f>
        <v>0</v>
      </c>
      <c r="O107" s="9" t="n">
        <f aca="false">VALUE(SUBSTITUTE(StorytelE!M107,".",","))</f>
        <v>0</v>
      </c>
      <c r="P107" s="9" t="n">
        <f aca="false">VALUE(SUBSTITUTE(StorytelA!M107,".",","))</f>
        <v>0</v>
      </c>
      <c r="Q107" s="29"/>
      <c r="R107" s="29" t="n">
        <f aca="false">VALUE(SUBSTITUTE(Woblink!H119,".",","))</f>
        <v>0</v>
      </c>
      <c r="S107" s="9" t="str">
        <f aca="false">SUBSTITUTE(AzymutB!D107,"-","")</f>
        <v/>
      </c>
      <c r="T107" s="9" t="n">
        <f aca="false">VALUE(SUBSTITUTE(AzymutB!O107,".",","))</f>
        <v>0</v>
      </c>
      <c r="U107" s="9" t="str">
        <f aca="false">SUBSTITUTE(Audioteka!Q109,"-","")</f>
        <v/>
      </c>
    </row>
    <row r="108" customFormat="false" ht="15.75" hidden="false" customHeight="false" outlineLevel="0" collapsed="false">
      <c r="A108" s="8" t="str">
        <f aca="false">SUBSTITUTE(Histmag!B108,"-","")</f>
        <v/>
      </c>
      <c r="B108" s="9" t="n">
        <f aca="false">VALUE(SUBSTITUTE(Histmag!D108,".",","))</f>
        <v>0</v>
      </c>
      <c r="C108" s="8" t="str">
        <f aca="false">SUBSTITUTE(Virtualo!G108,"-","")</f>
        <v/>
      </c>
      <c r="D108" s="8" t="str">
        <f aca="false">SUBSTITUTE(Empik!F108,"-","")</f>
        <v/>
      </c>
      <c r="E108" s="8" t="str">
        <f aca="false">SUBSTITUTE(Publio!H108,"-","")</f>
        <v/>
      </c>
      <c r="F108" s="8" t="n">
        <f aca="false">VALUE(SUBSTITUTE(Publio!Q108,".",","))</f>
        <v>0</v>
      </c>
      <c r="G108" s="8" t="str">
        <f aca="false">IFERROR(IF(SEARCH("-", Nexto!B89), SUBSTITUTE(Nexto!B89,"-","")), "")</f>
        <v/>
      </c>
      <c r="H108" s="8" t="n">
        <f aca="false">IFERROR(VALUE(SUBSTITUTE(Nexto!P93,".",",")),0)</f>
        <v>0</v>
      </c>
      <c r="I108" s="9" t="str">
        <f aca="false">SUBSTITUTE(Azymut!D108,"-","")</f>
        <v/>
      </c>
      <c r="J108" s="9" t="n">
        <f aca="false">VALUE(SUBSTITUTE(Azymut!O108,".",","))</f>
        <v>0</v>
      </c>
      <c r="K108" s="9" t="str">
        <f aca="false">SUBSTITUTE(Ebookpoint!E120,"-","")</f>
        <v/>
      </c>
      <c r="L108" s="9" t="str">
        <f aca="false">SUBSTITUTE(Nasbi!E120,"-","")</f>
        <v/>
      </c>
      <c r="M108" s="9" t="n">
        <f aca="false">VALUE(SUBSTITUTE(StorytelE!G108,".",","))</f>
        <v>0</v>
      </c>
      <c r="N108" s="9" t="n">
        <f aca="false">VALUE(SUBSTITUTE(StorytelA!G108,".",","))</f>
        <v>0</v>
      </c>
      <c r="O108" s="9" t="n">
        <f aca="false">VALUE(SUBSTITUTE(StorytelE!M108,".",","))</f>
        <v>0</v>
      </c>
      <c r="P108" s="9" t="n">
        <f aca="false">VALUE(SUBSTITUTE(StorytelA!M108,".",","))</f>
        <v>0</v>
      </c>
      <c r="Q108" s="29"/>
      <c r="R108" s="29" t="n">
        <f aca="false">VALUE(SUBSTITUTE(Woblink!H120,".",","))</f>
        <v>0</v>
      </c>
      <c r="S108" s="9" t="str">
        <f aca="false">SUBSTITUTE(AzymutB!D108,"-","")</f>
        <v/>
      </c>
      <c r="T108" s="9" t="n">
        <f aca="false">VALUE(SUBSTITUTE(AzymutB!O108,".",","))</f>
        <v>0</v>
      </c>
      <c r="U108" s="9" t="str">
        <f aca="false">SUBSTITUTE(Audioteka!Q110,"-","")</f>
        <v/>
      </c>
    </row>
    <row r="109" customFormat="false" ht="15.75" hidden="false" customHeight="false" outlineLevel="0" collapsed="false">
      <c r="A109" s="8" t="str">
        <f aca="false">SUBSTITUTE(Histmag!B109,"-","")</f>
        <v/>
      </c>
      <c r="B109" s="9" t="n">
        <f aca="false">VALUE(SUBSTITUTE(Histmag!D109,".",","))</f>
        <v>0</v>
      </c>
      <c r="C109" s="8" t="str">
        <f aca="false">SUBSTITUTE(Virtualo!G109,"-","")</f>
        <v/>
      </c>
      <c r="D109" s="8" t="str">
        <f aca="false">SUBSTITUTE(Empik!F109,"-","")</f>
        <v/>
      </c>
      <c r="E109" s="8" t="str">
        <f aca="false">SUBSTITUTE(Publio!H109,"-","")</f>
        <v/>
      </c>
      <c r="F109" s="8" t="n">
        <f aca="false">VALUE(SUBSTITUTE(Publio!Q109,".",","))</f>
        <v>0</v>
      </c>
      <c r="G109" s="8" t="str">
        <f aca="false">IFERROR(IF(SEARCH("-", Nexto!B90), SUBSTITUTE(Nexto!B90,"-","")), "")</f>
        <v/>
      </c>
      <c r="H109" s="8" t="n">
        <f aca="false">IFERROR(VALUE(SUBSTITUTE(Nexto!P94,".",",")),0)</f>
        <v>0</v>
      </c>
      <c r="I109" s="9" t="str">
        <f aca="false">SUBSTITUTE(Azymut!D109,"-","")</f>
        <v/>
      </c>
      <c r="J109" s="9" t="n">
        <f aca="false">VALUE(SUBSTITUTE(Azymut!O109,".",","))</f>
        <v>0</v>
      </c>
      <c r="K109" s="9" t="str">
        <f aca="false">SUBSTITUTE(Ebookpoint!E121,"-","")</f>
        <v/>
      </c>
      <c r="L109" s="9" t="str">
        <f aca="false">SUBSTITUTE(Nasbi!E121,"-","")</f>
        <v/>
      </c>
      <c r="M109" s="9" t="n">
        <f aca="false">VALUE(SUBSTITUTE(StorytelE!G109,".",","))</f>
        <v>0</v>
      </c>
      <c r="N109" s="9" t="n">
        <f aca="false">VALUE(SUBSTITUTE(StorytelA!G109,".",","))</f>
        <v>0</v>
      </c>
      <c r="O109" s="9" t="n">
        <f aca="false">VALUE(SUBSTITUTE(StorytelE!M109,".",","))</f>
        <v>0</v>
      </c>
      <c r="P109" s="9" t="n">
        <f aca="false">VALUE(SUBSTITUTE(StorytelA!M109,".",","))</f>
        <v>0</v>
      </c>
      <c r="Q109" s="29"/>
      <c r="R109" s="29" t="n">
        <f aca="false">VALUE(SUBSTITUTE(Woblink!H121,".",","))</f>
        <v>0</v>
      </c>
      <c r="S109" s="9" t="str">
        <f aca="false">SUBSTITUTE(AzymutB!D109,"-","")</f>
        <v/>
      </c>
      <c r="T109" s="9" t="n">
        <f aca="false">VALUE(SUBSTITUTE(AzymutB!O109,".",","))</f>
        <v>0</v>
      </c>
      <c r="U109" s="9" t="str">
        <f aca="false">SUBSTITUTE(Audioteka!Q111,"-","")</f>
        <v/>
      </c>
    </row>
    <row r="110" customFormat="false" ht="15.75" hidden="false" customHeight="false" outlineLevel="0" collapsed="false">
      <c r="A110" s="8" t="str">
        <f aca="false">SUBSTITUTE(Histmag!B110,"-","")</f>
        <v/>
      </c>
      <c r="B110" s="9" t="n">
        <f aca="false">VALUE(SUBSTITUTE(Histmag!D110,".",","))</f>
        <v>0</v>
      </c>
      <c r="C110" s="8" t="str">
        <f aca="false">SUBSTITUTE(Virtualo!G110,"-","")</f>
        <v/>
      </c>
      <c r="D110" s="8" t="str">
        <f aca="false">SUBSTITUTE(Empik!F110,"-","")</f>
        <v/>
      </c>
      <c r="E110" s="8" t="str">
        <f aca="false">SUBSTITUTE(Publio!H110,"-","")</f>
        <v/>
      </c>
      <c r="F110" s="8" t="n">
        <f aca="false">VALUE(SUBSTITUTE(Publio!Q110,".",","))</f>
        <v>0</v>
      </c>
      <c r="G110" s="8" t="str">
        <f aca="false">IFERROR(IF(SEARCH("-", Nexto!B91), SUBSTITUTE(Nexto!B91,"-","")), "")</f>
        <v/>
      </c>
      <c r="H110" s="8" t="n">
        <f aca="false">IFERROR(VALUE(SUBSTITUTE(Nexto!P95,".",",")),0)</f>
        <v>0</v>
      </c>
      <c r="I110" s="9" t="str">
        <f aca="false">SUBSTITUTE(Azymut!D110,"-","")</f>
        <v/>
      </c>
      <c r="J110" s="9" t="n">
        <f aca="false">VALUE(SUBSTITUTE(Azymut!O110,".",","))</f>
        <v>0</v>
      </c>
      <c r="K110" s="9" t="str">
        <f aca="false">SUBSTITUTE(Ebookpoint!E122,"-","")</f>
        <v/>
      </c>
      <c r="L110" s="9" t="str">
        <f aca="false">SUBSTITUTE(Nasbi!E122,"-","")</f>
        <v/>
      </c>
      <c r="M110" s="9" t="n">
        <f aca="false">VALUE(SUBSTITUTE(StorytelE!G110,".",","))</f>
        <v>0</v>
      </c>
      <c r="N110" s="9" t="n">
        <f aca="false">VALUE(SUBSTITUTE(StorytelA!G110,".",","))</f>
        <v>0</v>
      </c>
      <c r="O110" s="9" t="n">
        <f aca="false">VALUE(SUBSTITUTE(StorytelE!M110,".",","))</f>
        <v>0</v>
      </c>
      <c r="P110" s="9" t="n">
        <f aca="false">VALUE(SUBSTITUTE(StorytelA!M110,".",","))</f>
        <v>0</v>
      </c>
      <c r="Q110" s="29"/>
      <c r="R110" s="29" t="n">
        <f aca="false">VALUE(SUBSTITUTE(Woblink!H122,".",","))</f>
        <v>0</v>
      </c>
      <c r="S110" s="9" t="str">
        <f aca="false">SUBSTITUTE(AzymutB!D110,"-","")</f>
        <v/>
      </c>
      <c r="T110" s="9" t="n">
        <f aca="false">VALUE(SUBSTITUTE(AzymutB!O110,".",","))</f>
        <v>0</v>
      </c>
      <c r="U110" s="9" t="str">
        <f aca="false">SUBSTITUTE(Audioteka!Q112,"-","")</f>
        <v/>
      </c>
    </row>
    <row r="111" customFormat="false" ht="15.75" hidden="false" customHeight="false" outlineLevel="0" collapsed="false">
      <c r="A111" s="8" t="str">
        <f aca="false">SUBSTITUTE(Histmag!B111,"-","")</f>
        <v/>
      </c>
      <c r="B111" s="9" t="n">
        <f aca="false">VALUE(SUBSTITUTE(Histmag!D111,".",","))</f>
        <v>0</v>
      </c>
      <c r="C111" s="8" t="str">
        <f aca="false">SUBSTITUTE(Virtualo!G111,"-","")</f>
        <v/>
      </c>
      <c r="D111" s="8" t="str">
        <f aca="false">SUBSTITUTE(Empik!F111,"-","")</f>
        <v/>
      </c>
      <c r="E111" s="8" t="str">
        <f aca="false">SUBSTITUTE(Publio!H111,"-","")</f>
        <v/>
      </c>
      <c r="F111" s="8" t="n">
        <f aca="false">VALUE(SUBSTITUTE(Publio!Q111,".",","))</f>
        <v>0</v>
      </c>
      <c r="G111" s="8" t="str">
        <f aca="false">IFERROR(IF(SEARCH("-", Nexto!B92), SUBSTITUTE(Nexto!B92,"-","")), "")</f>
        <v/>
      </c>
      <c r="H111" s="8" t="n">
        <f aca="false">IFERROR(VALUE(SUBSTITUTE(Nexto!P96,".",",")),0)</f>
        <v>0</v>
      </c>
      <c r="I111" s="9" t="str">
        <f aca="false">SUBSTITUTE(Azymut!D111,"-","")</f>
        <v/>
      </c>
      <c r="J111" s="9" t="n">
        <f aca="false">VALUE(SUBSTITUTE(Azymut!O111,".",","))</f>
        <v>0</v>
      </c>
      <c r="K111" s="9" t="str">
        <f aca="false">SUBSTITUTE(Ebookpoint!E123,"-","")</f>
        <v/>
      </c>
      <c r="L111" s="9" t="str">
        <f aca="false">SUBSTITUTE(Nasbi!E123,"-","")</f>
        <v/>
      </c>
      <c r="M111" s="9" t="n">
        <f aca="false">VALUE(SUBSTITUTE(StorytelE!G111,".",","))</f>
        <v>0</v>
      </c>
      <c r="N111" s="9" t="n">
        <f aca="false">VALUE(SUBSTITUTE(StorytelA!G111,".",","))</f>
        <v>0</v>
      </c>
      <c r="O111" s="9" t="n">
        <f aca="false">VALUE(SUBSTITUTE(StorytelE!M111,".",","))</f>
        <v>0</v>
      </c>
      <c r="P111" s="9" t="n">
        <f aca="false">VALUE(SUBSTITUTE(StorytelA!M111,".",","))</f>
        <v>0</v>
      </c>
      <c r="Q111" s="29"/>
      <c r="R111" s="29" t="n">
        <f aca="false">VALUE(SUBSTITUTE(Woblink!H123,".",","))</f>
        <v>0</v>
      </c>
      <c r="S111" s="9" t="str">
        <f aca="false">SUBSTITUTE(AzymutB!D111,"-","")</f>
        <v/>
      </c>
      <c r="T111" s="9" t="n">
        <f aca="false">VALUE(SUBSTITUTE(AzymutB!O111,".",","))</f>
        <v>0</v>
      </c>
      <c r="U111" s="9" t="str">
        <f aca="false">SUBSTITUTE(Audioteka!Q113,"-","")</f>
        <v/>
      </c>
    </row>
    <row r="112" customFormat="false" ht="15.75" hidden="false" customHeight="false" outlineLevel="0" collapsed="false">
      <c r="A112" s="8" t="str">
        <f aca="false">SUBSTITUTE(Histmag!B112,"-","")</f>
        <v/>
      </c>
      <c r="B112" s="9" t="n">
        <f aca="false">VALUE(SUBSTITUTE(Histmag!D112,".",","))</f>
        <v>0</v>
      </c>
      <c r="C112" s="8" t="str">
        <f aca="false">SUBSTITUTE(Virtualo!G112,"-","")</f>
        <v/>
      </c>
      <c r="D112" s="8" t="str">
        <f aca="false">SUBSTITUTE(Empik!F112,"-","")</f>
        <v/>
      </c>
      <c r="E112" s="8" t="str">
        <f aca="false">SUBSTITUTE(Publio!H112,"-","")</f>
        <v/>
      </c>
      <c r="F112" s="8" t="n">
        <f aca="false">VALUE(SUBSTITUTE(Publio!Q112,".",","))</f>
        <v>0</v>
      </c>
      <c r="G112" s="8" t="str">
        <f aca="false">IFERROR(IF(SEARCH("-", Nexto!B93), SUBSTITUTE(Nexto!B93,"-","")), "")</f>
        <v/>
      </c>
      <c r="H112" s="8" t="n">
        <f aca="false">IFERROR(VALUE(SUBSTITUTE(Nexto!P97,".",",")),0)</f>
        <v>0</v>
      </c>
      <c r="I112" s="9" t="str">
        <f aca="false">SUBSTITUTE(Azymut!D112,"-","")</f>
        <v/>
      </c>
      <c r="J112" s="9" t="n">
        <f aca="false">VALUE(SUBSTITUTE(Azymut!O112,".",","))</f>
        <v>0</v>
      </c>
      <c r="K112" s="9" t="str">
        <f aca="false">SUBSTITUTE(Ebookpoint!E124,"-","")</f>
        <v/>
      </c>
      <c r="L112" s="9" t="str">
        <f aca="false">SUBSTITUTE(Nasbi!E124,"-","")</f>
        <v/>
      </c>
      <c r="M112" s="9" t="n">
        <f aca="false">VALUE(SUBSTITUTE(StorytelE!G112,".",","))</f>
        <v>0</v>
      </c>
      <c r="N112" s="9" t="n">
        <f aca="false">VALUE(SUBSTITUTE(StorytelA!G112,".",","))</f>
        <v>0</v>
      </c>
      <c r="O112" s="9" t="n">
        <f aca="false">VALUE(SUBSTITUTE(StorytelE!M112,".",","))</f>
        <v>0</v>
      </c>
      <c r="P112" s="9" t="n">
        <f aca="false">VALUE(SUBSTITUTE(StorytelA!M112,".",","))</f>
        <v>0</v>
      </c>
      <c r="Q112" s="29"/>
      <c r="R112" s="29" t="n">
        <f aca="false">VALUE(SUBSTITUTE(Woblink!H124,".",","))</f>
        <v>0</v>
      </c>
      <c r="S112" s="9" t="str">
        <f aca="false">SUBSTITUTE(AzymutB!D112,"-","")</f>
        <v/>
      </c>
      <c r="T112" s="9" t="n">
        <f aca="false">VALUE(SUBSTITUTE(AzymutB!O112,".",","))</f>
        <v>0</v>
      </c>
      <c r="U112" s="9" t="str">
        <f aca="false">SUBSTITUTE(Audioteka!Q114,"-","")</f>
        <v/>
      </c>
    </row>
    <row r="113" customFormat="false" ht="15.75" hidden="false" customHeight="false" outlineLevel="0" collapsed="false">
      <c r="A113" s="8" t="str">
        <f aca="false">SUBSTITUTE(Histmag!B113,"-","")</f>
        <v/>
      </c>
      <c r="B113" s="9" t="n">
        <f aca="false">VALUE(SUBSTITUTE(Histmag!D113,".",","))</f>
        <v>0</v>
      </c>
      <c r="C113" s="8" t="str">
        <f aca="false">SUBSTITUTE(Virtualo!G113,"-","")</f>
        <v/>
      </c>
      <c r="D113" s="8" t="str">
        <f aca="false">SUBSTITUTE(Empik!F113,"-","")</f>
        <v/>
      </c>
      <c r="E113" s="8" t="str">
        <f aca="false">SUBSTITUTE(Publio!H113,"-","")</f>
        <v/>
      </c>
      <c r="F113" s="8" t="n">
        <f aca="false">VALUE(SUBSTITUTE(Publio!Q113,".",","))</f>
        <v>0</v>
      </c>
      <c r="G113" s="8" t="str">
        <f aca="false">IFERROR(IF(SEARCH("-", Nexto!B94), SUBSTITUTE(Nexto!B94,"-","")), "")</f>
        <v/>
      </c>
      <c r="H113" s="8" t="n">
        <f aca="false">IFERROR(VALUE(SUBSTITUTE(Nexto!P98,".",",")),0)</f>
        <v>0</v>
      </c>
      <c r="I113" s="9" t="str">
        <f aca="false">SUBSTITUTE(Azymut!D113,"-","")</f>
        <v/>
      </c>
      <c r="J113" s="9" t="n">
        <f aca="false">VALUE(SUBSTITUTE(Azymut!O113,".",","))</f>
        <v>0</v>
      </c>
      <c r="K113" s="9" t="str">
        <f aca="false">SUBSTITUTE(Ebookpoint!E125,"-","")</f>
        <v/>
      </c>
      <c r="L113" s="9" t="str">
        <f aca="false">SUBSTITUTE(Nasbi!E125,"-","")</f>
        <v/>
      </c>
      <c r="M113" s="9" t="n">
        <f aca="false">VALUE(SUBSTITUTE(StorytelE!G113,".",","))</f>
        <v>0</v>
      </c>
      <c r="N113" s="9" t="n">
        <f aca="false">VALUE(SUBSTITUTE(StorytelA!G113,".",","))</f>
        <v>0</v>
      </c>
      <c r="O113" s="9" t="n">
        <f aca="false">VALUE(SUBSTITUTE(StorytelE!M113,".",","))</f>
        <v>0</v>
      </c>
      <c r="P113" s="9" t="n">
        <f aca="false">VALUE(SUBSTITUTE(StorytelA!M113,".",","))</f>
        <v>0</v>
      </c>
      <c r="Q113" s="29"/>
      <c r="R113" s="29" t="n">
        <f aca="false">VALUE(SUBSTITUTE(Woblink!H125,".",","))</f>
        <v>0</v>
      </c>
      <c r="S113" s="9" t="str">
        <f aca="false">SUBSTITUTE(AzymutB!D113,"-","")</f>
        <v/>
      </c>
      <c r="T113" s="9" t="n">
        <f aca="false">VALUE(SUBSTITUTE(AzymutB!O113,".",","))</f>
        <v>0</v>
      </c>
      <c r="U113" s="9" t="str">
        <f aca="false">SUBSTITUTE(Audioteka!Q115,"-","")</f>
        <v/>
      </c>
    </row>
    <row r="114" customFormat="false" ht="15.75" hidden="false" customHeight="false" outlineLevel="0" collapsed="false">
      <c r="A114" s="8" t="str">
        <f aca="false">SUBSTITUTE(Histmag!B114,"-","")</f>
        <v/>
      </c>
      <c r="B114" s="9" t="n">
        <f aca="false">VALUE(SUBSTITUTE(Histmag!D114,".",","))</f>
        <v>0</v>
      </c>
      <c r="C114" s="8" t="str">
        <f aca="false">SUBSTITUTE(Virtualo!G114,"-","")</f>
        <v/>
      </c>
      <c r="D114" s="8" t="str">
        <f aca="false">SUBSTITUTE(Empik!F114,"-","")</f>
        <v/>
      </c>
      <c r="E114" s="8" t="str">
        <f aca="false">SUBSTITUTE(Publio!H114,"-","")</f>
        <v/>
      </c>
      <c r="F114" s="8" t="n">
        <f aca="false">VALUE(SUBSTITUTE(Publio!Q114,".",","))</f>
        <v>0</v>
      </c>
      <c r="G114" s="8" t="str">
        <f aca="false">IFERROR(IF(SEARCH("-", Nexto!B95), SUBSTITUTE(Nexto!B95,"-","")), "")</f>
        <v/>
      </c>
      <c r="H114" s="8" t="n">
        <f aca="false">IFERROR(VALUE(SUBSTITUTE(Nexto!P99,".",",")),0)</f>
        <v>0</v>
      </c>
      <c r="I114" s="9" t="str">
        <f aca="false">SUBSTITUTE(Azymut!D114,"-","")</f>
        <v/>
      </c>
      <c r="J114" s="9" t="n">
        <f aca="false">VALUE(SUBSTITUTE(Azymut!O114,".",","))</f>
        <v>0</v>
      </c>
      <c r="K114" s="9" t="str">
        <f aca="false">SUBSTITUTE(Ebookpoint!E126,"-","")</f>
        <v/>
      </c>
      <c r="L114" s="9" t="str">
        <f aca="false">SUBSTITUTE(Nasbi!E126,"-","")</f>
        <v/>
      </c>
      <c r="M114" s="9" t="n">
        <f aca="false">VALUE(SUBSTITUTE(StorytelE!G114,".",","))</f>
        <v>0</v>
      </c>
      <c r="N114" s="9" t="n">
        <f aca="false">VALUE(SUBSTITUTE(StorytelA!G114,".",","))</f>
        <v>0</v>
      </c>
      <c r="O114" s="9" t="n">
        <f aca="false">VALUE(SUBSTITUTE(StorytelE!M114,".",","))</f>
        <v>0</v>
      </c>
      <c r="P114" s="9" t="n">
        <f aca="false">VALUE(SUBSTITUTE(StorytelA!M114,".",","))</f>
        <v>0</v>
      </c>
      <c r="Q114" s="29"/>
      <c r="R114" s="29" t="n">
        <f aca="false">VALUE(SUBSTITUTE(Woblink!H126,".",","))</f>
        <v>0</v>
      </c>
      <c r="S114" s="9" t="str">
        <f aca="false">SUBSTITUTE(AzymutB!D114,"-","")</f>
        <v/>
      </c>
      <c r="T114" s="9" t="n">
        <f aca="false">VALUE(SUBSTITUTE(AzymutB!O114,".",","))</f>
        <v>0</v>
      </c>
      <c r="U114" s="9" t="str">
        <f aca="false">SUBSTITUTE(Audioteka!Q116,"-","")</f>
        <v/>
      </c>
    </row>
    <row r="115" customFormat="false" ht="15.75" hidden="false" customHeight="false" outlineLevel="0" collapsed="false">
      <c r="A115" s="8" t="str">
        <f aca="false">SUBSTITUTE(Histmag!B115,"-","")</f>
        <v/>
      </c>
      <c r="B115" s="9" t="n">
        <f aca="false">VALUE(SUBSTITUTE(Histmag!D115,".",","))</f>
        <v>0</v>
      </c>
      <c r="C115" s="8" t="str">
        <f aca="false">SUBSTITUTE(Virtualo!G115,"-","")</f>
        <v/>
      </c>
      <c r="D115" s="8" t="str">
        <f aca="false">SUBSTITUTE(Empik!F115,"-","")</f>
        <v/>
      </c>
      <c r="E115" s="8" t="str">
        <f aca="false">SUBSTITUTE(Publio!H115,"-","")</f>
        <v/>
      </c>
      <c r="F115" s="8" t="n">
        <f aca="false">VALUE(SUBSTITUTE(Publio!Q115,".",","))</f>
        <v>0</v>
      </c>
      <c r="G115" s="8" t="str">
        <f aca="false">IFERROR(IF(SEARCH("-", Nexto!B96), SUBSTITUTE(Nexto!B96,"-","")), "")</f>
        <v/>
      </c>
      <c r="H115" s="8" t="n">
        <f aca="false">IFERROR(VALUE(SUBSTITUTE(Nexto!P100,".",",")),0)</f>
        <v>0</v>
      </c>
      <c r="I115" s="9" t="str">
        <f aca="false">SUBSTITUTE(Azymut!D115,"-","")</f>
        <v/>
      </c>
      <c r="J115" s="9" t="n">
        <f aca="false">VALUE(SUBSTITUTE(Azymut!O115,".",","))</f>
        <v>0</v>
      </c>
      <c r="K115" s="9" t="str">
        <f aca="false">SUBSTITUTE(Ebookpoint!E127,"-","")</f>
        <v/>
      </c>
      <c r="L115" s="9" t="str">
        <f aca="false">SUBSTITUTE(Nasbi!E127,"-","")</f>
        <v/>
      </c>
      <c r="M115" s="9" t="n">
        <f aca="false">VALUE(SUBSTITUTE(StorytelE!G115,".",","))</f>
        <v>0</v>
      </c>
      <c r="N115" s="9" t="n">
        <f aca="false">VALUE(SUBSTITUTE(StorytelA!G115,".",","))</f>
        <v>0</v>
      </c>
      <c r="O115" s="9" t="n">
        <f aca="false">VALUE(SUBSTITUTE(StorytelE!M115,".",","))</f>
        <v>0</v>
      </c>
      <c r="P115" s="9" t="n">
        <f aca="false">VALUE(SUBSTITUTE(StorytelA!M115,".",","))</f>
        <v>0</v>
      </c>
      <c r="Q115" s="29"/>
      <c r="R115" s="29" t="n">
        <f aca="false">VALUE(SUBSTITUTE(Woblink!H127,".",","))</f>
        <v>0</v>
      </c>
      <c r="S115" s="9" t="str">
        <f aca="false">SUBSTITUTE(AzymutB!D115,"-","")</f>
        <v/>
      </c>
      <c r="T115" s="9" t="n">
        <f aca="false">VALUE(SUBSTITUTE(AzymutB!O115,".",","))</f>
        <v>0</v>
      </c>
      <c r="U115" s="9" t="str">
        <f aca="false">SUBSTITUTE(Audioteka!Q117,"-","")</f>
        <v/>
      </c>
    </row>
    <row r="116" customFormat="false" ht="15.75" hidden="false" customHeight="false" outlineLevel="0" collapsed="false">
      <c r="A116" s="8" t="str">
        <f aca="false">SUBSTITUTE(Histmag!B116,"-","")</f>
        <v/>
      </c>
      <c r="B116" s="9" t="n">
        <f aca="false">VALUE(SUBSTITUTE(Histmag!D116,".",","))</f>
        <v>0</v>
      </c>
      <c r="C116" s="8" t="str">
        <f aca="false">SUBSTITUTE(Virtualo!G116,"-","")</f>
        <v/>
      </c>
      <c r="D116" s="8" t="str">
        <f aca="false">SUBSTITUTE(Empik!F116,"-","")</f>
        <v/>
      </c>
      <c r="E116" s="8" t="str">
        <f aca="false">SUBSTITUTE(Publio!H116,"-","")</f>
        <v/>
      </c>
      <c r="F116" s="8" t="n">
        <f aca="false">VALUE(SUBSTITUTE(Publio!Q116,".",","))</f>
        <v>0</v>
      </c>
      <c r="G116" s="8" t="str">
        <f aca="false">IFERROR(IF(SEARCH("-", Nexto!B97), SUBSTITUTE(Nexto!B97,"-","")), "")</f>
        <v/>
      </c>
      <c r="H116" s="8" t="n">
        <f aca="false">IFERROR(VALUE(SUBSTITUTE(Nexto!P101,".",",")),0)</f>
        <v>0</v>
      </c>
      <c r="I116" s="9" t="str">
        <f aca="false">SUBSTITUTE(Azymut!D116,"-","")</f>
        <v/>
      </c>
      <c r="J116" s="9" t="n">
        <f aca="false">VALUE(SUBSTITUTE(Azymut!O116,".",","))</f>
        <v>0</v>
      </c>
      <c r="K116" s="9" t="str">
        <f aca="false">SUBSTITUTE(Ebookpoint!E128,"-","")</f>
        <v/>
      </c>
      <c r="L116" s="9" t="str">
        <f aca="false">SUBSTITUTE(Nasbi!E128,"-","")</f>
        <v/>
      </c>
      <c r="M116" s="9" t="n">
        <f aca="false">VALUE(SUBSTITUTE(StorytelE!G116,".",","))</f>
        <v>0</v>
      </c>
      <c r="N116" s="9" t="n">
        <f aca="false">VALUE(SUBSTITUTE(StorytelA!G116,".",","))</f>
        <v>0</v>
      </c>
      <c r="O116" s="9" t="n">
        <f aca="false">VALUE(SUBSTITUTE(StorytelE!M116,".",","))</f>
        <v>0</v>
      </c>
      <c r="P116" s="9" t="n">
        <f aca="false">VALUE(SUBSTITUTE(StorytelA!M116,".",","))</f>
        <v>0</v>
      </c>
      <c r="Q116" s="29"/>
      <c r="R116" s="29" t="n">
        <f aca="false">VALUE(SUBSTITUTE(Woblink!H128,".",","))</f>
        <v>0</v>
      </c>
      <c r="S116" s="9" t="str">
        <f aca="false">SUBSTITUTE(AzymutB!D116,"-","")</f>
        <v/>
      </c>
      <c r="T116" s="9" t="n">
        <f aca="false">VALUE(SUBSTITUTE(AzymutB!O116,".",","))</f>
        <v>0</v>
      </c>
      <c r="U116" s="9" t="str">
        <f aca="false">SUBSTITUTE(Audioteka!Q118,"-","")</f>
        <v/>
      </c>
    </row>
    <row r="117" customFormat="false" ht="15.75" hidden="false" customHeight="false" outlineLevel="0" collapsed="false">
      <c r="A117" s="8" t="str">
        <f aca="false">SUBSTITUTE(Histmag!B117,"-","")</f>
        <v/>
      </c>
      <c r="B117" s="9" t="n">
        <f aca="false">VALUE(SUBSTITUTE(Histmag!D117,".",","))</f>
        <v>0</v>
      </c>
      <c r="C117" s="8" t="str">
        <f aca="false">SUBSTITUTE(Virtualo!G117,"-","")</f>
        <v/>
      </c>
      <c r="D117" s="8" t="str">
        <f aca="false">SUBSTITUTE(Empik!F117,"-","")</f>
        <v/>
      </c>
      <c r="E117" s="8" t="str">
        <f aca="false">SUBSTITUTE(Publio!H117,"-","")</f>
        <v/>
      </c>
      <c r="F117" s="8" t="n">
        <f aca="false">VALUE(SUBSTITUTE(Publio!Q117,".",","))</f>
        <v>0</v>
      </c>
      <c r="G117" s="8" t="str">
        <f aca="false">IFERROR(IF(SEARCH("-", Nexto!B98), SUBSTITUTE(Nexto!B98,"-","")), "")</f>
        <v/>
      </c>
      <c r="H117" s="8" t="n">
        <f aca="false">IFERROR(VALUE(SUBSTITUTE(Nexto!P102,".",",")),0)</f>
        <v>0</v>
      </c>
      <c r="I117" s="9" t="str">
        <f aca="false">SUBSTITUTE(Azymut!D117,"-","")</f>
        <v/>
      </c>
      <c r="J117" s="9" t="n">
        <f aca="false">VALUE(SUBSTITUTE(Azymut!O117,".",","))</f>
        <v>0</v>
      </c>
      <c r="K117" s="9" t="str">
        <f aca="false">SUBSTITUTE(Ebookpoint!E129,"-","")</f>
        <v/>
      </c>
      <c r="L117" s="9" t="str">
        <f aca="false">SUBSTITUTE(Nasbi!E129,"-","")</f>
        <v/>
      </c>
      <c r="M117" s="9" t="n">
        <f aca="false">VALUE(SUBSTITUTE(StorytelE!G117,".",","))</f>
        <v>0</v>
      </c>
      <c r="N117" s="9" t="n">
        <f aca="false">VALUE(SUBSTITUTE(StorytelA!G117,".",","))</f>
        <v>0</v>
      </c>
      <c r="O117" s="9" t="n">
        <f aca="false">VALUE(SUBSTITUTE(StorytelE!M117,".",","))</f>
        <v>0</v>
      </c>
      <c r="P117" s="9" t="n">
        <f aca="false">VALUE(SUBSTITUTE(StorytelA!M117,".",","))</f>
        <v>0</v>
      </c>
      <c r="Q117" s="29"/>
      <c r="R117" s="29" t="n">
        <f aca="false">VALUE(SUBSTITUTE(Woblink!H129,".",","))</f>
        <v>0</v>
      </c>
      <c r="S117" s="9" t="str">
        <f aca="false">SUBSTITUTE(AzymutB!D117,"-","")</f>
        <v/>
      </c>
      <c r="T117" s="9" t="n">
        <f aca="false">VALUE(SUBSTITUTE(AzymutB!O117,".",","))</f>
        <v>0</v>
      </c>
      <c r="U117" s="9" t="str">
        <f aca="false">SUBSTITUTE(Audioteka!Q119,"-","")</f>
        <v/>
      </c>
    </row>
    <row r="118" customFormat="false" ht="15.75" hidden="false" customHeight="false" outlineLevel="0" collapsed="false">
      <c r="A118" s="8" t="str">
        <f aca="false">SUBSTITUTE(Histmag!B118,"-","")</f>
        <v/>
      </c>
      <c r="B118" s="9" t="n">
        <f aca="false">VALUE(SUBSTITUTE(Histmag!D118,".",","))</f>
        <v>0</v>
      </c>
      <c r="C118" s="8" t="str">
        <f aca="false">SUBSTITUTE(Virtualo!G118,"-","")</f>
        <v/>
      </c>
      <c r="D118" s="8" t="str">
        <f aca="false">SUBSTITUTE(Empik!F118,"-","")</f>
        <v/>
      </c>
      <c r="E118" s="8" t="str">
        <f aca="false">SUBSTITUTE(Publio!H118,"-","")</f>
        <v/>
      </c>
      <c r="F118" s="8" t="n">
        <f aca="false">VALUE(SUBSTITUTE(Publio!Q118,".",","))</f>
        <v>0</v>
      </c>
      <c r="G118" s="8" t="str">
        <f aca="false">IFERROR(IF(SEARCH("-", Nexto!B99), SUBSTITUTE(Nexto!B99,"-","")), "")</f>
        <v/>
      </c>
      <c r="H118" s="8" t="n">
        <f aca="false">IFERROR(VALUE(SUBSTITUTE(Nexto!P103,".",",")),0)</f>
        <v>0</v>
      </c>
      <c r="I118" s="9" t="str">
        <f aca="false">SUBSTITUTE(Azymut!D118,"-","")</f>
        <v/>
      </c>
      <c r="J118" s="9" t="n">
        <f aca="false">VALUE(SUBSTITUTE(Azymut!O118,".",","))</f>
        <v>0</v>
      </c>
      <c r="K118" s="9" t="str">
        <f aca="false">SUBSTITUTE(Ebookpoint!E130,"-","")</f>
        <v/>
      </c>
      <c r="L118" s="9" t="str">
        <f aca="false">SUBSTITUTE(Nasbi!E130,"-","")</f>
        <v/>
      </c>
      <c r="M118" s="9" t="n">
        <f aca="false">VALUE(SUBSTITUTE(StorytelE!G118,".",","))</f>
        <v>0</v>
      </c>
      <c r="N118" s="9" t="n">
        <f aca="false">VALUE(SUBSTITUTE(StorytelA!G118,".",","))</f>
        <v>0</v>
      </c>
      <c r="O118" s="9" t="n">
        <f aca="false">VALUE(SUBSTITUTE(StorytelE!M118,".",","))</f>
        <v>0</v>
      </c>
      <c r="P118" s="9" t="n">
        <f aca="false">VALUE(SUBSTITUTE(StorytelA!M118,".",","))</f>
        <v>0</v>
      </c>
      <c r="Q118" s="29"/>
      <c r="R118" s="29" t="n">
        <f aca="false">VALUE(SUBSTITUTE(Woblink!H130,".",","))</f>
        <v>0</v>
      </c>
      <c r="S118" s="9" t="str">
        <f aca="false">SUBSTITUTE(AzymutB!D118,"-","")</f>
        <v/>
      </c>
      <c r="T118" s="9" t="n">
        <f aca="false">VALUE(SUBSTITUTE(AzymutB!O118,".",","))</f>
        <v>0</v>
      </c>
      <c r="U118" s="9" t="str">
        <f aca="false">SUBSTITUTE(Audioteka!Q120,"-","")</f>
        <v/>
      </c>
    </row>
    <row r="119" customFormat="false" ht="15.75" hidden="false" customHeight="false" outlineLevel="0" collapsed="false">
      <c r="A119" s="8" t="str">
        <f aca="false">SUBSTITUTE(Histmag!B119,"-","")</f>
        <v/>
      </c>
      <c r="B119" s="9" t="n">
        <f aca="false">VALUE(SUBSTITUTE(Histmag!D119,".",","))</f>
        <v>0</v>
      </c>
      <c r="C119" s="8" t="str">
        <f aca="false">SUBSTITUTE(Virtualo!G119,"-","")</f>
        <v/>
      </c>
      <c r="D119" s="8" t="str">
        <f aca="false">SUBSTITUTE(Empik!F119,"-","")</f>
        <v/>
      </c>
      <c r="E119" s="8" t="str">
        <f aca="false">SUBSTITUTE(Publio!H119,"-","")</f>
        <v/>
      </c>
      <c r="F119" s="8" t="n">
        <f aca="false">VALUE(SUBSTITUTE(Publio!Q119,".",","))</f>
        <v>0</v>
      </c>
      <c r="G119" s="8" t="str">
        <f aca="false">IFERROR(IF(SEARCH("-", Nexto!B100), SUBSTITUTE(Nexto!B100,"-","")), "")</f>
        <v/>
      </c>
      <c r="H119" s="8" t="n">
        <f aca="false">IFERROR(VALUE(SUBSTITUTE(Nexto!P104,".",",")),0)</f>
        <v>0</v>
      </c>
      <c r="I119" s="9" t="str">
        <f aca="false">SUBSTITUTE(Azymut!D119,"-","")</f>
        <v/>
      </c>
      <c r="J119" s="9" t="n">
        <f aca="false">VALUE(SUBSTITUTE(Azymut!O119,".",","))</f>
        <v>0</v>
      </c>
      <c r="K119" s="9" t="str">
        <f aca="false">SUBSTITUTE(Ebookpoint!E131,"-","")</f>
        <v/>
      </c>
      <c r="L119" s="9" t="str">
        <f aca="false">SUBSTITUTE(Nasbi!E131,"-","")</f>
        <v/>
      </c>
      <c r="M119" s="9" t="n">
        <f aca="false">VALUE(SUBSTITUTE(StorytelE!G119,".",","))</f>
        <v>0</v>
      </c>
      <c r="N119" s="9" t="n">
        <f aca="false">VALUE(SUBSTITUTE(StorytelA!G119,".",","))</f>
        <v>0</v>
      </c>
      <c r="O119" s="9" t="n">
        <f aca="false">VALUE(SUBSTITUTE(StorytelE!M119,".",","))</f>
        <v>0</v>
      </c>
      <c r="P119" s="9" t="n">
        <f aca="false">VALUE(SUBSTITUTE(StorytelA!M119,".",","))</f>
        <v>0</v>
      </c>
      <c r="Q119" s="29"/>
      <c r="R119" s="29" t="n">
        <f aca="false">VALUE(SUBSTITUTE(Woblink!H131,".",","))</f>
        <v>0</v>
      </c>
      <c r="S119" s="9" t="str">
        <f aca="false">SUBSTITUTE(AzymutB!D119,"-","")</f>
        <v/>
      </c>
      <c r="T119" s="9" t="n">
        <f aca="false">VALUE(SUBSTITUTE(AzymutB!O119,".",","))</f>
        <v>0</v>
      </c>
      <c r="U119" s="9" t="str">
        <f aca="false">SUBSTITUTE(Audioteka!Q121,"-","")</f>
        <v/>
      </c>
    </row>
    <row r="120" customFormat="false" ht="15.75" hidden="false" customHeight="false" outlineLevel="0" collapsed="false">
      <c r="A120" s="8" t="str">
        <f aca="false">SUBSTITUTE(Histmag!B120,"-","")</f>
        <v/>
      </c>
      <c r="B120" s="9" t="n">
        <f aca="false">VALUE(SUBSTITUTE(Histmag!D120,".",","))</f>
        <v>0</v>
      </c>
      <c r="C120" s="8" t="str">
        <f aca="false">SUBSTITUTE(Virtualo!G120,"-","")</f>
        <v/>
      </c>
      <c r="D120" s="8" t="str">
        <f aca="false">SUBSTITUTE(Empik!F120,"-","")</f>
        <v/>
      </c>
      <c r="E120" s="8" t="str">
        <f aca="false">SUBSTITUTE(Publio!H120,"-","")</f>
        <v/>
      </c>
      <c r="F120" s="8" t="n">
        <f aca="false">VALUE(SUBSTITUTE(Publio!Q120,".",","))</f>
        <v>0</v>
      </c>
      <c r="G120" s="8" t="str">
        <f aca="false">IFERROR(IF(SEARCH("-", Nexto!B101), SUBSTITUTE(Nexto!B101,"-","")), "")</f>
        <v/>
      </c>
      <c r="H120" s="8" t="n">
        <f aca="false">IFERROR(VALUE(SUBSTITUTE(Nexto!P105,".",",")),0)</f>
        <v>0</v>
      </c>
      <c r="I120" s="9" t="str">
        <f aca="false">SUBSTITUTE(Azymut!D120,"-","")</f>
        <v/>
      </c>
      <c r="J120" s="9" t="n">
        <f aca="false">VALUE(SUBSTITUTE(Azymut!O120,".",","))</f>
        <v>0</v>
      </c>
      <c r="K120" s="9" t="str">
        <f aca="false">SUBSTITUTE(Ebookpoint!E132,"-","")</f>
        <v/>
      </c>
      <c r="L120" s="9" t="str">
        <f aca="false">SUBSTITUTE(Nasbi!E132,"-","")</f>
        <v/>
      </c>
      <c r="M120" s="9" t="n">
        <f aca="false">VALUE(SUBSTITUTE(StorytelE!G120,".",","))</f>
        <v>0</v>
      </c>
      <c r="N120" s="9" t="n">
        <f aca="false">VALUE(SUBSTITUTE(StorytelA!G120,".",","))</f>
        <v>0</v>
      </c>
      <c r="O120" s="9" t="n">
        <f aca="false">VALUE(SUBSTITUTE(StorytelE!M120,".",","))</f>
        <v>0</v>
      </c>
      <c r="P120" s="9" t="n">
        <f aca="false">VALUE(SUBSTITUTE(StorytelA!M120,".",","))</f>
        <v>0</v>
      </c>
      <c r="Q120" s="29"/>
      <c r="R120" s="29" t="n">
        <f aca="false">VALUE(SUBSTITUTE(Woblink!H132,".",","))</f>
        <v>0</v>
      </c>
      <c r="S120" s="9" t="str">
        <f aca="false">SUBSTITUTE(AzymutB!D120,"-","")</f>
        <v/>
      </c>
      <c r="T120" s="9" t="n">
        <f aca="false">VALUE(SUBSTITUTE(AzymutB!O120,".",","))</f>
        <v>0</v>
      </c>
      <c r="U120" s="9" t="str">
        <f aca="false">SUBSTITUTE(Audioteka!Q122,"-","")</f>
        <v/>
      </c>
    </row>
    <row r="121" customFormat="false" ht="15.75" hidden="false" customHeight="false" outlineLevel="0" collapsed="false">
      <c r="A121" s="8" t="str">
        <f aca="false">SUBSTITUTE(Histmag!B121,"-","")</f>
        <v/>
      </c>
      <c r="B121" s="9" t="n">
        <f aca="false">VALUE(SUBSTITUTE(Histmag!D121,".",","))</f>
        <v>0</v>
      </c>
      <c r="C121" s="8" t="str">
        <f aca="false">SUBSTITUTE(Virtualo!G121,"-","")</f>
        <v/>
      </c>
      <c r="D121" s="8" t="str">
        <f aca="false">SUBSTITUTE(Empik!F121,"-","")</f>
        <v/>
      </c>
      <c r="E121" s="8" t="str">
        <f aca="false">SUBSTITUTE(Publio!H121,"-","")</f>
        <v/>
      </c>
      <c r="F121" s="8" t="n">
        <f aca="false">VALUE(SUBSTITUTE(Publio!Q121,".",","))</f>
        <v>0</v>
      </c>
      <c r="G121" s="8" t="str">
        <f aca="false">IFERROR(IF(SEARCH("-", Nexto!B102), SUBSTITUTE(Nexto!B102,"-","")), "")</f>
        <v/>
      </c>
      <c r="H121" s="8" t="n">
        <f aca="false">IFERROR(VALUE(SUBSTITUTE(Nexto!P106,".",",")),0)</f>
        <v>0</v>
      </c>
      <c r="I121" s="9" t="str">
        <f aca="false">SUBSTITUTE(Azymut!D121,"-","")</f>
        <v/>
      </c>
      <c r="J121" s="9" t="n">
        <f aca="false">VALUE(SUBSTITUTE(Azymut!O121,".",","))</f>
        <v>0</v>
      </c>
      <c r="K121" s="9" t="str">
        <f aca="false">SUBSTITUTE(Ebookpoint!E133,"-","")</f>
        <v/>
      </c>
      <c r="L121" s="9" t="str">
        <f aca="false">SUBSTITUTE(Nasbi!E133,"-","")</f>
        <v/>
      </c>
      <c r="M121" s="9" t="n">
        <f aca="false">VALUE(SUBSTITUTE(StorytelE!G121,".",","))</f>
        <v>0</v>
      </c>
      <c r="N121" s="9" t="n">
        <f aca="false">VALUE(SUBSTITUTE(StorytelA!G121,".",","))</f>
        <v>0</v>
      </c>
      <c r="O121" s="9" t="n">
        <f aca="false">VALUE(SUBSTITUTE(StorytelE!M121,".",","))</f>
        <v>0</v>
      </c>
      <c r="P121" s="9" t="n">
        <f aca="false">VALUE(SUBSTITUTE(StorytelA!M121,".",","))</f>
        <v>0</v>
      </c>
      <c r="Q121" s="29"/>
      <c r="R121" s="29" t="n">
        <f aca="false">VALUE(SUBSTITUTE(Woblink!H133,".",","))</f>
        <v>0</v>
      </c>
      <c r="S121" s="9" t="str">
        <f aca="false">SUBSTITUTE(AzymutB!D121,"-","")</f>
        <v/>
      </c>
      <c r="T121" s="9" t="n">
        <f aca="false">VALUE(SUBSTITUTE(AzymutB!O121,".",","))</f>
        <v>0</v>
      </c>
      <c r="U121" s="9" t="str">
        <f aca="false">SUBSTITUTE(Audioteka!Q123,"-","")</f>
        <v/>
      </c>
    </row>
    <row r="122" customFormat="false" ht="15.75" hidden="false" customHeight="false" outlineLevel="0" collapsed="false">
      <c r="A122" s="8" t="str">
        <f aca="false">SUBSTITUTE(Histmag!B122,"-","")</f>
        <v/>
      </c>
      <c r="B122" s="9" t="n">
        <f aca="false">VALUE(SUBSTITUTE(Histmag!D122,".",","))</f>
        <v>0</v>
      </c>
      <c r="C122" s="8" t="str">
        <f aca="false">SUBSTITUTE(Virtualo!G122,"-","")</f>
        <v/>
      </c>
      <c r="D122" s="8" t="str">
        <f aca="false">SUBSTITUTE(Empik!F122,"-","")</f>
        <v/>
      </c>
      <c r="E122" s="8" t="str">
        <f aca="false">SUBSTITUTE(Publio!H122,"-","")</f>
        <v/>
      </c>
      <c r="F122" s="8" t="n">
        <f aca="false">VALUE(SUBSTITUTE(Publio!Q122,".",","))</f>
        <v>0</v>
      </c>
      <c r="G122" s="8" t="str">
        <f aca="false">IFERROR(IF(SEARCH("-", Nexto!B103), SUBSTITUTE(Nexto!B103,"-","")), "")</f>
        <v/>
      </c>
      <c r="H122" s="8" t="n">
        <f aca="false">IFERROR(VALUE(SUBSTITUTE(Nexto!P107,".",",")),0)</f>
        <v>0</v>
      </c>
      <c r="I122" s="9" t="str">
        <f aca="false">SUBSTITUTE(Azymut!D122,"-","")</f>
        <v/>
      </c>
      <c r="J122" s="9" t="n">
        <f aca="false">VALUE(SUBSTITUTE(Azymut!O122,".",","))</f>
        <v>0</v>
      </c>
      <c r="K122" s="9" t="str">
        <f aca="false">SUBSTITUTE(Ebookpoint!E134,"-","")</f>
        <v/>
      </c>
      <c r="L122" s="9" t="str">
        <f aca="false">SUBSTITUTE(Nasbi!E134,"-","")</f>
        <v/>
      </c>
      <c r="M122" s="9" t="n">
        <f aca="false">VALUE(SUBSTITUTE(StorytelE!G122,".",","))</f>
        <v>0</v>
      </c>
      <c r="N122" s="9" t="n">
        <f aca="false">VALUE(SUBSTITUTE(StorytelA!G122,".",","))</f>
        <v>0</v>
      </c>
      <c r="O122" s="9" t="n">
        <f aca="false">VALUE(SUBSTITUTE(StorytelE!M122,".",","))</f>
        <v>0</v>
      </c>
      <c r="P122" s="9" t="n">
        <f aca="false">VALUE(SUBSTITUTE(StorytelA!M122,".",","))</f>
        <v>0</v>
      </c>
      <c r="Q122" s="29"/>
      <c r="R122" s="29" t="n">
        <f aca="false">VALUE(SUBSTITUTE(Woblink!H134,".",","))</f>
        <v>0</v>
      </c>
      <c r="S122" s="9" t="str">
        <f aca="false">SUBSTITUTE(AzymutB!D122,"-","")</f>
        <v/>
      </c>
      <c r="T122" s="9" t="n">
        <f aca="false">VALUE(SUBSTITUTE(AzymutB!O122,".",","))</f>
        <v>0</v>
      </c>
      <c r="U122" s="9" t="str">
        <f aca="false">SUBSTITUTE(Audioteka!Q124,"-","")</f>
        <v/>
      </c>
    </row>
    <row r="123" customFormat="false" ht="15.75" hidden="false" customHeight="false" outlineLevel="0" collapsed="false">
      <c r="A123" s="8" t="str">
        <f aca="false">SUBSTITUTE(Histmag!B123,"-","")</f>
        <v/>
      </c>
      <c r="B123" s="9" t="n">
        <f aca="false">VALUE(SUBSTITUTE(Histmag!D123,".",","))</f>
        <v>0</v>
      </c>
      <c r="C123" s="8" t="str">
        <f aca="false">SUBSTITUTE(Virtualo!G123,"-","")</f>
        <v/>
      </c>
      <c r="D123" s="8" t="str">
        <f aca="false">SUBSTITUTE(Empik!F123,"-","")</f>
        <v/>
      </c>
      <c r="E123" s="8" t="str">
        <f aca="false">SUBSTITUTE(Publio!H123,"-","")</f>
        <v/>
      </c>
      <c r="F123" s="8" t="n">
        <f aca="false">VALUE(SUBSTITUTE(Publio!Q123,".",","))</f>
        <v>0</v>
      </c>
      <c r="G123" s="8" t="str">
        <f aca="false">IFERROR(IF(SEARCH("-", Nexto!B104), SUBSTITUTE(Nexto!B104,"-","")), "")</f>
        <v/>
      </c>
      <c r="H123" s="8" t="n">
        <f aca="false">IFERROR(VALUE(SUBSTITUTE(Nexto!P108,".",",")),0)</f>
        <v>0</v>
      </c>
      <c r="I123" s="9" t="str">
        <f aca="false">SUBSTITUTE(Azymut!D123,"-","")</f>
        <v/>
      </c>
      <c r="J123" s="9" t="n">
        <f aca="false">VALUE(SUBSTITUTE(Azymut!O123,".",","))</f>
        <v>0</v>
      </c>
      <c r="K123" s="9" t="str">
        <f aca="false">SUBSTITUTE(Ebookpoint!E135,"-","")</f>
        <v/>
      </c>
      <c r="L123" s="9" t="str">
        <f aca="false">SUBSTITUTE(Nasbi!E135,"-","")</f>
        <v/>
      </c>
      <c r="M123" s="9" t="n">
        <f aca="false">VALUE(SUBSTITUTE(StorytelE!G123,".",","))</f>
        <v>0</v>
      </c>
      <c r="N123" s="9" t="n">
        <f aca="false">VALUE(SUBSTITUTE(StorytelA!G123,".",","))</f>
        <v>0</v>
      </c>
      <c r="O123" s="9" t="n">
        <f aca="false">VALUE(SUBSTITUTE(StorytelE!M123,".",","))</f>
        <v>0</v>
      </c>
      <c r="P123" s="9" t="n">
        <f aca="false">VALUE(SUBSTITUTE(StorytelA!M123,".",","))</f>
        <v>0</v>
      </c>
      <c r="Q123" s="29"/>
      <c r="R123" s="29" t="n">
        <f aca="false">VALUE(SUBSTITUTE(Woblink!H135,".",","))</f>
        <v>0</v>
      </c>
      <c r="S123" s="9" t="str">
        <f aca="false">SUBSTITUTE(AzymutB!D123,"-","")</f>
        <v/>
      </c>
      <c r="T123" s="9" t="n">
        <f aca="false">VALUE(SUBSTITUTE(AzymutB!O123,".",","))</f>
        <v>0</v>
      </c>
      <c r="U123" s="9" t="str">
        <f aca="false">SUBSTITUTE(Audioteka!Q125,"-","")</f>
        <v/>
      </c>
    </row>
    <row r="124" customFormat="false" ht="15.75" hidden="false" customHeight="false" outlineLevel="0" collapsed="false">
      <c r="A124" s="8" t="str">
        <f aca="false">SUBSTITUTE(Histmag!B124,"-","")</f>
        <v/>
      </c>
      <c r="B124" s="9" t="n">
        <f aca="false">VALUE(SUBSTITUTE(Histmag!D124,".",","))</f>
        <v>0</v>
      </c>
      <c r="C124" s="8" t="str">
        <f aca="false">SUBSTITUTE(Virtualo!G124,"-","")</f>
        <v/>
      </c>
      <c r="D124" s="8" t="str">
        <f aca="false">SUBSTITUTE(Empik!F124,"-","")</f>
        <v/>
      </c>
      <c r="E124" s="8" t="str">
        <f aca="false">SUBSTITUTE(Publio!H124,"-","")</f>
        <v/>
      </c>
      <c r="F124" s="8" t="n">
        <f aca="false">VALUE(SUBSTITUTE(Publio!Q124,".",","))</f>
        <v>0</v>
      </c>
      <c r="G124" s="8" t="str">
        <f aca="false">IFERROR(IF(SEARCH("-", Nexto!B105), SUBSTITUTE(Nexto!B105,"-","")), "")</f>
        <v/>
      </c>
      <c r="H124" s="8" t="n">
        <f aca="false">IFERROR(VALUE(SUBSTITUTE(Nexto!P109,".",",")),0)</f>
        <v>0</v>
      </c>
      <c r="I124" s="9" t="str">
        <f aca="false">SUBSTITUTE(Azymut!D124,"-","")</f>
        <v/>
      </c>
      <c r="J124" s="9" t="n">
        <f aca="false">VALUE(SUBSTITUTE(Azymut!O124,".",","))</f>
        <v>0</v>
      </c>
      <c r="K124" s="9" t="str">
        <f aca="false">SUBSTITUTE(Ebookpoint!E136,"-","")</f>
        <v/>
      </c>
      <c r="L124" s="9" t="str">
        <f aca="false">SUBSTITUTE(Nasbi!E136,"-","")</f>
        <v/>
      </c>
      <c r="M124" s="9" t="n">
        <f aca="false">VALUE(SUBSTITUTE(StorytelE!G124,".",","))</f>
        <v>0</v>
      </c>
      <c r="N124" s="9" t="n">
        <f aca="false">VALUE(SUBSTITUTE(StorytelA!G124,".",","))</f>
        <v>0</v>
      </c>
      <c r="O124" s="9" t="n">
        <f aca="false">VALUE(SUBSTITUTE(StorytelE!M124,".",","))</f>
        <v>0</v>
      </c>
      <c r="P124" s="9" t="n">
        <f aca="false">VALUE(SUBSTITUTE(StorytelA!M124,".",","))</f>
        <v>0</v>
      </c>
      <c r="Q124" s="29"/>
      <c r="R124" s="29" t="n">
        <f aca="false">VALUE(SUBSTITUTE(Woblink!H136,".",","))</f>
        <v>0</v>
      </c>
      <c r="S124" s="9" t="str">
        <f aca="false">SUBSTITUTE(AzymutB!D124,"-","")</f>
        <v/>
      </c>
      <c r="T124" s="9" t="n">
        <f aca="false">VALUE(SUBSTITUTE(AzymutB!O124,".",","))</f>
        <v>0</v>
      </c>
      <c r="U124" s="9" t="str">
        <f aca="false">SUBSTITUTE(Audioteka!Q126,"-","")</f>
        <v/>
      </c>
    </row>
    <row r="125" customFormat="false" ht="15.75" hidden="false" customHeight="false" outlineLevel="0" collapsed="false">
      <c r="A125" s="8" t="str">
        <f aca="false">SUBSTITUTE(Histmag!B125,"-","")</f>
        <v/>
      </c>
      <c r="B125" s="9" t="n">
        <f aca="false">VALUE(SUBSTITUTE(Histmag!D125,".",","))</f>
        <v>0</v>
      </c>
      <c r="C125" s="8" t="str">
        <f aca="false">SUBSTITUTE(Virtualo!G125,"-","")</f>
        <v/>
      </c>
      <c r="D125" s="8" t="str">
        <f aca="false">SUBSTITUTE(Empik!F125,"-","")</f>
        <v/>
      </c>
      <c r="E125" s="8" t="str">
        <f aca="false">SUBSTITUTE(Publio!H125,"-","")</f>
        <v/>
      </c>
      <c r="F125" s="8" t="n">
        <f aca="false">VALUE(SUBSTITUTE(Publio!Q125,".",","))</f>
        <v>0</v>
      </c>
      <c r="G125" s="8" t="str">
        <f aca="false">IFERROR(IF(SEARCH("-", Nexto!B106), SUBSTITUTE(Nexto!B106,"-","")), "")</f>
        <v/>
      </c>
      <c r="H125" s="8" t="n">
        <f aca="false">IFERROR(VALUE(SUBSTITUTE(Nexto!P110,".",",")),0)</f>
        <v>0</v>
      </c>
      <c r="I125" s="9" t="str">
        <f aca="false">SUBSTITUTE(Azymut!D125,"-","")</f>
        <v/>
      </c>
      <c r="J125" s="9" t="n">
        <f aca="false">VALUE(SUBSTITUTE(Azymut!O125,".",","))</f>
        <v>0</v>
      </c>
      <c r="K125" s="9" t="str">
        <f aca="false">SUBSTITUTE(Ebookpoint!E137,"-","")</f>
        <v/>
      </c>
      <c r="L125" s="9" t="str">
        <f aca="false">SUBSTITUTE(Nasbi!E137,"-","")</f>
        <v/>
      </c>
      <c r="M125" s="9" t="n">
        <f aca="false">VALUE(SUBSTITUTE(StorytelE!G125,".",","))</f>
        <v>0</v>
      </c>
      <c r="N125" s="9" t="n">
        <f aca="false">VALUE(SUBSTITUTE(StorytelA!G125,".",","))</f>
        <v>0</v>
      </c>
      <c r="O125" s="9" t="n">
        <f aca="false">VALUE(SUBSTITUTE(StorytelE!M125,".",","))</f>
        <v>0</v>
      </c>
      <c r="P125" s="9" t="n">
        <f aca="false">VALUE(SUBSTITUTE(StorytelA!M125,".",","))</f>
        <v>0</v>
      </c>
      <c r="Q125" s="29"/>
      <c r="R125" s="29" t="n">
        <f aca="false">VALUE(SUBSTITUTE(Woblink!H137,".",","))</f>
        <v>0</v>
      </c>
      <c r="S125" s="9" t="str">
        <f aca="false">SUBSTITUTE(AzymutB!D125,"-","")</f>
        <v/>
      </c>
      <c r="T125" s="9" t="n">
        <f aca="false">VALUE(SUBSTITUTE(AzymutB!O125,".",","))</f>
        <v>0</v>
      </c>
      <c r="U125" s="9" t="str">
        <f aca="false">SUBSTITUTE(Audioteka!Q127,"-","")</f>
        <v/>
      </c>
    </row>
    <row r="126" customFormat="false" ht="15.75" hidden="false" customHeight="false" outlineLevel="0" collapsed="false">
      <c r="A126" s="8" t="str">
        <f aca="false">SUBSTITUTE(Histmag!B126,"-","")</f>
        <v/>
      </c>
      <c r="B126" s="9" t="n">
        <f aca="false">VALUE(SUBSTITUTE(Histmag!D126,".",","))</f>
        <v>0</v>
      </c>
      <c r="C126" s="8" t="str">
        <f aca="false">SUBSTITUTE(Virtualo!G126,"-","")</f>
        <v/>
      </c>
      <c r="D126" s="8" t="str">
        <f aca="false">SUBSTITUTE(Empik!F126,"-","")</f>
        <v/>
      </c>
      <c r="E126" s="8" t="str">
        <f aca="false">SUBSTITUTE(Publio!H126,"-","")</f>
        <v/>
      </c>
      <c r="F126" s="8" t="n">
        <f aca="false">VALUE(SUBSTITUTE(Publio!Q126,".",","))</f>
        <v>0</v>
      </c>
      <c r="G126" s="8" t="str">
        <f aca="false">IFERROR(IF(SEARCH("-", Nexto!B107), SUBSTITUTE(Nexto!B107,"-","")), "")</f>
        <v/>
      </c>
      <c r="H126" s="8" t="n">
        <f aca="false">IFERROR(VALUE(SUBSTITUTE(Nexto!P111,".",",")),0)</f>
        <v>0</v>
      </c>
      <c r="I126" s="9" t="str">
        <f aca="false">SUBSTITUTE(Azymut!D126,"-","")</f>
        <v/>
      </c>
      <c r="J126" s="9" t="n">
        <f aca="false">VALUE(SUBSTITUTE(Azymut!O126,".",","))</f>
        <v>0</v>
      </c>
      <c r="K126" s="9" t="str">
        <f aca="false">SUBSTITUTE(Ebookpoint!E138,"-","")</f>
        <v/>
      </c>
      <c r="L126" s="9" t="str">
        <f aca="false">SUBSTITUTE(Nasbi!E138,"-","")</f>
        <v/>
      </c>
      <c r="M126" s="9" t="n">
        <f aca="false">VALUE(SUBSTITUTE(StorytelE!G126,".",","))</f>
        <v>0</v>
      </c>
      <c r="N126" s="9" t="n">
        <f aca="false">VALUE(SUBSTITUTE(StorytelA!G126,".",","))</f>
        <v>0</v>
      </c>
      <c r="O126" s="9" t="n">
        <f aca="false">VALUE(SUBSTITUTE(StorytelE!M126,".",","))</f>
        <v>0</v>
      </c>
      <c r="P126" s="9" t="n">
        <f aca="false">VALUE(SUBSTITUTE(StorytelA!M126,".",","))</f>
        <v>0</v>
      </c>
      <c r="Q126" s="29"/>
      <c r="R126" s="29" t="n">
        <f aca="false">VALUE(SUBSTITUTE(Woblink!H138,".",","))</f>
        <v>0</v>
      </c>
      <c r="S126" s="9" t="str">
        <f aca="false">SUBSTITUTE(AzymutB!D126,"-","")</f>
        <v/>
      </c>
      <c r="T126" s="9" t="n">
        <f aca="false">VALUE(SUBSTITUTE(AzymutB!O126,".",","))</f>
        <v>0</v>
      </c>
      <c r="U126" s="9" t="str">
        <f aca="false">SUBSTITUTE(Audioteka!Q128,"-","")</f>
        <v/>
      </c>
    </row>
    <row r="127" customFormat="false" ht="15.75" hidden="false" customHeight="false" outlineLevel="0" collapsed="false">
      <c r="A127" s="8" t="str">
        <f aca="false">SUBSTITUTE(Histmag!B127,"-","")</f>
        <v/>
      </c>
      <c r="B127" s="9" t="n">
        <f aca="false">VALUE(SUBSTITUTE(Histmag!D127,".",","))</f>
        <v>0</v>
      </c>
      <c r="C127" s="8" t="str">
        <f aca="false">SUBSTITUTE(Virtualo!G127,"-","")</f>
        <v/>
      </c>
      <c r="D127" s="8" t="str">
        <f aca="false">SUBSTITUTE(Empik!F127,"-","")</f>
        <v/>
      </c>
      <c r="E127" s="8" t="str">
        <f aca="false">SUBSTITUTE(Publio!H127,"-","")</f>
        <v/>
      </c>
      <c r="F127" s="8" t="n">
        <f aca="false">VALUE(SUBSTITUTE(Publio!Q127,".",","))</f>
        <v>0</v>
      </c>
      <c r="G127" s="8" t="str">
        <f aca="false">IFERROR(IF(SEARCH("-", Nexto!B108), SUBSTITUTE(Nexto!B108,"-","")), "")</f>
        <v/>
      </c>
      <c r="H127" s="8" t="n">
        <f aca="false">IFERROR(VALUE(SUBSTITUTE(Nexto!P112,".",",")),0)</f>
        <v>0</v>
      </c>
      <c r="I127" s="9" t="str">
        <f aca="false">SUBSTITUTE(Azymut!D127,"-","")</f>
        <v/>
      </c>
      <c r="J127" s="9" t="n">
        <f aca="false">VALUE(SUBSTITUTE(Azymut!O127,".",","))</f>
        <v>0</v>
      </c>
      <c r="K127" s="9" t="str">
        <f aca="false">SUBSTITUTE(Ebookpoint!E139,"-","")</f>
        <v/>
      </c>
      <c r="L127" s="9" t="str">
        <f aca="false">SUBSTITUTE(Nasbi!E139,"-","")</f>
        <v/>
      </c>
      <c r="M127" s="9" t="n">
        <f aca="false">VALUE(SUBSTITUTE(StorytelE!G127,".",","))</f>
        <v>0</v>
      </c>
      <c r="N127" s="9" t="n">
        <f aca="false">VALUE(SUBSTITUTE(StorytelA!G127,".",","))</f>
        <v>0</v>
      </c>
      <c r="O127" s="9" t="n">
        <f aca="false">VALUE(SUBSTITUTE(StorytelE!M127,".",","))</f>
        <v>0</v>
      </c>
      <c r="P127" s="9" t="n">
        <f aca="false">VALUE(SUBSTITUTE(StorytelA!M127,".",","))</f>
        <v>0</v>
      </c>
      <c r="Q127" s="29"/>
      <c r="R127" s="29" t="n">
        <f aca="false">VALUE(SUBSTITUTE(Woblink!H139,".",","))</f>
        <v>0</v>
      </c>
      <c r="S127" s="9" t="str">
        <f aca="false">SUBSTITUTE(AzymutB!D127,"-","")</f>
        <v/>
      </c>
      <c r="T127" s="9" t="n">
        <f aca="false">VALUE(SUBSTITUTE(AzymutB!O127,".",","))</f>
        <v>0</v>
      </c>
      <c r="U127" s="9" t="str">
        <f aca="false">SUBSTITUTE(Audioteka!Q129,"-","")</f>
        <v/>
      </c>
    </row>
    <row r="128" customFormat="false" ht="15.75" hidden="false" customHeight="false" outlineLevel="0" collapsed="false">
      <c r="A128" s="8" t="str">
        <f aca="false">SUBSTITUTE(Histmag!B128,"-","")</f>
        <v/>
      </c>
      <c r="B128" s="9" t="n">
        <f aca="false">VALUE(SUBSTITUTE(Histmag!D128,".",","))</f>
        <v>0</v>
      </c>
      <c r="C128" s="8" t="str">
        <f aca="false">SUBSTITUTE(Virtualo!G128,"-","")</f>
        <v/>
      </c>
      <c r="D128" s="8" t="str">
        <f aca="false">SUBSTITUTE(Empik!F128,"-","")</f>
        <v/>
      </c>
      <c r="E128" s="8" t="str">
        <f aca="false">SUBSTITUTE(Publio!H128,"-","")</f>
        <v/>
      </c>
      <c r="F128" s="8" t="n">
        <f aca="false">VALUE(SUBSTITUTE(Publio!Q128,".",","))</f>
        <v>0</v>
      </c>
      <c r="G128" s="8" t="str">
        <f aca="false">IFERROR(IF(SEARCH("-", Nexto!B109), SUBSTITUTE(Nexto!B109,"-","")), "")</f>
        <v/>
      </c>
      <c r="H128" s="8" t="n">
        <f aca="false">IFERROR(VALUE(SUBSTITUTE(Nexto!P113,".",",")),0)</f>
        <v>0</v>
      </c>
      <c r="I128" s="9" t="str">
        <f aca="false">SUBSTITUTE(Azymut!D128,"-","")</f>
        <v/>
      </c>
      <c r="J128" s="9" t="n">
        <f aca="false">VALUE(SUBSTITUTE(Azymut!O128,".",","))</f>
        <v>0</v>
      </c>
      <c r="K128" s="9" t="str">
        <f aca="false">SUBSTITUTE(Ebookpoint!E140,"-","")</f>
        <v/>
      </c>
      <c r="L128" s="9" t="str">
        <f aca="false">SUBSTITUTE(Nasbi!E140,"-","")</f>
        <v/>
      </c>
      <c r="M128" s="9" t="n">
        <f aca="false">VALUE(SUBSTITUTE(StorytelE!G128,".",","))</f>
        <v>0</v>
      </c>
      <c r="N128" s="9" t="n">
        <f aca="false">VALUE(SUBSTITUTE(StorytelA!G128,".",","))</f>
        <v>0</v>
      </c>
      <c r="O128" s="9" t="n">
        <f aca="false">VALUE(SUBSTITUTE(StorytelE!M128,".",","))</f>
        <v>0</v>
      </c>
      <c r="P128" s="9" t="n">
        <f aca="false">VALUE(SUBSTITUTE(StorytelA!M128,".",","))</f>
        <v>0</v>
      </c>
      <c r="Q128" s="29"/>
      <c r="R128" s="29" t="n">
        <f aca="false">VALUE(SUBSTITUTE(Woblink!H140,".",","))</f>
        <v>0</v>
      </c>
      <c r="S128" s="9" t="str">
        <f aca="false">SUBSTITUTE(AzymutB!D128,"-","")</f>
        <v/>
      </c>
      <c r="T128" s="9" t="n">
        <f aca="false">VALUE(SUBSTITUTE(AzymutB!O128,".",","))</f>
        <v>0</v>
      </c>
      <c r="U128" s="9" t="str">
        <f aca="false">SUBSTITUTE(Audioteka!Q130,"-","")</f>
        <v/>
      </c>
    </row>
    <row r="129" customFormat="false" ht="15.75" hidden="false" customHeight="false" outlineLevel="0" collapsed="false">
      <c r="A129" s="8" t="str">
        <f aca="false">SUBSTITUTE(Histmag!B129,"-","")</f>
        <v/>
      </c>
      <c r="B129" s="9" t="n">
        <f aca="false">VALUE(SUBSTITUTE(Histmag!D129,".",","))</f>
        <v>0</v>
      </c>
      <c r="C129" s="8" t="str">
        <f aca="false">SUBSTITUTE(Virtualo!G129,"-","")</f>
        <v/>
      </c>
      <c r="D129" s="8" t="str">
        <f aca="false">SUBSTITUTE(Empik!F129,"-","")</f>
        <v/>
      </c>
      <c r="E129" s="8" t="str">
        <f aca="false">SUBSTITUTE(Publio!H129,"-","")</f>
        <v/>
      </c>
      <c r="F129" s="8" t="n">
        <f aca="false">VALUE(SUBSTITUTE(Publio!Q129,".",","))</f>
        <v>0</v>
      </c>
      <c r="G129" s="8" t="str">
        <f aca="false">IFERROR(IF(SEARCH("-", Nexto!B110), SUBSTITUTE(Nexto!B110,"-","")), "")</f>
        <v/>
      </c>
      <c r="H129" s="8" t="n">
        <f aca="false">IFERROR(VALUE(SUBSTITUTE(Nexto!P114,".",",")),0)</f>
        <v>0</v>
      </c>
      <c r="I129" s="9" t="str">
        <f aca="false">SUBSTITUTE(Azymut!D129,"-","")</f>
        <v/>
      </c>
      <c r="J129" s="9" t="n">
        <f aca="false">VALUE(SUBSTITUTE(Azymut!O129,".",","))</f>
        <v>0</v>
      </c>
      <c r="K129" s="9" t="str">
        <f aca="false">SUBSTITUTE(Ebookpoint!E141,"-","")</f>
        <v/>
      </c>
      <c r="L129" s="9" t="str">
        <f aca="false">SUBSTITUTE(Nasbi!E141,"-","")</f>
        <v/>
      </c>
      <c r="M129" s="9" t="n">
        <f aca="false">VALUE(SUBSTITUTE(StorytelE!G129,".",","))</f>
        <v>0</v>
      </c>
      <c r="N129" s="9" t="n">
        <f aca="false">VALUE(SUBSTITUTE(StorytelA!G129,".",","))</f>
        <v>0</v>
      </c>
      <c r="O129" s="9" t="n">
        <f aca="false">VALUE(SUBSTITUTE(StorytelE!M129,".",","))</f>
        <v>0</v>
      </c>
      <c r="P129" s="9" t="n">
        <f aca="false">VALUE(SUBSTITUTE(StorytelA!M129,".",","))</f>
        <v>0</v>
      </c>
      <c r="Q129" s="29"/>
      <c r="R129" s="29" t="n">
        <f aca="false">VALUE(SUBSTITUTE(Woblink!H141,".",","))</f>
        <v>0</v>
      </c>
      <c r="S129" s="9" t="str">
        <f aca="false">SUBSTITUTE(AzymutB!D129,"-","")</f>
        <v/>
      </c>
      <c r="T129" s="9" t="n">
        <f aca="false">VALUE(SUBSTITUTE(AzymutB!O129,".",","))</f>
        <v>0</v>
      </c>
      <c r="U129" s="9" t="str">
        <f aca="false">SUBSTITUTE(Audioteka!Q131,"-","")</f>
        <v/>
      </c>
    </row>
    <row r="130" customFormat="false" ht="15.75" hidden="false" customHeight="false" outlineLevel="0" collapsed="false">
      <c r="A130" s="8" t="str">
        <f aca="false">SUBSTITUTE(Histmag!B130,"-","")</f>
        <v/>
      </c>
      <c r="B130" s="9" t="n">
        <f aca="false">VALUE(SUBSTITUTE(Histmag!D130,".",","))</f>
        <v>0</v>
      </c>
      <c r="C130" s="8" t="str">
        <f aca="false">SUBSTITUTE(Virtualo!G130,"-","")</f>
        <v/>
      </c>
      <c r="D130" s="8" t="str">
        <f aca="false">SUBSTITUTE(Empik!F130,"-","")</f>
        <v/>
      </c>
      <c r="E130" s="8" t="str">
        <f aca="false">SUBSTITUTE(Publio!H130,"-","")</f>
        <v/>
      </c>
      <c r="F130" s="8" t="n">
        <f aca="false">VALUE(SUBSTITUTE(Publio!Q130,".",","))</f>
        <v>0</v>
      </c>
      <c r="G130" s="8" t="str">
        <f aca="false">IFERROR(IF(SEARCH("-", Nexto!B111), SUBSTITUTE(Nexto!B111,"-","")), "")</f>
        <v/>
      </c>
      <c r="H130" s="8" t="n">
        <f aca="false">IFERROR(VALUE(SUBSTITUTE(Nexto!P115,".",",")),0)</f>
        <v>0</v>
      </c>
      <c r="I130" s="9" t="str">
        <f aca="false">SUBSTITUTE(Azymut!D130,"-","")</f>
        <v/>
      </c>
      <c r="J130" s="9" t="n">
        <f aca="false">VALUE(SUBSTITUTE(Azymut!O130,".",","))</f>
        <v>0</v>
      </c>
      <c r="K130" s="9" t="str">
        <f aca="false">SUBSTITUTE(Ebookpoint!E142,"-","")</f>
        <v/>
      </c>
      <c r="L130" s="9" t="str">
        <f aca="false">SUBSTITUTE(Nasbi!E142,"-","")</f>
        <v/>
      </c>
      <c r="M130" s="9" t="n">
        <f aca="false">VALUE(SUBSTITUTE(StorytelE!G130,".",","))</f>
        <v>0</v>
      </c>
      <c r="N130" s="9" t="n">
        <f aca="false">VALUE(SUBSTITUTE(StorytelA!G130,".",","))</f>
        <v>0</v>
      </c>
      <c r="O130" s="9" t="n">
        <f aca="false">VALUE(SUBSTITUTE(StorytelE!M130,".",","))</f>
        <v>0</v>
      </c>
      <c r="P130" s="9" t="n">
        <f aca="false">VALUE(SUBSTITUTE(StorytelA!M130,".",","))</f>
        <v>0</v>
      </c>
      <c r="Q130" s="29"/>
      <c r="R130" s="29" t="n">
        <f aca="false">VALUE(SUBSTITUTE(Woblink!H142,".",","))</f>
        <v>0</v>
      </c>
      <c r="S130" s="9" t="str">
        <f aca="false">SUBSTITUTE(AzymutB!D130,"-","")</f>
        <v/>
      </c>
      <c r="T130" s="9" t="n">
        <f aca="false">VALUE(SUBSTITUTE(AzymutB!O130,".",","))</f>
        <v>0</v>
      </c>
      <c r="U130" s="9" t="str">
        <f aca="false">SUBSTITUTE(Audioteka!Q132,"-","")</f>
        <v/>
      </c>
    </row>
    <row r="131" customFormat="false" ht="15.75" hidden="false" customHeight="false" outlineLevel="0" collapsed="false">
      <c r="A131" s="8" t="str">
        <f aca="false">SUBSTITUTE(Histmag!B131,"-","")</f>
        <v/>
      </c>
      <c r="B131" s="9" t="n">
        <f aca="false">VALUE(SUBSTITUTE(Histmag!D131,".",","))</f>
        <v>0</v>
      </c>
      <c r="C131" s="8" t="str">
        <f aca="false">SUBSTITUTE(Virtualo!G131,"-","")</f>
        <v/>
      </c>
      <c r="D131" s="8" t="str">
        <f aca="false">SUBSTITUTE(Empik!F131,"-","")</f>
        <v/>
      </c>
      <c r="E131" s="8" t="str">
        <f aca="false">SUBSTITUTE(Publio!H131,"-","")</f>
        <v/>
      </c>
      <c r="F131" s="8" t="n">
        <f aca="false">VALUE(SUBSTITUTE(Publio!Q131,".",","))</f>
        <v>0</v>
      </c>
      <c r="G131" s="8" t="str">
        <f aca="false">IFERROR(IF(SEARCH("-", Nexto!B112), SUBSTITUTE(Nexto!B112,"-","")), "")</f>
        <v/>
      </c>
      <c r="H131" s="8" t="n">
        <f aca="false">IFERROR(VALUE(SUBSTITUTE(Nexto!P116,".",",")),0)</f>
        <v>0</v>
      </c>
      <c r="I131" s="9" t="str">
        <f aca="false">SUBSTITUTE(Azymut!D131,"-","")</f>
        <v/>
      </c>
      <c r="J131" s="9" t="n">
        <f aca="false">VALUE(SUBSTITUTE(Azymut!O131,".",","))</f>
        <v>0</v>
      </c>
      <c r="K131" s="9" t="str">
        <f aca="false">SUBSTITUTE(Ebookpoint!E143,"-","")</f>
        <v/>
      </c>
      <c r="L131" s="9" t="str">
        <f aca="false">SUBSTITUTE(Nasbi!E143,"-","")</f>
        <v/>
      </c>
      <c r="M131" s="9" t="n">
        <f aca="false">VALUE(SUBSTITUTE(StorytelE!G131,".",","))</f>
        <v>0</v>
      </c>
      <c r="N131" s="9" t="n">
        <f aca="false">VALUE(SUBSTITUTE(StorytelA!G131,".",","))</f>
        <v>0</v>
      </c>
      <c r="O131" s="9" t="n">
        <f aca="false">VALUE(SUBSTITUTE(StorytelE!M131,".",","))</f>
        <v>0</v>
      </c>
      <c r="P131" s="9" t="n">
        <f aca="false">VALUE(SUBSTITUTE(StorytelA!M131,".",","))</f>
        <v>0</v>
      </c>
      <c r="Q131" s="29"/>
      <c r="R131" s="29" t="n">
        <f aca="false">VALUE(SUBSTITUTE(Woblink!H143,".",","))</f>
        <v>0</v>
      </c>
      <c r="S131" s="9" t="str">
        <f aca="false">SUBSTITUTE(AzymutB!D131,"-","")</f>
        <v/>
      </c>
      <c r="T131" s="9" t="n">
        <f aca="false">VALUE(SUBSTITUTE(AzymutB!O131,".",","))</f>
        <v>0</v>
      </c>
      <c r="U131" s="9" t="str">
        <f aca="false">SUBSTITUTE(Audioteka!Q133,"-","")</f>
        <v/>
      </c>
    </row>
    <row r="132" customFormat="false" ht="15.75" hidden="false" customHeight="false" outlineLevel="0" collapsed="false">
      <c r="A132" s="8" t="str">
        <f aca="false">SUBSTITUTE(Histmag!B132,"-","")</f>
        <v/>
      </c>
      <c r="B132" s="9" t="n">
        <f aca="false">VALUE(SUBSTITUTE(Histmag!D132,".",","))</f>
        <v>0</v>
      </c>
      <c r="C132" s="8" t="str">
        <f aca="false">SUBSTITUTE(Virtualo!G132,"-","")</f>
        <v/>
      </c>
      <c r="D132" s="8" t="str">
        <f aca="false">SUBSTITUTE(Empik!F132,"-","")</f>
        <v/>
      </c>
      <c r="E132" s="8" t="str">
        <f aca="false">SUBSTITUTE(Publio!H132,"-","")</f>
        <v/>
      </c>
      <c r="F132" s="8" t="n">
        <f aca="false">VALUE(SUBSTITUTE(Publio!Q132,".",","))</f>
        <v>0</v>
      </c>
      <c r="G132" s="8" t="str">
        <f aca="false">IFERROR(IF(SEARCH("-", Nexto!B113), SUBSTITUTE(Nexto!B113,"-","")), "")</f>
        <v/>
      </c>
      <c r="H132" s="8" t="n">
        <f aca="false">IFERROR(VALUE(SUBSTITUTE(Nexto!P117,".",",")),0)</f>
        <v>0</v>
      </c>
      <c r="I132" s="9" t="str">
        <f aca="false">SUBSTITUTE(Azymut!D132,"-","")</f>
        <v/>
      </c>
      <c r="J132" s="9" t="n">
        <f aca="false">VALUE(SUBSTITUTE(Azymut!O132,".",","))</f>
        <v>0</v>
      </c>
      <c r="K132" s="9" t="str">
        <f aca="false">SUBSTITUTE(Ebookpoint!E144,"-","")</f>
        <v/>
      </c>
      <c r="L132" s="9" t="str">
        <f aca="false">SUBSTITUTE(Nasbi!E144,"-","")</f>
        <v/>
      </c>
      <c r="M132" s="9" t="n">
        <f aca="false">VALUE(SUBSTITUTE(StorytelE!G132,".",","))</f>
        <v>0</v>
      </c>
      <c r="N132" s="9" t="n">
        <f aca="false">VALUE(SUBSTITUTE(StorytelA!G132,".",","))</f>
        <v>0</v>
      </c>
      <c r="O132" s="9" t="n">
        <f aca="false">VALUE(SUBSTITUTE(StorytelE!M132,".",","))</f>
        <v>0</v>
      </c>
      <c r="P132" s="9" t="n">
        <f aca="false">VALUE(SUBSTITUTE(StorytelA!M132,".",","))</f>
        <v>0</v>
      </c>
      <c r="Q132" s="29"/>
      <c r="R132" s="29" t="n">
        <f aca="false">VALUE(SUBSTITUTE(Woblink!H144,".",","))</f>
        <v>0</v>
      </c>
      <c r="S132" s="9" t="str">
        <f aca="false">SUBSTITUTE(AzymutB!D132,"-","")</f>
        <v/>
      </c>
      <c r="T132" s="9" t="n">
        <f aca="false">VALUE(SUBSTITUTE(AzymutB!O132,".",","))</f>
        <v>0</v>
      </c>
      <c r="U132" s="9" t="str">
        <f aca="false">SUBSTITUTE(Audioteka!Q134,"-","")</f>
        <v/>
      </c>
    </row>
    <row r="133" customFormat="false" ht="15.75" hidden="false" customHeight="false" outlineLevel="0" collapsed="false">
      <c r="A133" s="8" t="str">
        <f aca="false">SUBSTITUTE(Histmag!B133,"-","")</f>
        <v/>
      </c>
      <c r="B133" s="9" t="n">
        <f aca="false">VALUE(SUBSTITUTE(Histmag!D133,".",","))</f>
        <v>0</v>
      </c>
      <c r="C133" s="8" t="str">
        <f aca="false">SUBSTITUTE(Virtualo!G133,"-","")</f>
        <v/>
      </c>
      <c r="D133" s="8" t="str">
        <f aca="false">SUBSTITUTE(Empik!F133,"-","")</f>
        <v/>
      </c>
      <c r="E133" s="8" t="str">
        <f aca="false">SUBSTITUTE(Publio!H133,"-","")</f>
        <v/>
      </c>
      <c r="F133" s="8" t="n">
        <f aca="false">VALUE(SUBSTITUTE(Publio!Q133,".",","))</f>
        <v>0</v>
      </c>
      <c r="G133" s="8" t="str">
        <f aca="false">IFERROR(IF(SEARCH("-", Nexto!B114), SUBSTITUTE(Nexto!B114,"-","")), "")</f>
        <v/>
      </c>
      <c r="H133" s="8" t="n">
        <f aca="false">IFERROR(VALUE(SUBSTITUTE(Nexto!P118,".",",")),0)</f>
        <v>0</v>
      </c>
      <c r="I133" s="9" t="str">
        <f aca="false">SUBSTITUTE(Azymut!D133,"-","")</f>
        <v/>
      </c>
      <c r="J133" s="9" t="n">
        <f aca="false">VALUE(SUBSTITUTE(Azymut!O133,".",","))</f>
        <v>0</v>
      </c>
      <c r="K133" s="9" t="str">
        <f aca="false">SUBSTITUTE(Ebookpoint!E145,"-","")</f>
        <v/>
      </c>
      <c r="L133" s="9" t="str">
        <f aca="false">SUBSTITUTE(Nasbi!E145,"-","")</f>
        <v/>
      </c>
      <c r="M133" s="9" t="n">
        <f aca="false">VALUE(SUBSTITUTE(StorytelE!G133,".",","))</f>
        <v>0</v>
      </c>
      <c r="N133" s="9" t="n">
        <f aca="false">VALUE(SUBSTITUTE(StorytelA!G133,".",","))</f>
        <v>0</v>
      </c>
      <c r="O133" s="9" t="n">
        <f aca="false">VALUE(SUBSTITUTE(StorytelE!M133,".",","))</f>
        <v>0</v>
      </c>
      <c r="P133" s="9" t="n">
        <f aca="false">VALUE(SUBSTITUTE(StorytelA!M133,".",","))</f>
        <v>0</v>
      </c>
      <c r="Q133" s="29"/>
      <c r="R133" s="29" t="n">
        <f aca="false">VALUE(SUBSTITUTE(Woblink!H145,".",","))</f>
        <v>0</v>
      </c>
      <c r="S133" s="9" t="str">
        <f aca="false">SUBSTITUTE(AzymutB!D133,"-","")</f>
        <v/>
      </c>
      <c r="T133" s="9" t="n">
        <f aca="false">VALUE(SUBSTITUTE(AzymutB!O133,".",","))</f>
        <v>0</v>
      </c>
      <c r="U133" s="9" t="str">
        <f aca="false">SUBSTITUTE(Audioteka!Q135,"-","")</f>
        <v/>
      </c>
    </row>
    <row r="134" customFormat="false" ht="15.75" hidden="false" customHeight="false" outlineLevel="0" collapsed="false">
      <c r="A134" s="8" t="str">
        <f aca="false">SUBSTITUTE(Histmag!B134,"-","")</f>
        <v/>
      </c>
      <c r="B134" s="9" t="n">
        <f aca="false">VALUE(SUBSTITUTE(Histmag!D134,".",","))</f>
        <v>0</v>
      </c>
      <c r="C134" s="8" t="str">
        <f aca="false">SUBSTITUTE(Virtualo!G134,"-","")</f>
        <v/>
      </c>
      <c r="D134" s="8" t="str">
        <f aca="false">SUBSTITUTE(Empik!F134,"-","")</f>
        <v/>
      </c>
      <c r="E134" s="8" t="str">
        <f aca="false">SUBSTITUTE(Publio!H134,"-","")</f>
        <v/>
      </c>
      <c r="F134" s="8" t="n">
        <f aca="false">VALUE(SUBSTITUTE(Publio!Q134,".",","))</f>
        <v>0</v>
      </c>
      <c r="G134" s="8" t="str">
        <f aca="false">IFERROR(IF(SEARCH("-", Nexto!B115), SUBSTITUTE(Nexto!B115,"-","")), "")</f>
        <v/>
      </c>
      <c r="H134" s="8" t="n">
        <f aca="false">IFERROR(VALUE(SUBSTITUTE(Nexto!P119,".",",")),0)</f>
        <v>0</v>
      </c>
      <c r="I134" s="9" t="str">
        <f aca="false">SUBSTITUTE(Azymut!D134,"-","")</f>
        <v/>
      </c>
      <c r="J134" s="9" t="n">
        <f aca="false">VALUE(SUBSTITUTE(Azymut!O134,".",","))</f>
        <v>0</v>
      </c>
      <c r="K134" s="9" t="str">
        <f aca="false">SUBSTITUTE(Ebookpoint!E146,"-","")</f>
        <v/>
      </c>
      <c r="L134" s="9" t="str">
        <f aca="false">SUBSTITUTE(Nasbi!E146,"-","")</f>
        <v/>
      </c>
      <c r="M134" s="9" t="n">
        <f aca="false">VALUE(SUBSTITUTE(StorytelE!G134,".",","))</f>
        <v>0</v>
      </c>
      <c r="N134" s="9" t="n">
        <f aca="false">VALUE(SUBSTITUTE(StorytelA!G134,".",","))</f>
        <v>0</v>
      </c>
      <c r="O134" s="9" t="n">
        <f aca="false">VALUE(SUBSTITUTE(StorytelE!M134,".",","))</f>
        <v>0</v>
      </c>
      <c r="P134" s="9" t="n">
        <f aca="false">VALUE(SUBSTITUTE(StorytelA!M134,".",","))</f>
        <v>0</v>
      </c>
      <c r="Q134" s="29"/>
      <c r="R134" s="29" t="n">
        <f aca="false">VALUE(SUBSTITUTE(Woblink!H146,".",","))</f>
        <v>0</v>
      </c>
      <c r="S134" s="9" t="str">
        <f aca="false">SUBSTITUTE(AzymutB!D134,"-","")</f>
        <v/>
      </c>
      <c r="T134" s="9" t="n">
        <f aca="false">VALUE(SUBSTITUTE(AzymutB!O134,".",","))</f>
        <v>0</v>
      </c>
      <c r="U134" s="9" t="str">
        <f aca="false">SUBSTITUTE(Audioteka!Q136,"-","")</f>
        <v/>
      </c>
    </row>
    <row r="135" customFormat="false" ht="15.75" hidden="false" customHeight="false" outlineLevel="0" collapsed="false">
      <c r="A135" s="8" t="str">
        <f aca="false">SUBSTITUTE(Histmag!B135,"-","")</f>
        <v/>
      </c>
      <c r="B135" s="9" t="n">
        <f aca="false">VALUE(SUBSTITUTE(Histmag!D135,".",","))</f>
        <v>0</v>
      </c>
      <c r="C135" s="8" t="str">
        <f aca="false">SUBSTITUTE(Virtualo!G135,"-","")</f>
        <v/>
      </c>
      <c r="D135" s="8" t="str">
        <f aca="false">SUBSTITUTE(Empik!F135,"-","")</f>
        <v/>
      </c>
      <c r="E135" s="8" t="str">
        <f aca="false">SUBSTITUTE(Publio!H135,"-","")</f>
        <v/>
      </c>
      <c r="F135" s="8" t="n">
        <f aca="false">VALUE(SUBSTITUTE(Publio!Q135,".",","))</f>
        <v>0</v>
      </c>
      <c r="G135" s="8" t="str">
        <f aca="false">IFERROR(IF(SEARCH("-", Nexto!B116), SUBSTITUTE(Nexto!B116,"-","")), "")</f>
        <v/>
      </c>
      <c r="H135" s="8" t="n">
        <f aca="false">IFERROR(VALUE(SUBSTITUTE(Nexto!P120,".",",")),0)</f>
        <v>0</v>
      </c>
      <c r="I135" s="9" t="str">
        <f aca="false">SUBSTITUTE(Azymut!D135,"-","")</f>
        <v/>
      </c>
      <c r="J135" s="9" t="n">
        <f aca="false">VALUE(SUBSTITUTE(Azymut!O135,".",","))</f>
        <v>0</v>
      </c>
      <c r="K135" s="9" t="str">
        <f aca="false">SUBSTITUTE(Ebookpoint!E147,"-","")</f>
        <v/>
      </c>
      <c r="L135" s="9" t="str">
        <f aca="false">SUBSTITUTE(Nasbi!E147,"-","")</f>
        <v/>
      </c>
      <c r="M135" s="9" t="n">
        <f aca="false">VALUE(SUBSTITUTE(StorytelE!G135,".",","))</f>
        <v>0</v>
      </c>
      <c r="N135" s="9" t="n">
        <f aca="false">VALUE(SUBSTITUTE(StorytelA!G135,".",","))</f>
        <v>0</v>
      </c>
      <c r="O135" s="9" t="n">
        <f aca="false">VALUE(SUBSTITUTE(StorytelE!M135,".",","))</f>
        <v>0</v>
      </c>
      <c r="P135" s="9" t="n">
        <f aca="false">VALUE(SUBSTITUTE(StorytelA!M135,".",","))</f>
        <v>0</v>
      </c>
      <c r="Q135" s="29"/>
      <c r="R135" s="29" t="n">
        <f aca="false">VALUE(SUBSTITUTE(Woblink!H147,".",","))</f>
        <v>0</v>
      </c>
      <c r="S135" s="9" t="str">
        <f aca="false">SUBSTITUTE(AzymutB!D135,"-","")</f>
        <v/>
      </c>
      <c r="T135" s="9" t="n">
        <f aca="false">VALUE(SUBSTITUTE(AzymutB!O135,".",","))</f>
        <v>0</v>
      </c>
      <c r="U135" s="9" t="str">
        <f aca="false">SUBSTITUTE(Audioteka!Q137,"-","")</f>
        <v/>
      </c>
    </row>
    <row r="136" customFormat="false" ht="15.75" hidden="false" customHeight="false" outlineLevel="0" collapsed="false">
      <c r="A136" s="8" t="str">
        <f aca="false">SUBSTITUTE(Histmag!B136,"-","")</f>
        <v/>
      </c>
      <c r="B136" s="9" t="n">
        <f aca="false">VALUE(SUBSTITUTE(Histmag!D136,".",","))</f>
        <v>0</v>
      </c>
      <c r="C136" s="8" t="str">
        <f aca="false">SUBSTITUTE(Virtualo!G136,"-","")</f>
        <v/>
      </c>
      <c r="D136" s="8" t="str">
        <f aca="false">SUBSTITUTE(Empik!F136,"-","")</f>
        <v/>
      </c>
      <c r="E136" s="8" t="str">
        <f aca="false">SUBSTITUTE(Publio!H136,"-","")</f>
        <v/>
      </c>
      <c r="F136" s="8" t="n">
        <f aca="false">VALUE(SUBSTITUTE(Publio!Q136,".",","))</f>
        <v>0</v>
      </c>
      <c r="G136" s="8" t="str">
        <f aca="false">IFERROR(IF(SEARCH("-", Nexto!B117), SUBSTITUTE(Nexto!B117,"-","")), "")</f>
        <v/>
      </c>
      <c r="H136" s="8" t="n">
        <f aca="false">IFERROR(VALUE(SUBSTITUTE(Nexto!P121,".",",")),0)</f>
        <v>0</v>
      </c>
      <c r="I136" s="9" t="str">
        <f aca="false">SUBSTITUTE(Azymut!D136,"-","")</f>
        <v/>
      </c>
      <c r="J136" s="9" t="n">
        <f aca="false">VALUE(SUBSTITUTE(Azymut!O136,".",","))</f>
        <v>0</v>
      </c>
      <c r="K136" s="9" t="str">
        <f aca="false">SUBSTITUTE(Ebookpoint!E148,"-","")</f>
        <v/>
      </c>
      <c r="L136" s="9" t="str">
        <f aca="false">SUBSTITUTE(Nasbi!E148,"-","")</f>
        <v/>
      </c>
      <c r="M136" s="9" t="n">
        <f aca="false">VALUE(SUBSTITUTE(StorytelE!G136,".",","))</f>
        <v>0</v>
      </c>
      <c r="N136" s="9" t="n">
        <f aca="false">VALUE(SUBSTITUTE(StorytelA!G136,".",","))</f>
        <v>0</v>
      </c>
      <c r="O136" s="9" t="n">
        <f aca="false">VALUE(SUBSTITUTE(StorytelE!M136,".",","))</f>
        <v>0</v>
      </c>
      <c r="P136" s="9" t="n">
        <f aca="false">VALUE(SUBSTITUTE(StorytelA!M136,".",","))</f>
        <v>0</v>
      </c>
      <c r="Q136" s="29"/>
      <c r="R136" s="29" t="n">
        <f aca="false">VALUE(SUBSTITUTE(Woblink!H148,".",","))</f>
        <v>0</v>
      </c>
      <c r="S136" s="9" t="str">
        <f aca="false">SUBSTITUTE(AzymutB!D136,"-","")</f>
        <v/>
      </c>
      <c r="T136" s="9" t="n">
        <f aca="false">VALUE(SUBSTITUTE(AzymutB!O136,".",","))</f>
        <v>0</v>
      </c>
      <c r="U136" s="9" t="str">
        <f aca="false">SUBSTITUTE(Audioteka!Q138,"-","")</f>
        <v/>
      </c>
    </row>
    <row r="137" customFormat="false" ht="15.75" hidden="false" customHeight="false" outlineLevel="0" collapsed="false">
      <c r="A137" s="8" t="str">
        <f aca="false">SUBSTITUTE(Histmag!B137,"-","")</f>
        <v/>
      </c>
      <c r="B137" s="9" t="n">
        <f aca="false">VALUE(SUBSTITUTE(Histmag!D137,".",","))</f>
        <v>0</v>
      </c>
      <c r="C137" s="8" t="str">
        <f aca="false">SUBSTITUTE(Virtualo!G137,"-","")</f>
        <v/>
      </c>
      <c r="D137" s="8" t="str">
        <f aca="false">SUBSTITUTE(Empik!F137,"-","")</f>
        <v/>
      </c>
      <c r="E137" s="8" t="str">
        <f aca="false">SUBSTITUTE(Publio!H137,"-","")</f>
        <v/>
      </c>
      <c r="F137" s="8" t="n">
        <f aca="false">VALUE(SUBSTITUTE(Publio!Q137,".",","))</f>
        <v>0</v>
      </c>
      <c r="G137" s="8" t="str">
        <f aca="false">IFERROR(IF(SEARCH("-", Nexto!B118), SUBSTITUTE(Nexto!B118,"-","")), "")</f>
        <v/>
      </c>
      <c r="H137" s="8" t="n">
        <f aca="false">IFERROR(VALUE(SUBSTITUTE(Nexto!P122,".",",")),0)</f>
        <v>0</v>
      </c>
      <c r="I137" s="9" t="str">
        <f aca="false">SUBSTITUTE(Azymut!D137,"-","")</f>
        <v/>
      </c>
      <c r="J137" s="9" t="n">
        <f aca="false">VALUE(SUBSTITUTE(Azymut!O137,".",","))</f>
        <v>0</v>
      </c>
      <c r="K137" s="9" t="str">
        <f aca="false">SUBSTITUTE(Ebookpoint!E149,"-","")</f>
        <v/>
      </c>
      <c r="L137" s="9" t="str">
        <f aca="false">SUBSTITUTE(Nasbi!E149,"-","")</f>
        <v/>
      </c>
      <c r="M137" s="9" t="n">
        <f aca="false">VALUE(SUBSTITUTE(StorytelE!G137,".",","))</f>
        <v>0</v>
      </c>
      <c r="N137" s="9" t="n">
        <f aca="false">VALUE(SUBSTITUTE(StorytelA!G137,".",","))</f>
        <v>0</v>
      </c>
      <c r="O137" s="9" t="n">
        <f aca="false">VALUE(SUBSTITUTE(StorytelE!M137,".",","))</f>
        <v>0</v>
      </c>
      <c r="P137" s="9" t="n">
        <f aca="false">VALUE(SUBSTITUTE(StorytelA!M137,".",","))</f>
        <v>0</v>
      </c>
      <c r="Q137" s="29"/>
      <c r="R137" s="29" t="n">
        <f aca="false">VALUE(SUBSTITUTE(Woblink!H149,".",","))</f>
        <v>0</v>
      </c>
      <c r="S137" s="9" t="str">
        <f aca="false">SUBSTITUTE(AzymutB!D137,"-","")</f>
        <v/>
      </c>
      <c r="T137" s="9" t="n">
        <f aca="false">VALUE(SUBSTITUTE(AzymutB!O137,".",","))</f>
        <v>0</v>
      </c>
      <c r="U137" s="9" t="str">
        <f aca="false">SUBSTITUTE(Audioteka!Q139,"-","")</f>
        <v/>
      </c>
    </row>
    <row r="138" customFormat="false" ht="15.75" hidden="false" customHeight="false" outlineLevel="0" collapsed="false">
      <c r="A138" s="8" t="str">
        <f aca="false">SUBSTITUTE(Histmag!B138,"-","")</f>
        <v/>
      </c>
      <c r="B138" s="9" t="n">
        <f aca="false">VALUE(SUBSTITUTE(Histmag!D138,".",","))</f>
        <v>0</v>
      </c>
      <c r="C138" s="8" t="str">
        <f aca="false">SUBSTITUTE(Virtualo!G138,"-","")</f>
        <v/>
      </c>
      <c r="D138" s="8" t="str">
        <f aca="false">SUBSTITUTE(Empik!F138,"-","")</f>
        <v/>
      </c>
      <c r="E138" s="8" t="str">
        <f aca="false">SUBSTITUTE(Publio!H138,"-","")</f>
        <v/>
      </c>
      <c r="F138" s="8" t="n">
        <f aca="false">VALUE(SUBSTITUTE(Publio!Q138,".",","))</f>
        <v>0</v>
      </c>
      <c r="G138" s="8" t="str">
        <f aca="false">IFERROR(IF(SEARCH("-", Nexto!B119), SUBSTITUTE(Nexto!B119,"-","")), "")</f>
        <v/>
      </c>
      <c r="H138" s="8" t="n">
        <f aca="false">IFERROR(VALUE(SUBSTITUTE(Nexto!P123,".",",")),0)</f>
        <v>0</v>
      </c>
      <c r="I138" s="9" t="str">
        <f aca="false">SUBSTITUTE(Azymut!D138,"-","")</f>
        <v/>
      </c>
      <c r="J138" s="9" t="n">
        <f aca="false">VALUE(SUBSTITUTE(Azymut!O138,".",","))</f>
        <v>0</v>
      </c>
      <c r="K138" s="9" t="str">
        <f aca="false">SUBSTITUTE(Ebookpoint!E150,"-","")</f>
        <v/>
      </c>
      <c r="L138" s="9" t="str">
        <f aca="false">SUBSTITUTE(Nasbi!E150,"-","")</f>
        <v/>
      </c>
      <c r="M138" s="9" t="n">
        <f aca="false">VALUE(SUBSTITUTE(StorytelE!G138,".",","))</f>
        <v>0</v>
      </c>
      <c r="N138" s="9" t="n">
        <f aca="false">VALUE(SUBSTITUTE(StorytelA!G138,".",","))</f>
        <v>0</v>
      </c>
      <c r="O138" s="9" t="n">
        <f aca="false">VALUE(SUBSTITUTE(StorytelE!M138,".",","))</f>
        <v>0</v>
      </c>
      <c r="P138" s="9" t="n">
        <f aca="false">VALUE(SUBSTITUTE(StorytelA!M138,".",","))</f>
        <v>0</v>
      </c>
      <c r="Q138" s="29"/>
      <c r="R138" s="29" t="n">
        <f aca="false">VALUE(SUBSTITUTE(Woblink!H150,".",","))</f>
        <v>0</v>
      </c>
      <c r="S138" s="9" t="str">
        <f aca="false">SUBSTITUTE(AzymutB!D138,"-","")</f>
        <v/>
      </c>
      <c r="T138" s="9" t="n">
        <f aca="false">VALUE(SUBSTITUTE(AzymutB!O138,".",","))</f>
        <v>0</v>
      </c>
      <c r="U138" s="9" t="str">
        <f aca="false">SUBSTITUTE(Audioteka!Q140,"-","")</f>
        <v/>
      </c>
    </row>
    <row r="139" customFormat="false" ht="15.75" hidden="false" customHeight="false" outlineLevel="0" collapsed="false">
      <c r="A139" s="8" t="str">
        <f aca="false">SUBSTITUTE(Histmag!B139,"-","")</f>
        <v/>
      </c>
      <c r="B139" s="9" t="n">
        <f aca="false">VALUE(SUBSTITUTE(Histmag!D139,".",","))</f>
        <v>0</v>
      </c>
      <c r="C139" s="8" t="str">
        <f aca="false">SUBSTITUTE(Virtualo!G139,"-","")</f>
        <v/>
      </c>
      <c r="D139" s="8" t="str">
        <f aca="false">SUBSTITUTE(Empik!F139,"-","")</f>
        <v/>
      </c>
      <c r="E139" s="8" t="str">
        <f aca="false">SUBSTITUTE(Publio!H139,"-","")</f>
        <v/>
      </c>
      <c r="F139" s="8" t="n">
        <f aca="false">VALUE(SUBSTITUTE(Publio!Q139,".",","))</f>
        <v>0</v>
      </c>
      <c r="G139" s="8" t="str">
        <f aca="false">IFERROR(IF(SEARCH("-", Nexto!B120), SUBSTITUTE(Nexto!B120,"-","")), "")</f>
        <v/>
      </c>
      <c r="H139" s="8" t="n">
        <f aca="false">IFERROR(VALUE(SUBSTITUTE(Nexto!P124,".",",")),0)</f>
        <v>0</v>
      </c>
      <c r="I139" s="9" t="str">
        <f aca="false">SUBSTITUTE(Azymut!D139,"-","")</f>
        <v/>
      </c>
      <c r="J139" s="9" t="n">
        <f aca="false">VALUE(SUBSTITUTE(Azymut!O139,".",","))</f>
        <v>0</v>
      </c>
      <c r="K139" s="9" t="str">
        <f aca="false">SUBSTITUTE(Ebookpoint!E151,"-","")</f>
        <v/>
      </c>
      <c r="L139" s="9" t="str">
        <f aca="false">SUBSTITUTE(Nasbi!E151,"-","")</f>
        <v/>
      </c>
      <c r="M139" s="9" t="n">
        <f aca="false">VALUE(SUBSTITUTE(StorytelE!G139,".",","))</f>
        <v>0</v>
      </c>
      <c r="N139" s="9" t="n">
        <f aca="false">VALUE(SUBSTITUTE(StorytelA!G139,".",","))</f>
        <v>0</v>
      </c>
      <c r="O139" s="9" t="n">
        <f aca="false">VALUE(SUBSTITUTE(StorytelE!M139,".",","))</f>
        <v>0</v>
      </c>
      <c r="P139" s="9" t="n">
        <f aca="false">VALUE(SUBSTITUTE(StorytelA!M139,".",","))</f>
        <v>0</v>
      </c>
      <c r="Q139" s="29"/>
      <c r="R139" s="29" t="n">
        <f aca="false">VALUE(SUBSTITUTE(Woblink!H151,".",","))</f>
        <v>0</v>
      </c>
      <c r="S139" s="9" t="str">
        <f aca="false">SUBSTITUTE(AzymutB!D139,"-","")</f>
        <v/>
      </c>
      <c r="T139" s="9" t="n">
        <f aca="false">VALUE(SUBSTITUTE(AzymutB!O139,".",","))</f>
        <v>0</v>
      </c>
      <c r="U139" s="9" t="str">
        <f aca="false">SUBSTITUTE(Audioteka!Q141,"-","")</f>
        <v/>
      </c>
    </row>
    <row r="140" customFormat="false" ht="15.75" hidden="false" customHeight="false" outlineLevel="0" collapsed="false">
      <c r="A140" s="8" t="str">
        <f aca="false">SUBSTITUTE(Histmag!B140,"-","")</f>
        <v/>
      </c>
      <c r="B140" s="9" t="n">
        <f aca="false">VALUE(SUBSTITUTE(Histmag!D140,".",","))</f>
        <v>0</v>
      </c>
      <c r="C140" s="8" t="str">
        <f aca="false">SUBSTITUTE(Virtualo!G140,"-","")</f>
        <v/>
      </c>
      <c r="D140" s="8" t="str">
        <f aca="false">SUBSTITUTE(Empik!F140,"-","")</f>
        <v/>
      </c>
      <c r="E140" s="8" t="str">
        <f aca="false">SUBSTITUTE(Publio!H140,"-","")</f>
        <v/>
      </c>
      <c r="F140" s="8" t="n">
        <f aca="false">VALUE(SUBSTITUTE(Publio!Q140,".",","))</f>
        <v>0</v>
      </c>
      <c r="G140" s="8" t="str">
        <f aca="false">IFERROR(IF(SEARCH("-", Nexto!B121), SUBSTITUTE(Nexto!B121,"-","")), "")</f>
        <v/>
      </c>
      <c r="H140" s="8" t="n">
        <f aca="false">IFERROR(VALUE(SUBSTITUTE(Nexto!P125,".",",")),0)</f>
        <v>0</v>
      </c>
      <c r="I140" s="9" t="str">
        <f aca="false">SUBSTITUTE(Azymut!D140,"-","")</f>
        <v/>
      </c>
      <c r="J140" s="9" t="n">
        <f aca="false">VALUE(SUBSTITUTE(Azymut!O140,".",","))</f>
        <v>0</v>
      </c>
      <c r="K140" s="9" t="str">
        <f aca="false">SUBSTITUTE(Ebookpoint!E152,"-","")</f>
        <v/>
      </c>
      <c r="L140" s="9" t="str">
        <f aca="false">SUBSTITUTE(Nasbi!E152,"-","")</f>
        <v/>
      </c>
      <c r="M140" s="9" t="n">
        <f aca="false">VALUE(SUBSTITUTE(StorytelE!G140,".",","))</f>
        <v>0</v>
      </c>
      <c r="N140" s="9" t="n">
        <f aca="false">VALUE(SUBSTITUTE(StorytelA!G140,".",","))</f>
        <v>0</v>
      </c>
      <c r="O140" s="9" t="n">
        <f aca="false">VALUE(SUBSTITUTE(StorytelE!M140,".",","))</f>
        <v>0</v>
      </c>
      <c r="P140" s="9" t="n">
        <f aca="false">VALUE(SUBSTITUTE(StorytelA!M140,".",","))</f>
        <v>0</v>
      </c>
      <c r="Q140" s="29"/>
      <c r="R140" s="29" t="n">
        <f aca="false">VALUE(SUBSTITUTE(Woblink!H152,".",","))</f>
        <v>0</v>
      </c>
      <c r="S140" s="9" t="str">
        <f aca="false">SUBSTITUTE(AzymutB!D140,"-","")</f>
        <v/>
      </c>
      <c r="T140" s="9" t="n">
        <f aca="false">VALUE(SUBSTITUTE(AzymutB!O140,".",","))</f>
        <v>0</v>
      </c>
      <c r="U140" s="9" t="str">
        <f aca="false">SUBSTITUTE(Audioteka!Q142,"-","")</f>
        <v/>
      </c>
    </row>
    <row r="141" customFormat="false" ht="15.75" hidden="false" customHeight="false" outlineLevel="0" collapsed="false">
      <c r="A141" s="8" t="str">
        <f aca="false">SUBSTITUTE(Histmag!B141,"-","")</f>
        <v/>
      </c>
      <c r="B141" s="9" t="n">
        <f aca="false">VALUE(SUBSTITUTE(Histmag!D141,".",","))</f>
        <v>0</v>
      </c>
      <c r="C141" s="8" t="str">
        <f aca="false">SUBSTITUTE(Virtualo!G141,"-","")</f>
        <v/>
      </c>
      <c r="D141" s="8" t="str">
        <f aca="false">SUBSTITUTE(Empik!F141,"-","")</f>
        <v/>
      </c>
      <c r="E141" s="8" t="str">
        <f aca="false">SUBSTITUTE(Publio!H141,"-","")</f>
        <v/>
      </c>
      <c r="F141" s="8" t="n">
        <f aca="false">VALUE(SUBSTITUTE(Publio!Q141,".",","))</f>
        <v>0</v>
      </c>
      <c r="G141" s="8" t="str">
        <f aca="false">IFERROR(IF(SEARCH("-", Nexto!B122), SUBSTITUTE(Nexto!B122,"-","")), "")</f>
        <v/>
      </c>
      <c r="H141" s="8" t="n">
        <f aca="false">IFERROR(VALUE(SUBSTITUTE(Nexto!P126,".",",")),0)</f>
        <v>0</v>
      </c>
      <c r="I141" s="9" t="str">
        <f aca="false">SUBSTITUTE(Azymut!D141,"-","")</f>
        <v/>
      </c>
      <c r="J141" s="9" t="n">
        <f aca="false">VALUE(SUBSTITUTE(Azymut!O141,".",","))</f>
        <v>0</v>
      </c>
      <c r="K141" s="9" t="str">
        <f aca="false">SUBSTITUTE(Ebookpoint!E153,"-","")</f>
        <v/>
      </c>
      <c r="L141" s="9" t="str">
        <f aca="false">SUBSTITUTE(Nasbi!E153,"-","")</f>
        <v/>
      </c>
      <c r="M141" s="9" t="n">
        <f aca="false">VALUE(SUBSTITUTE(StorytelE!G141,".",","))</f>
        <v>0</v>
      </c>
      <c r="N141" s="9" t="n">
        <f aca="false">VALUE(SUBSTITUTE(StorytelA!G141,".",","))</f>
        <v>0</v>
      </c>
      <c r="O141" s="9" t="n">
        <f aca="false">VALUE(SUBSTITUTE(StorytelE!M141,".",","))</f>
        <v>0</v>
      </c>
      <c r="P141" s="9" t="n">
        <f aca="false">VALUE(SUBSTITUTE(StorytelA!M141,".",","))</f>
        <v>0</v>
      </c>
      <c r="Q141" s="29"/>
      <c r="R141" s="29" t="n">
        <f aca="false">VALUE(SUBSTITUTE(Woblink!H153,".",","))</f>
        <v>0</v>
      </c>
      <c r="S141" s="9" t="str">
        <f aca="false">SUBSTITUTE(AzymutB!D141,"-","")</f>
        <v/>
      </c>
      <c r="T141" s="9" t="n">
        <f aca="false">VALUE(SUBSTITUTE(AzymutB!O141,".",","))</f>
        <v>0</v>
      </c>
      <c r="U141" s="9" t="str">
        <f aca="false">SUBSTITUTE(Audioteka!Q143,"-","")</f>
        <v/>
      </c>
    </row>
    <row r="142" customFormat="false" ht="15.75" hidden="false" customHeight="false" outlineLevel="0" collapsed="false">
      <c r="A142" s="8" t="str">
        <f aca="false">SUBSTITUTE(Histmag!B142,"-","")</f>
        <v/>
      </c>
      <c r="B142" s="9" t="n">
        <f aca="false">VALUE(SUBSTITUTE(Histmag!D142,".",","))</f>
        <v>0</v>
      </c>
      <c r="C142" s="8" t="str">
        <f aca="false">SUBSTITUTE(Virtualo!G142,"-","")</f>
        <v/>
      </c>
      <c r="D142" s="8" t="str">
        <f aca="false">SUBSTITUTE(Empik!F142,"-","")</f>
        <v/>
      </c>
      <c r="E142" s="8" t="str">
        <f aca="false">SUBSTITUTE(Publio!H142,"-","")</f>
        <v/>
      </c>
      <c r="F142" s="8" t="n">
        <f aca="false">VALUE(SUBSTITUTE(Publio!Q142,".",","))</f>
        <v>0</v>
      </c>
      <c r="G142" s="8" t="str">
        <f aca="false">IFERROR(IF(SEARCH("-", Nexto!B123), SUBSTITUTE(Nexto!B123,"-","")), "")</f>
        <v/>
      </c>
      <c r="H142" s="8" t="n">
        <f aca="false">IFERROR(VALUE(SUBSTITUTE(Nexto!P127,".",",")),0)</f>
        <v>0</v>
      </c>
      <c r="I142" s="9" t="str">
        <f aca="false">SUBSTITUTE(Azymut!D142,"-","")</f>
        <v/>
      </c>
      <c r="J142" s="9" t="n">
        <f aca="false">VALUE(SUBSTITUTE(Azymut!O142,".",","))</f>
        <v>0</v>
      </c>
      <c r="K142" s="9" t="str">
        <f aca="false">SUBSTITUTE(Ebookpoint!E154,"-","")</f>
        <v/>
      </c>
      <c r="L142" s="9" t="str">
        <f aca="false">SUBSTITUTE(Nasbi!E154,"-","")</f>
        <v/>
      </c>
      <c r="M142" s="9" t="n">
        <f aca="false">VALUE(SUBSTITUTE(StorytelE!G142,".",","))</f>
        <v>0</v>
      </c>
      <c r="N142" s="9" t="n">
        <f aca="false">VALUE(SUBSTITUTE(StorytelA!G142,".",","))</f>
        <v>0</v>
      </c>
      <c r="O142" s="9" t="n">
        <f aca="false">VALUE(SUBSTITUTE(StorytelE!M142,".",","))</f>
        <v>0</v>
      </c>
      <c r="P142" s="9" t="n">
        <f aca="false">VALUE(SUBSTITUTE(StorytelA!M142,".",","))</f>
        <v>0</v>
      </c>
      <c r="Q142" s="29"/>
      <c r="R142" s="29" t="n">
        <f aca="false">VALUE(SUBSTITUTE(Woblink!H154,".",","))</f>
        <v>0</v>
      </c>
      <c r="S142" s="9" t="str">
        <f aca="false">SUBSTITUTE(AzymutB!D142,"-","")</f>
        <v/>
      </c>
      <c r="T142" s="9" t="n">
        <f aca="false">VALUE(SUBSTITUTE(AzymutB!O142,".",","))</f>
        <v>0</v>
      </c>
      <c r="U142" s="9" t="str">
        <f aca="false">SUBSTITUTE(Audioteka!Q144,"-","")</f>
        <v/>
      </c>
    </row>
    <row r="143" customFormat="false" ht="15.75" hidden="false" customHeight="false" outlineLevel="0" collapsed="false">
      <c r="A143" s="8" t="str">
        <f aca="false">SUBSTITUTE(Histmag!B143,"-","")</f>
        <v/>
      </c>
      <c r="B143" s="9" t="n">
        <f aca="false">VALUE(SUBSTITUTE(Histmag!D143,".",","))</f>
        <v>0</v>
      </c>
      <c r="C143" s="8" t="str">
        <f aca="false">SUBSTITUTE(Virtualo!G143,"-","")</f>
        <v/>
      </c>
      <c r="D143" s="8" t="str">
        <f aca="false">SUBSTITUTE(Empik!F143,"-","")</f>
        <v/>
      </c>
      <c r="E143" s="8" t="str">
        <f aca="false">SUBSTITUTE(Publio!H143,"-","")</f>
        <v/>
      </c>
      <c r="F143" s="8" t="n">
        <f aca="false">VALUE(SUBSTITUTE(Publio!Q143,".",","))</f>
        <v>0</v>
      </c>
      <c r="G143" s="8" t="str">
        <f aca="false">IFERROR(IF(SEARCH("-", Nexto!B124), SUBSTITUTE(Nexto!B124,"-","")), "")</f>
        <v/>
      </c>
      <c r="H143" s="8" t="n">
        <f aca="false">IFERROR(VALUE(SUBSTITUTE(Nexto!P128,".",",")),0)</f>
        <v>0</v>
      </c>
      <c r="I143" s="9" t="str">
        <f aca="false">SUBSTITUTE(Azymut!D143,"-","")</f>
        <v/>
      </c>
      <c r="J143" s="9" t="n">
        <f aca="false">VALUE(SUBSTITUTE(Azymut!O143,".",","))</f>
        <v>0</v>
      </c>
      <c r="K143" s="9" t="str">
        <f aca="false">SUBSTITUTE(Ebookpoint!E155,"-","")</f>
        <v/>
      </c>
      <c r="L143" s="9" t="str">
        <f aca="false">SUBSTITUTE(Nasbi!E155,"-","")</f>
        <v/>
      </c>
      <c r="M143" s="9" t="n">
        <f aca="false">VALUE(SUBSTITUTE(StorytelE!G143,".",","))</f>
        <v>0</v>
      </c>
      <c r="N143" s="9" t="n">
        <f aca="false">VALUE(SUBSTITUTE(StorytelA!G143,".",","))</f>
        <v>0</v>
      </c>
      <c r="O143" s="9" t="n">
        <f aca="false">VALUE(SUBSTITUTE(StorytelE!M143,".",","))</f>
        <v>0</v>
      </c>
      <c r="P143" s="9" t="n">
        <f aca="false">VALUE(SUBSTITUTE(StorytelA!M143,".",","))</f>
        <v>0</v>
      </c>
      <c r="Q143" s="29"/>
      <c r="R143" s="29" t="n">
        <f aca="false">VALUE(SUBSTITUTE(Woblink!H155,".",","))</f>
        <v>0</v>
      </c>
      <c r="S143" s="9" t="str">
        <f aca="false">SUBSTITUTE(AzymutB!D143,"-","")</f>
        <v/>
      </c>
      <c r="T143" s="9" t="n">
        <f aca="false">VALUE(SUBSTITUTE(AzymutB!O143,".",","))</f>
        <v>0</v>
      </c>
      <c r="U143" s="9" t="str">
        <f aca="false">SUBSTITUTE(Audioteka!Q145,"-","")</f>
        <v/>
      </c>
    </row>
    <row r="144" customFormat="false" ht="15.75" hidden="false" customHeight="false" outlineLevel="0" collapsed="false">
      <c r="A144" s="8" t="str">
        <f aca="false">SUBSTITUTE(Histmag!B144,"-","")</f>
        <v/>
      </c>
      <c r="B144" s="9" t="n">
        <f aca="false">VALUE(SUBSTITUTE(Histmag!D144,".",","))</f>
        <v>0</v>
      </c>
      <c r="C144" s="8" t="str">
        <f aca="false">SUBSTITUTE(Virtualo!G144,"-","")</f>
        <v/>
      </c>
      <c r="D144" s="8" t="str">
        <f aca="false">SUBSTITUTE(Empik!F144,"-","")</f>
        <v/>
      </c>
      <c r="E144" s="8" t="str">
        <f aca="false">SUBSTITUTE(Publio!H144,"-","")</f>
        <v/>
      </c>
      <c r="F144" s="8" t="n">
        <f aca="false">VALUE(SUBSTITUTE(Publio!Q144,".",","))</f>
        <v>0</v>
      </c>
      <c r="G144" s="8" t="str">
        <f aca="false">IFERROR(IF(SEARCH("-", Nexto!B125), SUBSTITUTE(Nexto!B125,"-","")), "")</f>
        <v/>
      </c>
      <c r="H144" s="8" t="n">
        <f aca="false">IFERROR(VALUE(SUBSTITUTE(Nexto!P129,".",",")),0)</f>
        <v>0</v>
      </c>
      <c r="I144" s="9" t="str">
        <f aca="false">SUBSTITUTE(Azymut!D144,"-","")</f>
        <v/>
      </c>
      <c r="J144" s="9" t="n">
        <f aca="false">VALUE(SUBSTITUTE(Azymut!O144,".",","))</f>
        <v>0</v>
      </c>
      <c r="K144" s="9" t="str">
        <f aca="false">SUBSTITUTE(Ebookpoint!E156,"-","")</f>
        <v/>
      </c>
      <c r="L144" s="9" t="str">
        <f aca="false">SUBSTITUTE(Nasbi!E156,"-","")</f>
        <v/>
      </c>
      <c r="M144" s="9" t="n">
        <f aca="false">VALUE(SUBSTITUTE(StorytelE!G144,".",","))</f>
        <v>0</v>
      </c>
      <c r="N144" s="9" t="n">
        <f aca="false">VALUE(SUBSTITUTE(StorytelA!G144,".",","))</f>
        <v>0</v>
      </c>
      <c r="O144" s="9" t="n">
        <f aca="false">VALUE(SUBSTITUTE(StorytelE!M144,".",","))</f>
        <v>0</v>
      </c>
      <c r="P144" s="9" t="n">
        <f aca="false">VALUE(SUBSTITUTE(StorytelA!M144,".",","))</f>
        <v>0</v>
      </c>
      <c r="Q144" s="29"/>
      <c r="R144" s="29" t="n">
        <f aca="false">VALUE(SUBSTITUTE(Woblink!H156,".",","))</f>
        <v>0</v>
      </c>
      <c r="S144" s="9" t="str">
        <f aca="false">SUBSTITUTE(AzymutB!D144,"-","")</f>
        <v/>
      </c>
      <c r="T144" s="9" t="n">
        <f aca="false">VALUE(SUBSTITUTE(AzymutB!O144,".",","))</f>
        <v>0</v>
      </c>
      <c r="U144" s="9" t="str">
        <f aca="false">SUBSTITUTE(Audioteka!Q146,"-","")</f>
        <v/>
      </c>
    </row>
    <row r="145" customFormat="false" ht="15.75" hidden="false" customHeight="false" outlineLevel="0" collapsed="false">
      <c r="A145" s="8" t="str">
        <f aca="false">SUBSTITUTE(Histmag!B145,"-","")</f>
        <v/>
      </c>
      <c r="B145" s="9" t="n">
        <f aca="false">VALUE(SUBSTITUTE(Histmag!D145,".",","))</f>
        <v>0</v>
      </c>
      <c r="C145" s="8" t="str">
        <f aca="false">SUBSTITUTE(Virtualo!G145,"-","")</f>
        <v/>
      </c>
      <c r="D145" s="8" t="str">
        <f aca="false">SUBSTITUTE(Empik!F145,"-","")</f>
        <v/>
      </c>
      <c r="E145" s="8" t="str">
        <f aca="false">SUBSTITUTE(Publio!H145,"-","")</f>
        <v/>
      </c>
      <c r="F145" s="8" t="n">
        <f aca="false">VALUE(SUBSTITUTE(Publio!Q145,".",","))</f>
        <v>0</v>
      </c>
      <c r="G145" s="8" t="str">
        <f aca="false">IFERROR(IF(SEARCH("-", Nexto!B126), SUBSTITUTE(Nexto!B126,"-","")), "")</f>
        <v/>
      </c>
      <c r="H145" s="8" t="n">
        <f aca="false">IFERROR(VALUE(SUBSTITUTE(Nexto!P130,".",",")),0)</f>
        <v>0</v>
      </c>
      <c r="I145" s="9" t="str">
        <f aca="false">SUBSTITUTE(Azymut!D145,"-","")</f>
        <v/>
      </c>
      <c r="J145" s="9" t="n">
        <f aca="false">VALUE(SUBSTITUTE(Azymut!O145,".",","))</f>
        <v>0</v>
      </c>
      <c r="K145" s="9" t="str">
        <f aca="false">SUBSTITUTE(Ebookpoint!E157,"-","")</f>
        <v/>
      </c>
      <c r="L145" s="9" t="str">
        <f aca="false">SUBSTITUTE(Nasbi!E157,"-","")</f>
        <v/>
      </c>
      <c r="M145" s="9" t="n">
        <f aca="false">VALUE(SUBSTITUTE(StorytelE!G145,".",","))</f>
        <v>0</v>
      </c>
      <c r="N145" s="9" t="n">
        <f aca="false">VALUE(SUBSTITUTE(StorytelA!G145,".",","))</f>
        <v>0</v>
      </c>
      <c r="O145" s="9" t="n">
        <f aca="false">VALUE(SUBSTITUTE(StorytelE!M145,".",","))</f>
        <v>0</v>
      </c>
      <c r="P145" s="9" t="n">
        <f aca="false">VALUE(SUBSTITUTE(StorytelA!M145,".",","))</f>
        <v>0</v>
      </c>
      <c r="Q145" s="29"/>
      <c r="R145" s="29" t="n">
        <f aca="false">VALUE(SUBSTITUTE(Woblink!H157,".",","))</f>
        <v>0</v>
      </c>
      <c r="S145" s="9" t="str">
        <f aca="false">SUBSTITUTE(AzymutB!D145,"-","")</f>
        <v/>
      </c>
      <c r="T145" s="9" t="n">
        <f aca="false">VALUE(SUBSTITUTE(AzymutB!O145,".",","))</f>
        <v>0</v>
      </c>
      <c r="U145" s="9" t="str">
        <f aca="false">SUBSTITUTE(Audioteka!Q147,"-","")</f>
        <v/>
      </c>
    </row>
    <row r="146" customFormat="false" ht="15.75" hidden="false" customHeight="false" outlineLevel="0" collapsed="false">
      <c r="A146" s="8" t="str">
        <f aca="false">SUBSTITUTE(Histmag!B146,"-","")</f>
        <v/>
      </c>
      <c r="B146" s="9" t="n">
        <f aca="false">VALUE(SUBSTITUTE(Histmag!D146,".",","))</f>
        <v>0</v>
      </c>
      <c r="C146" s="8" t="str">
        <f aca="false">SUBSTITUTE(Virtualo!G146,"-","")</f>
        <v/>
      </c>
      <c r="D146" s="8" t="str">
        <f aca="false">SUBSTITUTE(Empik!F146,"-","")</f>
        <v/>
      </c>
      <c r="E146" s="8" t="str">
        <f aca="false">SUBSTITUTE(Publio!H146,"-","")</f>
        <v/>
      </c>
      <c r="F146" s="8" t="n">
        <f aca="false">VALUE(SUBSTITUTE(Publio!Q146,".",","))</f>
        <v>0</v>
      </c>
      <c r="G146" s="8" t="str">
        <f aca="false">IFERROR(IF(SEARCH("-", Nexto!B127), SUBSTITUTE(Nexto!B127,"-","")), "")</f>
        <v/>
      </c>
      <c r="H146" s="8" t="n">
        <f aca="false">IFERROR(VALUE(SUBSTITUTE(Nexto!P131,".",",")),0)</f>
        <v>0</v>
      </c>
      <c r="I146" s="9" t="str">
        <f aca="false">SUBSTITUTE(Azymut!D146,"-","")</f>
        <v/>
      </c>
      <c r="J146" s="9" t="n">
        <f aca="false">VALUE(SUBSTITUTE(Azymut!O146,".",","))</f>
        <v>0</v>
      </c>
      <c r="K146" s="9" t="str">
        <f aca="false">SUBSTITUTE(Ebookpoint!E158,"-","")</f>
        <v/>
      </c>
      <c r="L146" s="9" t="str">
        <f aca="false">SUBSTITUTE(Nasbi!E158,"-","")</f>
        <v/>
      </c>
      <c r="M146" s="9" t="n">
        <f aca="false">VALUE(SUBSTITUTE(StorytelE!G146,".",","))</f>
        <v>0</v>
      </c>
      <c r="N146" s="9" t="n">
        <f aca="false">VALUE(SUBSTITUTE(StorytelA!G146,".",","))</f>
        <v>0</v>
      </c>
      <c r="O146" s="9" t="n">
        <f aca="false">VALUE(SUBSTITUTE(StorytelE!M146,".",","))</f>
        <v>0</v>
      </c>
      <c r="P146" s="9" t="n">
        <f aca="false">VALUE(SUBSTITUTE(StorytelA!M146,".",","))</f>
        <v>0</v>
      </c>
      <c r="Q146" s="29"/>
      <c r="R146" s="29" t="n">
        <f aca="false">VALUE(SUBSTITUTE(Woblink!H158,".",","))</f>
        <v>0</v>
      </c>
      <c r="S146" s="9" t="str">
        <f aca="false">SUBSTITUTE(AzymutB!D146,"-","")</f>
        <v/>
      </c>
      <c r="T146" s="9" t="n">
        <f aca="false">VALUE(SUBSTITUTE(AzymutB!O146,".",","))</f>
        <v>0</v>
      </c>
      <c r="U146" s="9" t="str">
        <f aca="false">SUBSTITUTE(Audioteka!Q148,"-","")</f>
        <v/>
      </c>
    </row>
    <row r="147" customFormat="false" ht="15.75" hidden="false" customHeight="false" outlineLevel="0" collapsed="false">
      <c r="A147" s="8" t="str">
        <f aca="false">SUBSTITUTE(Histmag!B147,"-","")</f>
        <v/>
      </c>
      <c r="B147" s="9" t="n">
        <f aca="false">VALUE(SUBSTITUTE(Histmag!D147,".",","))</f>
        <v>0</v>
      </c>
      <c r="C147" s="8" t="str">
        <f aca="false">SUBSTITUTE(Virtualo!G147,"-","")</f>
        <v/>
      </c>
      <c r="D147" s="8" t="str">
        <f aca="false">SUBSTITUTE(Empik!F147,"-","")</f>
        <v/>
      </c>
      <c r="E147" s="8" t="str">
        <f aca="false">SUBSTITUTE(Publio!H147,"-","")</f>
        <v/>
      </c>
      <c r="F147" s="8" t="n">
        <f aca="false">VALUE(SUBSTITUTE(Publio!Q147,".",","))</f>
        <v>0</v>
      </c>
      <c r="G147" s="8" t="str">
        <f aca="false">IFERROR(IF(SEARCH("-", Nexto!B128), SUBSTITUTE(Nexto!B128,"-","")), "")</f>
        <v/>
      </c>
      <c r="H147" s="8" t="n">
        <f aca="false">IFERROR(VALUE(SUBSTITUTE(Nexto!P132,".",",")),0)</f>
        <v>0</v>
      </c>
      <c r="I147" s="9" t="str">
        <f aca="false">SUBSTITUTE(Azymut!D147,"-","")</f>
        <v/>
      </c>
      <c r="J147" s="9" t="n">
        <f aca="false">VALUE(SUBSTITUTE(Azymut!O147,".",","))</f>
        <v>0</v>
      </c>
      <c r="K147" s="9" t="str">
        <f aca="false">SUBSTITUTE(Ebookpoint!E159,"-","")</f>
        <v/>
      </c>
      <c r="L147" s="9" t="str">
        <f aca="false">SUBSTITUTE(Nasbi!E159,"-","")</f>
        <v/>
      </c>
      <c r="M147" s="9" t="n">
        <f aca="false">VALUE(SUBSTITUTE(StorytelE!G147,".",","))</f>
        <v>0</v>
      </c>
      <c r="N147" s="9" t="n">
        <f aca="false">VALUE(SUBSTITUTE(StorytelA!G147,".",","))</f>
        <v>0</v>
      </c>
      <c r="O147" s="9" t="n">
        <f aca="false">VALUE(SUBSTITUTE(StorytelE!M147,".",","))</f>
        <v>0</v>
      </c>
      <c r="P147" s="9" t="n">
        <f aca="false">VALUE(SUBSTITUTE(StorytelA!M147,".",","))</f>
        <v>0</v>
      </c>
      <c r="Q147" s="29"/>
      <c r="R147" s="29" t="n">
        <f aca="false">VALUE(SUBSTITUTE(Woblink!H159,".",","))</f>
        <v>0</v>
      </c>
      <c r="S147" s="9" t="str">
        <f aca="false">SUBSTITUTE(AzymutB!D147,"-","")</f>
        <v/>
      </c>
      <c r="T147" s="9" t="n">
        <f aca="false">VALUE(SUBSTITUTE(AzymutB!O147,".",","))</f>
        <v>0</v>
      </c>
      <c r="U147" s="9" t="str">
        <f aca="false">SUBSTITUTE(Audioteka!Q149,"-","")</f>
        <v/>
      </c>
    </row>
    <row r="148" customFormat="false" ht="15.75" hidden="false" customHeight="false" outlineLevel="0" collapsed="false">
      <c r="A148" s="8" t="str">
        <f aca="false">SUBSTITUTE(Histmag!B148,"-","")</f>
        <v/>
      </c>
      <c r="B148" s="9" t="n">
        <f aca="false">VALUE(SUBSTITUTE(Histmag!D148,".",","))</f>
        <v>0</v>
      </c>
      <c r="C148" s="8" t="str">
        <f aca="false">SUBSTITUTE(Virtualo!G148,"-","")</f>
        <v/>
      </c>
      <c r="D148" s="8" t="str">
        <f aca="false">SUBSTITUTE(Empik!F148,"-","")</f>
        <v/>
      </c>
      <c r="E148" s="8" t="str">
        <f aca="false">SUBSTITUTE(Publio!H148,"-","")</f>
        <v/>
      </c>
      <c r="F148" s="8" t="n">
        <f aca="false">VALUE(SUBSTITUTE(Publio!Q148,".",","))</f>
        <v>0</v>
      </c>
      <c r="G148" s="8" t="str">
        <f aca="false">IFERROR(IF(SEARCH("-", Nexto!B129), SUBSTITUTE(Nexto!B129,"-","")), "")</f>
        <v/>
      </c>
      <c r="H148" s="8" t="n">
        <f aca="false">IFERROR(VALUE(SUBSTITUTE(Nexto!P133,".",",")),0)</f>
        <v>0</v>
      </c>
      <c r="I148" s="9" t="str">
        <f aca="false">SUBSTITUTE(Azymut!D148,"-","")</f>
        <v/>
      </c>
      <c r="J148" s="9" t="n">
        <f aca="false">VALUE(SUBSTITUTE(Azymut!O148,".",","))</f>
        <v>0</v>
      </c>
      <c r="K148" s="9" t="str">
        <f aca="false">SUBSTITUTE(Ebookpoint!E160,"-","")</f>
        <v/>
      </c>
      <c r="L148" s="9" t="str">
        <f aca="false">SUBSTITUTE(Nasbi!E160,"-","")</f>
        <v/>
      </c>
      <c r="M148" s="9" t="n">
        <f aca="false">VALUE(SUBSTITUTE(StorytelE!G148,".",","))</f>
        <v>0</v>
      </c>
      <c r="N148" s="9" t="n">
        <f aca="false">VALUE(SUBSTITUTE(StorytelA!G148,".",","))</f>
        <v>0</v>
      </c>
      <c r="O148" s="9" t="n">
        <f aca="false">VALUE(SUBSTITUTE(StorytelE!M148,".",","))</f>
        <v>0</v>
      </c>
      <c r="P148" s="9" t="n">
        <f aca="false">VALUE(SUBSTITUTE(StorytelA!M148,".",","))</f>
        <v>0</v>
      </c>
      <c r="Q148" s="29"/>
      <c r="R148" s="29" t="n">
        <f aca="false">VALUE(SUBSTITUTE(Woblink!H160,".",","))</f>
        <v>0</v>
      </c>
      <c r="S148" s="9" t="str">
        <f aca="false">SUBSTITUTE(AzymutB!D148,"-","")</f>
        <v/>
      </c>
      <c r="T148" s="9" t="n">
        <f aca="false">VALUE(SUBSTITUTE(AzymutB!O148,".",","))</f>
        <v>0</v>
      </c>
      <c r="U148" s="9" t="str">
        <f aca="false">SUBSTITUTE(Audioteka!Q150,"-","")</f>
        <v/>
      </c>
    </row>
    <row r="149" customFormat="false" ht="15.75" hidden="false" customHeight="false" outlineLevel="0" collapsed="false">
      <c r="A149" s="8" t="str">
        <f aca="false">SUBSTITUTE(Histmag!B149,"-","")</f>
        <v/>
      </c>
      <c r="B149" s="9" t="n">
        <f aca="false">VALUE(SUBSTITUTE(Histmag!D149,".",","))</f>
        <v>0</v>
      </c>
      <c r="C149" s="8" t="str">
        <f aca="false">SUBSTITUTE(Virtualo!G149,"-","")</f>
        <v/>
      </c>
      <c r="D149" s="8" t="str">
        <f aca="false">SUBSTITUTE(Empik!F149,"-","")</f>
        <v/>
      </c>
      <c r="E149" s="8" t="str">
        <f aca="false">SUBSTITUTE(Publio!H149,"-","")</f>
        <v/>
      </c>
      <c r="F149" s="8" t="n">
        <f aca="false">VALUE(SUBSTITUTE(Publio!Q149,".",","))</f>
        <v>0</v>
      </c>
      <c r="G149" s="8" t="str">
        <f aca="false">IFERROR(IF(SEARCH("-", Nexto!B130), SUBSTITUTE(Nexto!B130,"-","")), "")</f>
        <v/>
      </c>
      <c r="H149" s="8" t="n">
        <f aca="false">IFERROR(VALUE(SUBSTITUTE(Nexto!P134,".",",")),0)</f>
        <v>0</v>
      </c>
      <c r="I149" s="9" t="str">
        <f aca="false">SUBSTITUTE(Azymut!D149,"-","")</f>
        <v/>
      </c>
      <c r="J149" s="9" t="n">
        <f aca="false">VALUE(SUBSTITUTE(Azymut!O149,".",","))</f>
        <v>0</v>
      </c>
      <c r="K149" s="9" t="str">
        <f aca="false">SUBSTITUTE(Ebookpoint!E161,"-","")</f>
        <v/>
      </c>
      <c r="L149" s="9" t="str">
        <f aca="false">SUBSTITUTE(Nasbi!E161,"-","")</f>
        <v/>
      </c>
      <c r="M149" s="9" t="n">
        <f aca="false">VALUE(SUBSTITUTE(StorytelE!G149,".",","))</f>
        <v>0</v>
      </c>
      <c r="N149" s="9" t="n">
        <f aca="false">VALUE(SUBSTITUTE(StorytelA!G149,".",","))</f>
        <v>0</v>
      </c>
      <c r="O149" s="9" t="n">
        <f aca="false">VALUE(SUBSTITUTE(StorytelE!M149,".",","))</f>
        <v>0</v>
      </c>
      <c r="P149" s="9" t="n">
        <f aca="false">VALUE(SUBSTITUTE(StorytelA!M149,".",","))</f>
        <v>0</v>
      </c>
      <c r="Q149" s="29"/>
      <c r="R149" s="29" t="n">
        <f aca="false">VALUE(SUBSTITUTE(Woblink!H161,".",","))</f>
        <v>0</v>
      </c>
      <c r="S149" s="9" t="str">
        <f aca="false">SUBSTITUTE(AzymutB!D149,"-","")</f>
        <v/>
      </c>
      <c r="T149" s="9" t="n">
        <f aca="false">VALUE(SUBSTITUTE(AzymutB!O149,".",","))</f>
        <v>0</v>
      </c>
      <c r="U149" s="9" t="str">
        <f aca="false">SUBSTITUTE(Audioteka!Q151,"-","")</f>
        <v/>
      </c>
    </row>
    <row r="150" customFormat="false" ht="15.75" hidden="false" customHeight="false" outlineLevel="0" collapsed="false">
      <c r="A150" s="8" t="str">
        <f aca="false">SUBSTITUTE(Histmag!B150,"-","")</f>
        <v/>
      </c>
      <c r="B150" s="9" t="n">
        <f aca="false">VALUE(SUBSTITUTE(Histmag!D150,".",","))</f>
        <v>0</v>
      </c>
      <c r="C150" s="8" t="str">
        <f aca="false">SUBSTITUTE(Virtualo!G150,"-","")</f>
        <v/>
      </c>
      <c r="D150" s="8" t="str">
        <f aca="false">SUBSTITUTE(Empik!F150,"-","")</f>
        <v/>
      </c>
      <c r="E150" s="8" t="str">
        <f aca="false">SUBSTITUTE(Publio!H150,"-","")</f>
        <v/>
      </c>
      <c r="F150" s="8" t="n">
        <f aca="false">VALUE(SUBSTITUTE(Publio!Q150,".",","))</f>
        <v>0</v>
      </c>
      <c r="G150" s="8" t="str">
        <f aca="false">IFERROR(IF(SEARCH("-", Nexto!B131), SUBSTITUTE(Nexto!B131,"-","")), "")</f>
        <v/>
      </c>
      <c r="H150" s="8" t="n">
        <f aca="false">IFERROR(VALUE(SUBSTITUTE(Nexto!P135,".",",")),0)</f>
        <v>0</v>
      </c>
      <c r="I150" s="9" t="str">
        <f aca="false">SUBSTITUTE(Azymut!D150,"-","")</f>
        <v/>
      </c>
      <c r="J150" s="9" t="n">
        <f aca="false">VALUE(SUBSTITUTE(Azymut!O150,".",","))</f>
        <v>0</v>
      </c>
      <c r="K150" s="9" t="str">
        <f aca="false">SUBSTITUTE(Ebookpoint!E162,"-","")</f>
        <v/>
      </c>
      <c r="L150" s="9" t="str">
        <f aca="false">SUBSTITUTE(Nasbi!E162,"-","")</f>
        <v/>
      </c>
      <c r="M150" s="9" t="n">
        <f aca="false">VALUE(SUBSTITUTE(StorytelE!G150,".",","))</f>
        <v>0</v>
      </c>
      <c r="N150" s="9" t="n">
        <f aca="false">VALUE(SUBSTITUTE(StorytelA!G150,".",","))</f>
        <v>0</v>
      </c>
      <c r="O150" s="9" t="n">
        <f aca="false">VALUE(SUBSTITUTE(StorytelE!M150,".",","))</f>
        <v>0</v>
      </c>
      <c r="P150" s="9" t="n">
        <f aca="false">VALUE(SUBSTITUTE(StorytelA!M150,".",","))</f>
        <v>0</v>
      </c>
      <c r="Q150" s="29"/>
      <c r="R150" s="29" t="n">
        <f aca="false">VALUE(SUBSTITUTE(Woblink!H162,".",","))</f>
        <v>0</v>
      </c>
      <c r="S150" s="9" t="str">
        <f aca="false">SUBSTITUTE(AzymutB!D150,"-","")</f>
        <v/>
      </c>
      <c r="T150" s="9" t="n">
        <f aca="false">VALUE(SUBSTITUTE(AzymutB!O150,".",","))</f>
        <v>0</v>
      </c>
      <c r="U150" s="9" t="str">
        <f aca="false">SUBSTITUTE(Audioteka!Q152,"-","")</f>
        <v/>
      </c>
    </row>
    <row r="151" customFormat="false" ht="15.75" hidden="false" customHeight="false" outlineLevel="0" collapsed="false">
      <c r="A151" s="8" t="str">
        <f aca="false">SUBSTITUTE(Histmag!B151,"-","")</f>
        <v/>
      </c>
      <c r="B151" s="9" t="n">
        <f aca="false">VALUE(SUBSTITUTE(Histmag!D151,".",","))</f>
        <v>0</v>
      </c>
      <c r="C151" s="8" t="str">
        <f aca="false">SUBSTITUTE(Virtualo!G151,"-","")</f>
        <v/>
      </c>
      <c r="D151" s="8" t="str">
        <f aca="false">SUBSTITUTE(Empik!F151,"-","")</f>
        <v/>
      </c>
      <c r="E151" s="8" t="str">
        <f aca="false">SUBSTITUTE(Publio!H151,"-","")</f>
        <v/>
      </c>
      <c r="F151" s="8" t="n">
        <f aca="false">VALUE(SUBSTITUTE(Publio!Q151,".",","))</f>
        <v>0</v>
      </c>
      <c r="G151" s="8" t="str">
        <f aca="false">IFERROR(IF(SEARCH("-", Nexto!B132), SUBSTITUTE(Nexto!B132,"-","")), "")</f>
        <v/>
      </c>
      <c r="H151" s="8" t="n">
        <f aca="false">IFERROR(VALUE(SUBSTITUTE(Nexto!P136,".",",")),0)</f>
        <v>0</v>
      </c>
      <c r="I151" s="9" t="str">
        <f aca="false">SUBSTITUTE(Azymut!D151,"-","")</f>
        <v/>
      </c>
      <c r="J151" s="9" t="n">
        <f aca="false">VALUE(SUBSTITUTE(Azymut!O151,".",","))</f>
        <v>0</v>
      </c>
      <c r="K151" s="9" t="str">
        <f aca="false">SUBSTITUTE(Ebookpoint!E163,"-","")</f>
        <v/>
      </c>
      <c r="L151" s="9" t="str">
        <f aca="false">SUBSTITUTE(Nasbi!E163,"-","")</f>
        <v/>
      </c>
      <c r="M151" s="9" t="n">
        <f aca="false">VALUE(SUBSTITUTE(StorytelE!G151,".",","))</f>
        <v>0</v>
      </c>
      <c r="N151" s="9" t="n">
        <f aca="false">VALUE(SUBSTITUTE(StorytelA!G151,".",","))</f>
        <v>0</v>
      </c>
      <c r="O151" s="9" t="n">
        <f aca="false">VALUE(SUBSTITUTE(StorytelE!M151,".",","))</f>
        <v>0</v>
      </c>
      <c r="P151" s="9" t="n">
        <f aca="false">VALUE(SUBSTITUTE(StorytelA!M151,".",","))</f>
        <v>0</v>
      </c>
      <c r="Q151" s="29"/>
      <c r="R151" s="29" t="n">
        <f aca="false">VALUE(SUBSTITUTE(Woblink!H163,".",","))</f>
        <v>0</v>
      </c>
      <c r="S151" s="9" t="str">
        <f aca="false">SUBSTITUTE(AzymutB!D151,"-","")</f>
        <v/>
      </c>
      <c r="T151" s="9" t="n">
        <f aca="false">VALUE(SUBSTITUTE(AzymutB!O151,".",","))</f>
        <v>0</v>
      </c>
      <c r="U151" s="9" t="str">
        <f aca="false">SUBSTITUTE(Audioteka!Q153,"-","")</f>
        <v/>
      </c>
    </row>
    <row r="152" customFormat="false" ht="15.75" hidden="false" customHeight="false" outlineLevel="0" collapsed="false">
      <c r="A152" s="8" t="str">
        <f aca="false">SUBSTITUTE(Histmag!B152,"-","")</f>
        <v/>
      </c>
      <c r="B152" s="9" t="n">
        <f aca="false">VALUE(SUBSTITUTE(Histmag!D152,".",","))</f>
        <v>0</v>
      </c>
      <c r="C152" s="8" t="str">
        <f aca="false">SUBSTITUTE(Virtualo!G152,"-","")</f>
        <v/>
      </c>
      <c r="D152" s="8" t="str">
        <f aca="false">SUBSTITUTE(Empik!F152,"-","")</f>
        <v/>
      </c>
      <c r="E152" s="8" t="str">
        <f aca="false">SUBSTITUTE(Publio!H152,"-","")</f>
        <v/>
      </c>
      <c r="F152" s="8" t="n">
        <f aca="false">VALUE(SUBSTITUTE(Publio!Q152,".",","))</f>
        <v>0</v>
      </c>
      <c r="G152" s="8" t="str">
        <f aca="false">IFERROR(IF(SEARCH("-", Nexto!B133), SUBSTITUTE(Nexto!B133,"-","")), "")</f>
        <v/>
      </c>
      <c r="H152" s="8" t="n">
        <f aca="false">IFERROR(VALUE(SUBSTITUTE(Nexto!P137,".",",")),0)</f>
        <v>0</v>
      </c>
      <c r="I152" s="9" t="str">
        <f aca="false">SUBSTITUTE(Azymut!D152,"-","")</f>
        <v/>
      </c>
      <c r="J152" s="9" t="n">
        <f aca="false">VALUE(SUBSTITUTE(Azymut!O152,".",","))</f>
        <v>0</v>
      </c>
      <c r="K152" s="9" t="str">
        <f aca="false">SUBSTITUTE(Ebookpoint!E164,"-","")</f>
        <v/>
      </c>
      <c r="L152" s="9" t="str">
        <f aca="false">SUBSTITUTE(Nasbi!E164,"-","")</f>
        <v/>
      </c>
      <c r="M152" s="9" t="n">
        <f aca="false">VALUE(SUBSTITUTE(StorytelE!G152,".",","))</f>
        <v>0</v>
      </c>
      <c r="N152" s="9" t="n">
        <f aca="false">VALUE(SUBSTITUTE(StorytelA!G152,".",","))</f>
        <v>0</v>
      </c>
      <c r="O152" s="9" t="n">
        <f aca="false">VALUE(SUBSTITUTE(StorytelE!M152,".",","))</f>
        <v>0</v>
      </c>
      <c r="P152" s="9" t="n">
        <f aca="false">VALUE(SUBSTITUTE(StorytelA!M152,".",","))</f>
        <v>0</v>
      </c>
      <c r="Q152" s="29"/>
      <c r="R152" s="29" t="n">
        <f aca="false">VALUE(SUBSTITUTE(Woblink!H164,".",","))</f>
        <v>0</v>
      </c>
      <c r="S152" s="9" t="str">
        <f aca="false">SUBSTITUTE(AzymutB!D152,"-","")</f>
        <v/>
      </c>
      <c r="T152" s="9" t="n">
        <f aca="false">VALUE(SUBSTITUTE(AzymutB!O152,".",","))</f>
        <v>0</v>
      </c>
      <c r="U152" s="9" t="str">
        <f aca="false">SUBSTITUTE(Audioteka!Q154,"-","")</f>
        <v/>
      </c>
    </row>
    <row r="153" customFormat="false" ht="15.75" hidden="false" customHeight="false" outlineLevel="0" collapsed="false">
      <c r="A153" s="8" t="str">
        <f aca="false">SUBSTITUTE(Histmag!B153,"-","")</f>
        <v/>
      </c>
      <c r="B153" s="9" t="n">
        <f aca="false">VALUE(SUBSTITUTE(Histmag!D153,".",","))</f>
        <v>0</v>
      </c>
      <c r="C153" s="8" t="str">
        <f aca="false">SUBSTITUTE(Virtualo!G153,"-","")</f>
        <v/>
      </c>
      <c r="D153" s="8" t="str">
        <f aca="false">SUBSTITUTE(Empik!F153,"-","")</f>
        <v/>
      </c>
      <c r="E153" s="8" t="str">
        <f aca="false">SUBSTITUTE(Publio!H153,"-","")</f>
        <v/>
      </c>
      <c r="F153" s="8" t="n">
        <f aca="false">VALUE(SUBSTITUTE(Publio!Q153,".",","))</f>
        <v>0</v>
      </c>
      <c r="G153" s="8" t="str">
        <f aca="false">IFERROR(IF(SEARCH("-", Nexto!B134), SUBSTITUTE(Nexto!B134,"-","")), "")</f>
        <v/>
      </c>
      <c r="H153" s="8" t="n">
        <f aca="false">IFERROR(VALUE(SUBSTITUTE(Nexto!P138,".",",")),0)</f>
        <v>0</v>
      </c>
      <c r="I153" s="9" t="str">
        <f aca="false">SUBSTITUTE(Azymut!D153,"-","")</f>
        <v/>
      </c>
      <c r="J153" s="9" t="n">
        <f aca="false">VALUE(SUBSTITUTE(Azymut!O153,".",","))</f>
        <v>0</v>
      </c>
      <c r="K153" s="9" t="str">
        <f aca="false">SUBSTITUTE(Ebookpoint!E165,"-","")</f>
        <v/>
      </c>
      <c r="L153" s="9" t="str">
        <f aca="false">SUBSTITUTE(Nasbi!E165,"-","")</f>
        <v/>
      </c>
      <c r="M153" s="9" t="n">
        <f aca="false">VALUE(SUBSTITUTE(StorytelE!G153,".",","))</f>
        <v>0</v>
      </c>
      <c r="N153" s="9" t="n">
        <f aca="false">VALUE(SUBSTITUTE(StorytelA!G153,".",","))</f>
        <v>0</v>
      </c>
      <c r="O153" s="9" t="n">
        <f aca="false">VALUE(SUBSTITUTE(StorytelE!M153,".",","))</f>
        <v>0</v>
      </c>
      <c r="P153" s="9" t="n">
        <f aca="false">VALUE(SUBSTITUTE(StorytelA!M153,".",","))</f>
        <v>0</v>
      </c>
      <c r="Q153" s="29"/>
      <c r="R153" s="29" t="n">
        <f aca="false">VALUE(SUBSTITUTE(Woblink!H165,".",","))</f>
        <v>0</v>
      </c>
      <c r="S153" s="9" t="str">
        <f aca="false">SUBSTITUTE(AzymutB!D153,"-","")</f>
        <v/>
      </c>
      <c r="T153" s="9" t="n">
        <f aca="false">VALUE(SUBSTITUTE(AzymutB!O153,".",","))</f>
        <v>0</v>
      </c>
      <c r="U153" s="9" t="str">
        <f aca="false">SUBSTITUTE(Audioteka!Q155,"-","")</f>
        <v/>
      </c>
    </row>
    <row r="154" customFormat="false" ht="15.75" hidden="false" customHeight="false" outlineLevel="0" collapsed="false">
      <c r="A154" s="8" t="str">
        <f aca="false">SUBSTITUTE(Histmag!B154,"-","")</f>
        <v/>
      </c>
      <c r="B154" s="9" t="n">
        <f aca="false">VALUE(SUBSTITUTE(Histmag!D154,".",","))</f>
        <v>0</v>
      </c>
      <c r="C154" s="8" t="str">
        <f aca="false">SUBSTITUTE(Virtualo!G154,"-","")</f>
        <v/>
      </c>
      <c r="D154" s="8" t="str">
        <f aca="false">SUBSTITUTE(Empik!F154,"-","")</f>
        <v/>
      </c>
      <c r="E154" s="8" t="str">
        <f aca="false">SUBSTITUTE(Publio!H154,"-","")</f>
        <v/>
      </c>
      <c r="F154" s="8" t="n">
        <f aca="false">VALUE(SUBSTITUTE(Publio!Q154,".",","))</f>
        <v>0</v>
      </c>
      <c r="G154" s="8" t="str">
        <f aca="false">IFERROR(IF(SEARCH("-", Nexto!B135), SUBSTITUTE(Nexto!B135,"-","")), "")</f>
        <v/>
      </c>
      <c r="H154" s="8" t="n">
        <f aca="false">IFERROR(VALUE(SUBSTITUTE(Nexto!P139,".",",")),0)</f>
        <v>0</v>
      </c>
      <c r="I154" s="9" t="str">
        <f aca="false">SUBSTITUTE(Azymut!D154,"-","")</f>
        <v/>
      </c>
      <c r="J154" s="9" t="n">
        <f aca="false">VALUE(SUBSTITUTE(Azymut!O154,".",","))</f>
        <v>0</v>
      </c>
      <c r="K154" s="9" t="str">
        <f aca="false">SUBSTITUTE(Ebookpoint!E166,"-","")</f>
        <v/>
      </c>
      <c r="L154" s="9" t="str">
        <f aca="false">SUBSTITUTE(Nasbi!E166,"-","")</f>
        <v/>
      </c>
      <c r="M154" s="9" t="n">
        <f aca="false">VALUE(SUBSTITUTE(StorytelE!G154,".",","))</f>
        <v>0</v>
      </c>
      <c r="N154" s="9" t="n">
        <f aca="false">VALUE(SUBSTITUTE(StorytelA!G154,".",","))</f>
        <v>0</v>
      </c>
      <c r="O154" s="9" t="n">
        <f aca="false">VALUE(SUBSTITUTE(StorytelE!M154,".",","))</f>
        <v>0</v>
      </c>
      <c r="P154" s="9" t="n">
        <f aca="false">VALUE(SUBSTITUTE(StorytelA!M154,".",","))</f>
        <v>0</v>
      </c>
      <c r="Q154" s="29"/>
      <c r="R154" s="29" t="n">
        <f aca="false">VALUE(SUBSTITUTE(Woblink!H166,".",","))</f>
        <v>0</v>
      </c>
      <c r="S154" s="9" t="str">
        <f aca="false">SUBSTITUTE(AzymutB!D154,"-","")</f>
        <v/>
      </c>
      <c r="T154" s="9" t="n">
        <f aca="false">VALUE(SUBSTITUTE(AzymutB!O154,".",","))</f>
        <v>0</v>
      </c>
      <c r="U154" s="9" t="str">
        <f aca="false">SUBSTITUTE(Audioteka!Q156,"-","")</f>
        <v/>
      </c>
    </row>
    <row r="155" customFormat="false" ht="15.75" hidden="false" customHeight="false" outlineLevel="0" collapsed="false">
      <c r="A155" s="8" t="str">
        <f aca="false">SUBSTITUTE(Histmag!B155,"-","")</f>
        <v/>
      </c>
      <c r="B155" s="9" t="n">
        <f aca="false">VALUE(SUBSTITUTE(Histmag!D155,".",","))</f>
        <v>0</v>
      </c>
      <c r="C155" s="8" t="str">
        <f aca="false">SUBSTITUTE(Virtualo!G155,"-","")</f>
        <v/>
      </c>
      <c r="D155" s="8" t="str">
        <f aca="false">SUBSTITUTE(Empik!F155,"-","")</f>
        <v/>
      </c>
      <c r="E155" s="8" t="str">
        <f aca="false">SUBSTITUTE(Publio!H155,"-","")</f>
        <v/>
      </c>
      <c r="F155" s="8" t="n">
        <f aca="false">VALUE(SUBSTITUTE(Publio!Q155,".",","))</f>
        <v>0</v>
      </c>
      <c r="G155" s="8" t="str">
        <f aca="false">IFERROR(IF(SEARCH("-", Nexto!B136), SUBSTITUTE(Nexto!B136,"-","")), "")</f>
        <v/>
      </c>
      <c r="H155" s="8" t="n">
        <f aca="false">IFERROR(VALUE(SUBSTITUTE(Nexto!P140,".",",")),0)</f>
        <v>0</v>
      </c>
      <c r="I155" s="9" t="str">
        <f aca="false">SUBSTITUTE(Azymut!D155,"-","")</f>
        <v/>
      </c>
      <c r="J155" s="9" t="n">
        <f aca="false">VALUE(SUBSTITUTE(Azymut!O155,".",","))</f>
        <v>0</v>
      </c>
      <c r="K155" s="9" t="str">
        <f aca="false">SUBSTITUTE(Ebookpoint!E167,"-","")</f>
        <v/>
      </c>
      <c r="L155" s="9" t="str">
        <f aca="false">SUBSTITUTE(Nasbi!E167,"-","")</f>
        <v/>
      </c>
      <c r="M155" s="9" t="n">
        <f aca="false">VALUE(SUBSTITUTE(StorytelE!G155,".",","))</f>
        <v>0</v>
      </c>
      <c r="N155" s="9" t="n">
        <f aca="false">VALUE(SUBSTITUTE(StorytelA!G155,".",","))</f>
        <v>0</v>
      </c>
      <c r="O155" s="9" t="n">
        <f aca="false">VALUE(SUBSTITUTE(StorytelE!M155,".",","))</f>
        <v>0</v>
      </c>
      <c r="P155" s="9" t="n">
        <f aca="false">VALUE(SUBSTITUTE(StorytelA!M155,".",","))</f>
        <v>0</v>
      </c>
      <c r="Q155" s="29"/>
      <c r="R155" s="29" t="n">
        <f aca="false">VALUE(SUBSTITUTE(Woblink!H167,".",","))</f>
        <v>0</v>
      </c>
      <c r="S155" s="9" t="str">
        <f aca="false">SUBSTITUTE(AzymutB!D155,"-","")</f>
        <v/>
      </c>
      <c r="T155" s="9" t="n">
        <f aca="false">VALUE(SUBSTITUTE(AzymutB!O155,".",","))</f>
        <v>0</v>
      </c>
      <c r="U155" s="9" t="str">
        <f aca="false">SUBSTITUTE(Audioteka!Q157,"-","")</f>
        <v/>
      </c>
    </row>
    <row r="156" customFormat="false" ht="15.75" hidden="false" customHeight="false" outlineLevel="0" collapsed="false">
      <c r="A156" s="8" t="str">
        <f aca="false">SUBSTITUTE(Histmag!B156,"-","")</f>
        <v/>
      </c>
      <c r="B156" s="9" t="n">
        <f aca="false">VALUE(SUBSTITUTE(Histmag!D156,".",","))</f>
        <v>0</v>
      </c>
      <c r="C156" s="8" t="str">
        <f aca="false">SUBSTITUTE(Virtualo!G156,"-","")</f>
        <v/>
      </c>
      <c r="D156" s="8" t="str">
        <f aca="false">SUBSTITUTE(Empik!F156,"-","")</f>
        <v/>
      </c>
      <c r="E156" s="8" t="str">
        <f aca="false">SUBSTITUTE(Publio!H156,"-","")</f>
        <v/>
      </c>
      <c r="F156" s="8" t="n">
        <f aca="false">VALUE(SUBSTITUTE(Publio!Q156,".",","))</f>
        <v>0</v>
      </c>
      <c r="G156" s="8" t="str">
        <f aca="false">IFERROR(IF(SEARCH("-", Nexto!B137), SUBSTITUTE(Nexto!B137,"-","")), "")</f>
        <v/>
      </c>
      <c r="H156" s="8" t="n">
        <f aca="false">IFERROR(VALUE(SUBSTITUTE(Nexto!P141,".",",")),0)</f>
        <v>0</v>
      </c>
      <c r="I156" s="9" t="str">
        <f aca="false">SUBSTITUTE(Azymut!D156,"-","")</f>
        <v/>
      </c>
      <c r="J156" s="9" t="n">
        <f aca="false">VALUE(SUBSTITUTE(Azymut!O156,".",","))</f>
        <v>0</v>
      </c>
      <c r="K156" s="9" t="str">
        <f aca="false">SUBSTITUTE(Ebookpoint!E168,"-","")</f>
        <v/>
      </c>
      <c r="L156" s="9" t="str">
        <f aca="false">SUBSTITUTE(Nasbi!E168,"-","")</f>
        <v/>
      </c>
      <c r="M156" s="9" t="n">
        <f aca="false">VALUE(SUBSTITUTE(StorytelE!G156,".",","))</f>
        <v>0</v>
      </c>
      <c r="N156" s="9" t="n">
        <f aca="false">VALUE(SUBSTITUTE(StorytelA!G156,".",","))</f>
        <v>0</v>
      </c>
      <c r="O156" s="9" t="n">
        <f aca="false">VALUE(SUBSTITUTE(StorytelE!M156,".",","))</f>
        <v>0</v>
      </c>
      <c r="P156" s="9" t="n">
        <f aca="false">VALUE(SUBSTITUTE(StorytelA!M156,".",","))</f>
        <v>0</v>
      </c>
      <c r="Q156" s="29"/>
      <c r="R156" s="29" t="n">
        <f aca="false">VALUE(SUBSTITUTE(Woblink!H168,".",","))</f>
        <v>0</v>
      </c>
      <c r="S156" s="9" t="str">
        <f aca="false">SUBSTITUTE(AzymutB!D156,"-","")</f>
        <v/>
      </c>
      <c r="T156" s="9" t="n">
        <f aca="false">VALUE(SUBSTITUTE(AzymutB!O156,".",","))</f>
        <v>0</v>
      </c>
      <c r="U156" s="9" t="str">
        <f aca="false">SUBSTITUTE(Audioteka!Q158,"-","")</f>
        <v/>
      </c>
    </row>
    <row r="157" customFormat="false" ht="15.75" hidden="false" customHeight="false" outlineLevel="0" collapsed="false">
      <c r="A157" s="8" t="str">
        <f aca="false">SUBSTITUTE(Histmag!B157,"-","")</f>
        <v/>
      </c>
      <c r="B157" s="9" t="n">
        <f aca="false">VALUE(SUBSTITUTE(Histmag!D157,".",","))</f>
        <v>0</v>
      </c>
      <c r="C157" s="8" t="str">
        <f aca="false">SUBSTITUTE(Virtualo!G157,"-","")</f>
        <v/>
      </c>
      <c r="D157" s="8" t="str">
        <f aca="false">SUBSTITUTE(Empik!F157,"-","")</f>
        <v/>
      </c>
      <c r="E157" s="8" t="str">
        <f aca="false">SUBSTITUTE(Publio!H157,"-","")</f>
        <v/>
      </c>
      <c r="F157" s="8" t="n">
        <f aca="false">VALUE(SUBSTITUTE(Publio!Q157,".",","))</f>
        <v>0</v>
      </c>
      <c r="G157" s="8" t="str">
        <f aca="false">IFERROR(IF(SEARCH("-", Nexto!B138), SUBSTITUTE(Nexto!B138,"-","")), "")</f>
        <v/>
      </c>
      <c r="H157" s="8" t="n">
        <f aca="false">IFERROR(VALUE(SUBSTITUTE(Nexto!P142,".",",")),0)</f>
        <v>0</v>
      </c>
      <c r="I157" s="9" t="str">
        <f aca="false">SUBSTITUTE(Azymut!D157,"-","")</f>
        <v/>
      </c>
      <c r="J157" s="9" t="n">
        <f aca="false">VALUE(SUBSTITUTE(Azymut!O157,".",","))</f>
        <v>0</v>
      </c>
      <c r="K157" s="9" t="str">
        <f aca="false">SUBSTITUTE(Ebookpoint!E169,"-","")</f>
        <v/>
      </c>
      <c r="L157" s="9" t="str">
        <f aca="false">SUBSTITUTE(Nasbi!E169,"-","")</f>
        <v/>
      </c>
      <c r="M157" s="9" t="n">
        <f aca="false">VALUE(SUBSTITUTE(StorytelE!G157,".",","))</f>
        <v>0</v>
      </c>
      <c r="N157" s="9" t="n">
        <f aca="false">VALUE(SUBSTITUTE(StorytelA!G157,".",","))</f>
        <v>0</v>
      </c>
      <c r="O157" s="9" t="n">
        <f aca="false">VALUE(SUBSTITUTE(StorytelE!M157,".",","))</f>
        <v>0</v>
      </c>
      <c r="P157" s="9" t="n">
        <f aca="false">VALUE(SUBSTITUTE(StorytelA!M157,".",","))</f>
        <v>0</v>
      </c>
      <c r="Q157" s="29"/>
      <c r="R157" s="29" t="n">
        <f aca="false">VALUE(SUBSTITUTE(Woblink!H169,".",","))</f>
        <v>0</v>
      </c>
      <c r="S157" s="9" t="str">
        <f aca="false">SUBSTITUTE(AzymutB!D157,"-","")</f>
        <v/>
      </c>
      <c r="T157" s="9" t="n">
        <f aca="false">VALUE(SUBSTITUTE(AzymutB!O157,".",","))</f>
        <v>0</v>
      </c>
      <c r="U157" s="9" t="str">
        <f aca="false">SUBSTITUTE(Audioteka!Q159,"-","")</f>
        <v/>
      </c>
    </row>
    <row r="158" customFormat="false" ht="15.75" hidden="false" customHeight="false" outlineLevel="0" collapsed="false">
      <c r="A158" s="8" t="str">
        <f aca="false">SUBSTITUTE(Histmag!B158,"-","")</f>
        <v/>
      </c>
      <c r="B158" s="9" t="n">
        <f aca="false">VALUE(SUBSTITUTE(Histmag!D158,".",","))</f>
        <v>0</v>
      </c>
      <c r="C158" s="8" t="str">
        <f aca="false">SUBSTITUTE(Virtualo!G158,"-","")</f>
        <v/>
      </c>
      <c r="D158" s="8" t="str">
        <f aca="false">SUBSTITUTE(Empik!F158,"-","")</f>
        <v/>
      </c>
      <c r="E158" s="8" t="str">
        <f aca="false">SUBSTITUTE(Publio!H158,"-","")</f>
        <v/>
      </c>
      <c r="F158" s="8" t="n">
        <f aca="false">VALUE(SUBSTITUTE(Publio!Q158,".",","))</f>
        <v>0</v>
      </c>
      <c r="G158" s="8" t="str">
        <f aca="false">IFERROR(IF(SEARCH("-", Nexto!B139), SUBSTITUTE(Nexto!B139,"-","")), "")</f>
        <v/>
      </c>
      <c r="H158" s="8" t="n">
        <f aca="false">IFERROR(VALUE(SUBSTITUTE(Nexto!P143,".",",")),0)</f>
        <v>0</v>
      </c>
      <c r="I158" s="9" t="str">
        <f aca="false">SUBSTITUTE(Azymut!D158,"-","")</f>
        <v/>
      </c>
      <c r="J158" s="9" t="n">
        <f aca="false">VALUE(SUBSTITUTE(Azymut!O158,".",","))</f>
        <v>0</v>
      </c>
      <c r="K158" s="9" t="str">
        <f aca="false">SUBSTITUTE(Ebookpoint!E170,"-","")</f>
        <v/>
      </c>
      <c r="L158" s="9" t="str">
        <f aca="false">SUBSTITUTE(Nasbi!E170,"-","")</f>
        <v/>
      </c>
      <c r="M158" s="9" t="n">
        <f aca="false">VALUE(SUBSTITUTE(StorytelE!G158,".",","))</f>
        <v>0</v>
      </c>
      <c r="N158" s="9" t="n">
        <f aca="false">VALUE(SUBSTITUTE(StorytelA!G158,".",","))</f>
        <v>0</v>
      </c>
      <c r="O158" s="9" t="n">
        <f aca="false">VALUE(SUBSTITUTE(StorytelE!M158,".",","))</f>
        <v>0</v>
      </c>
      <c r="P158" s="9" t="n">
        <f aca="false">VALUE(SUBSTITUTE(StorytelA!M158,".",","))</f>
        <v>0</v>
      </c>
      <c r="Q158" s="29"/>
      <c r="R158" s="29" t="n">
        <f aca="false">VALUE(SUBSTITUTE(Woblink!H170,".",","))</f>
        <v>0</v>
      </c>
      <c r="S158" s="9" t="str">
        <f aca="false">SUBSTITUTE(AzymutB!D158,"-","")</f>
        <v/>
      </c>
      <c r="T158" s="9" t="n">
        <f aca="false">VALUE(SUBSTITUTE(AzymutB!O158,".",","))</f>
        <v>0</v>
      </c>
      <c r="U158" s="9" t="str">
        <f aca="false">SUBSTITUTE(Audioteka!Q160,"-","")</f>
        <v/>
      </c>
    </row>
    <row r="159" customFormat="false" ht="15.75" hidden="false" customHeight="false" outlineLevel="0" collapsed="false">
      <c r="A159" s="8" t="str">
        <f aca="false">SUBSTITUTE(Histmag!B159,"-","")</f>
        <v/>
      </c>
      <c r="B159" s="9" t="n">
        <f aca="false">VALUE(SUBSTITUTE(Histmag!D159,".",","))</f>
        <v>0</v>
      </c>
      <c r="C159" s="8" t="str">
        <f aca="false">SUBSTITUTE(Virtualo!G159,"-","")</f>
        <v/>
      </c>
      <c r="D159" s="8" t="str">
        <f aca="false">SUBSTITUTE(Empik!F159,"-","")</f>
        <v/>
      </c>
      <c r="E159" s="8" t="str">
        <f aca="false">SUBSTITUTE(Publio!H159,"-","")</f>
        <v/>
      </c>
      <c r="F159" s="8" t="n">
        <f aca="false">VALUE(SUBSTITUTE(Publio!Q159,".",","))</f>
        <v>0</v>
      </c>
      <c r="G159" s="8" t="str">
        <f aca="false">IFERROR(IF(SEARCH("-", Nexto!B140), SUBSTITUTE(Nexto!B140,"-","")), "")</f>
        <v/>
      </c>
      <c r="H159" s="8" t="n">
        <f aca="false">IFERROR(VALUE(SUBSTITUTE(Nexto!P144,".",",")),0)</f>
        <v>0</v>
      </c>
      <c r="I159" s="9" t="str">
        <f aca="false">SUBSTITUTE(Azymut!D159,"-","")</f>
        <v/>
      </c>
      <c r="J159" s="9" t="n">
        <f aca="false">VALUE(SUBSTITUTE(Azymut!O159,".",","))</f>
        <v>0</v>
      </c>
      <c r="K159" s="9" t="str">
        <f aca="false">SUBSTITUTE(Ebookpoint!E171,"-","")</f>
        <v/>
      </c>
      <c r="L159" s="9" t="str">
        <f aca="false">SUBSTITUTE(Nasbi!E171,"-","")</f>
        <v/>
      </c>
      <c r="M159" s="9" t="n">
        <f aca="false">VALUE(SUBSTITUTE(StorytelE!G159,".",","))</f>
        <v>0</v>
      </c>
      <c r="N159" s="9" t="n">
        <f aca="false">VALUE(SUBSTITUTE(StorytelA!G159,".",","))</f>
        <v>0</v>
      </c>
      <c r="O159" s="9" t="n">
        <f aca="false">VALUE(SUBSTITUTE(StorytelE!M159,".",","))</f>
        <v>0</v>
      </c>
      <c r="P159" s="9" t="n">
        <f aca="false">VALUE(SUBSTITUTE(StorytelA!M159,".",","))</f>
        <v>0</v>
      </c>
      <c r="Q159" s="29"/>
      <c r="R159" s="29" t="n">
        <f aca="false">VALUE(SUBSTITUTE(Woblink!H171,".",","))</f>
        <v>0</v>
      </c>
      <c r="S159" s="9" t="str">
        <f aca="false">SUBSTITUTE(AzymutB!D159,"-","")</f>
        <v/>
      </c>
      <c r="T159" s="9" t="n">
        <f aca="false">VALUE(SUBSTITUTE(AzymutB!O159,".",","))</f>
        <v>0</v>
      </c>
      <c r="U159" s="9" t="str">
        <f aca="false">SUBSTITUTE(Audioteka!Q161,"-","")</f>
        <v/>
      </c>
    </row>
    <row r="160" customFormat="false" ht="15.75" hidden="false" customHeight="false" outlineLevel="0" collapsed="false">
      <c r="A160" s="8" t="str">
        <f aca="false">SUBSTITUTE(Histmag!B160,"-","")</f>
        <v/>
      </c>
      <c r="B160" s="9" t="n">
        <f aca="false">VALUE(SUBSTITUTE(Histmag!D160,".",","))</f>
        <v>0</v>
      </c>
      <c r="C160" s="8" t="str">
        <f aca="false">SUBSTITUTE(Virtualo!G160,"-","")</f>
        <v/>
      </c>
      <c r="D160" s="8" t="str">
        <f aca="false">SUBSTITUTE(Empik!F160,"-","")</f>
        <v/>
      </c>
      <c r="E160" s="8" t="str">
        <f aca="false">SUBSTITUTE(Publio!H160,"-","")</f>
        <v/>
      </c>
      <c r="F160" s="8" t="n">
        <f aca="false">VALUE(SUBSTITUTE(Publio!Q160,".",","))</f>
        <v>0</v>
      </c>
      <c r="G160" s="8" t="str">
        <f aca="false">IFERROR(IF(SEARCH("-", Nexto!B141), SUBSTITUTE(Nexto!B141,"-","")), "")</f>
        <v/>
      </c>
      <c r="H160" s="8" t="n">
        <f aca="false">IFERROR(VALUE(SUBSTITUTE(Nexto!P145,".",",")),0)</f>
        <v>0</v>
      </c>
      <c r="I160" s="9" t="str">
        <f aca="false">SUBSTITUTE(Azymut!D160,"-","")</f>
        <v/>
      </c>
      <c r="J160" s="9" t="n">
        <f aca="false">VALUE(SUBSTITUTE(Azymut!O160,".",","))</f>
        <v>0</v>
      </c>
      <c r="K160" s="9" t="str">
        <f aca="false">SUBSTITUTE(Ebookpoint!E172,"-","")</f>
        <v/>
      </c>
      <c r="L160" s="9" t="str">
        <f aca="false">SUBSTITUTE(Nasbi!E172,"-","")</f>
        <v/>
      </c>
      <c r="M160" s="9" t="n">
        <f aca="false">VALUE(SUBSTITUTE(StorytelE!G160,".",","))</f>
        <v>0</v>
      </c>
      <c r="N160" s="9" t="n">
        <f aca="false">VALUE(SUBSTITUTE(StorytelA!G160,".",","))</f>
        <v>0</v>
      </c>
      <c r="O160" s="9" t="n">
        <f aca="false">VALUE(SUBSTITUTE(StorytelE!M160,".",","))</f>
        <v>0</v>
      </c>
      <c r="P160" s="9" t="n">
        <f aca="false">VALUE(SUBSTITUTE(StorytelA!M160,".",","))</f>
        <v>0</v>
      </c>
      <c r="Q160" s="29"/>
      <c r="R160" s="29" t="n">
        <f aca="false">VALUE(SUBSTITUTE(Woblink!H172,".",","))</f>
        <v>0</v>
      </c>
      <c r="S160" s="9" t="str">
        <f aca="false">SUBSTITUTE(AzymutB!D160,"-","")</f>
        <v/>
      </c>
      <c r="T160" s="9" t="n">
        <f aca="false">VALUE(SUBSTITUTE(AzymutB!O160,".",","))</f>
        <v>0</v>
      </c>
      <c r="U160" s="9" t="str">
        <f aca="false">SUBSTITUTE(Audioteka!Q162,"-","")</f>
        <v/>
      </c>
    </row>
    <row r="161" customFormat="false" ht="15.75" hidden="false" customHeight="false" outlineLevel="0" collapsed="false">
      <c r="A161" s="8" t="str">
        <f aca="false">SUBSTITUTE(Histmag!B161,"-","")</f>
        <v/>
      </c>
      <c r="B161" s="9" t="n">
        <f aca="false">VALUE(SUBSTITUTE(Histmag!D161,".",","))</f>
        <v>0</v>
      </c>
      <c r="C161" s="8" t="str">
        <f aca="false">SUBSTITUTE(Virtualo!G161,"-","")</f>
        <v/>
      </c>
      <c r="D161" s="8" t="str">
        <f aca="false">SUBSTITUTE(Empik!F161,"-","")</f>
        <v/>
      </c>
      <c r="E161" s="8" t="str">
        <f aca="false">SUBSTITUTE(Publio!H161,"-","")</f>
        <v/>
      </c>
      <c r="F161" s="8" t="n">
        <f aca="false">VALUE(SUBSTITUTE(Publio!Q161,".",","))</f>
        <v>0</v>
      </c>
      <c r="G161" s="8" t="str">
        <f aca="false">IFERROR(IF(SEARCH("-", Nexto!B142), SUBSTITUTE(Nexto!B142,"-","")), "")</f>
        <v/>
      </c>
      <c r="H161" s="8" t="n">
        <f aca="false">IFERROR(VALUE(SUBSTITUTE(Nexto!P146,".",",")),0)</f>
        <v>0</v>
      </c>
      <c r="I161" s="9" t="str">
        <f aca="false">SUBSTITUTE(Azymut!D161,"-","")</f>
        <v/>
      </c>
      <c r="J161" s="9" t="n">
        <f aca="false">VALUE(SUBSTITUTE(Azymut!O161,".",","))</f>
        <v>0</v>
      </c>
      <c r="K161" s="9" t="str">
        <f aca="false">SUBSTITUTE(Ebookpoint!E173,"-","")</f>
        <v/>
      </c>
      <c r="L161" s="9" t="str">
        <f aca="false">SUBSTITUTE(Nasbi!E173,"-","")</f>
        <v/>
      </c>
      <c r="M161" s="9" t="n">
        <f aca="false">VALUE(SUBSTITUTE(StorytelE!G161,".",","))</f>
        <v>0</v>
      </c>
      <c r="N161" s="9" t="n">
        <f aca="false">VALUE(SUBSTITUTE(StorytelA!G161,".",","))</f>
        <v>0</v>
      </c>
      <c r="O161" s="9" t="n">
        <f aca="false">VALUE(SUBSTITUTE(StorytelE!M161,".",","))</f>
        <v>0</v>
      </c>
      <c r="P161" s="9" t="n">
        <f aca="false">VALUE(SUBSTITUTE(StorytelA!M161,".",","))</f>
        <v>0</v>
      </c>
      <c r="Q161" s="29"/>
      <c r="R161" s="29" t="n">
        <f aca="false">VALUE(SUBSTITUTE(Woblink!H173,".",","))</f>
        <v>0</v>
      </c>
      <c r="S161" s="9" t="str">
        <f aca="false">SUBSTITUTE(AzymutB!D161,"-","")</f>
        <v/>
      </c>
      <c r="T161" s="9" t="n">
        <f aca="false">VALUE(SUBSTITUTE(AzymutB!O161,".",","))</f>
        <v>0</v>
      </c>
      <c r="U161" s="9" t="str">
        <f aca="false">SUBSTITUTE(Audioteka!Q163,"-","")</f>
        <v/>
      </c>
    </row>
    <row r="162" customFormat="false" ht="15.75" hidden="false" customHeight="false" outlineLevel="0" collapsed="false">
      <c r="A162" s="8" t="str">
        <f aca="false">SUBSTITUTE(Histmag!B162,"-","")</f>
        <v/>
      </c>
      <c r="B162" s="9" t="n">
        <f aca="false">VALUE(SUBSTITUTE(Histmag!D162,".",","))</f>
        <v>0</v>
      </c>
      <c r="C162" s="8" t="str">
        <f aca="false">SUBSTITUTE(Virtualo!G162,"-","")</f>
        <v/>
      </c>
      <c r="D162" s="8" t="str">
        <f aca="false">SUBSTITUTE(Empik!F162,"-","")</f>
        <v/>
      </c>
      <c r="E162" s="8" t="str">
        <f aca="false">SUBSTITUTE(Publio!H162,"-","")</f>
        <v/>
      </c>
      <c r="F162" s="8" t="n">
        <f aca="false">VALUE(SUBSTITUTE(Publio!Q162,".",","))</f>
        <v>0</v>
      </c>
      <c r="G162" s="8" t="str">
        <f aca="false">IFERROR(IF(SEARCH("-", Nexto!B143), SUBSTITUTE(Nexto!B143,"-","")), "")</f>
        <v/>
      </c>
      <c r="H162" s="8" t="n">
        <f aca="false">IFERROR(VALUE(SUBSTITUTE(Nexto!P147,".",",")),0)</f>
        <v>0</v>
      </c>
      <c r="I162" s="9" t="str">
        <f aca="false">SUBSTITUTE(Azymut!D162,"-","")</f>
        <v/>
      </c>
      <c r="J162" s="9" t="n">
        <f aca="false">VALUE(SUBSTITUTE(Azymut!O162,".",","))</f>
        <v>0</v>
      </c>
      <c r="K162" s="9" t="str">
        <f aca="false">SUBSTITUTE(Ebookpoint!E174,"-","")</f>
        <v/>
      </c>
      <c r="L162" s="9" t="str">
        <f aca="false">SUBSTITUTE(Nasbi!E174,"-","")</f>
        <v/>
      </c>
      <c r="M162" s="9" t="n">
        <f aca="false">VALUE(SUBSTITUTE(StorytelE!G162,".",","))</f>
        <v>0</v>
      </c>
      <c r="N162" s="9" t="n">
        <f aca="false">VALUE(SUBSTITUTE(StorytelA!G162,".",","))</f>
        <v>0</v>
      </c>
      <c r="O162" s="9" t="n">
        <f aca="false">VALUE(SUBSTITUTE(StorytelE!M162,".",","))</f>
        <v>0</v>
      </c>
      <c r="P162" s="9" t="n">
        <f aca="false">VALUE(SUBSTITUTE(StorytelA!M162,".",","))</f>
        <v>0</v>
      </c>
      <c r="Q162" s="29"/>
      <c r="R162" s="29" t="n">
        <f aca="false">VALUE(SUBSTITUTE(Woblink!H174,".",","))</f>
        <v>0</v>
      </c>
      <c r="S162" s="9" t="str">
        <f aca="false">SUBSTITUTE(AzymutB!D162,"-","")</f>
        <v/>
      </c>
      <c r="T162" s="9" t="n">
        <f aca="false">VALUE(SUBSTITUTE(AzymutB!O162,".",","))</f>
        <v>0</v>
      </c>
      <c r="U162" s="9" t="str">
        <f aca="false">SUBSTITUTE(Audioteka!Q164,"-","")</f>
        <v/>
      </c>
    </row>
    <row r="163" customFormat="false" ht="15.75" hidden="false" customHeight="false" outlineLevel="0" collapsed="false">
      <c r="A163" s="8" t="str">
        <f aca="false">SUBSTITUTE(Histmag!B163,"-","")</f>
        <v/>
      </c>
      <c r="B163" s="9" t="n">
        <f aca="false">VALUE(SUBSTITUTE(Histmag!D163,".",","))</f>
        <v>0</v>
      </c>
      <c r="C163" s="8" t="str">
        <f aca="false">SUBSTITUTE(Virtualo!G163,"-","")</f>
        <v/>
      </c>
      <c r="D163" s="8" t="str">
        <f aca="false">SUBSTITUTE(Empik!F163,"-","")</f>
        <v/>
      </c>
      <c r="E163" s="8" t="str">
        <f aca="false">SUBSTITUTE(Publio!H163,"-","")</f>
        <v/>
      </c>
      <c r="F163" s="8" t="n">
        <f aca="false">VALUE(SUBSTITUTE(Publio!Q163,".",","))</f>
        <v>0</v>
      </c>
      <c r="G163" s="8" t="str">
        <f aca="false">IFERROR(IF(SEARCH("-", Nexto!B144), SUBSTITUTE(Nexto!B144,"-","")), "")</f>
        <v/>
      </c>
      <c r="H163" s="8" t="n">
        <f aca="false">IFERROR(VALUE(SUBSTITUTE(Nexto!P148,".",",")),0)</f>
        <v>0</v>
      </c>
      <c r="I163" s="9" t="str">
        <f aca="false">SUBSTITUTE(Azymut!D163,"-","")</f>
        <v/>
      </c>
      <c r="J163" s="9" t="n">
        <f aca="false">VALUE(SUBSTITUTE(Azymut!O163,".",","))</f>
        <v>0</v>
      </c>
      <c r="K163" s="9" t="str">
        <f aca="false">SUBSTITUTE(Ebookpoint!E175,"-","")</f>
        <v/>
      </c>
      <c r="L163" s="9" t="str">
        <f aca="false">SUBSTITUTE(Nasbi!E175,"-","")</f>
        <v/>
      </c>
      <c r="M163" s="9" t="n">
        <f aca="false">VALUE(SUBSTITUTE(StorytelE!G163,".",","))</f>
        <v>0</v>
      </c>
      <c r="N163" s="9" t="n">
        <f aca="false">VALUE(SUBSTITUTE(StorytelA!G163,".",","))</f>
        <v>0</v>
      </c>
      <c r="O163" s="9" t="n">
        <f aca="false">VALUE(SUBSTITUTE(StorytelE!M163,".",","))</f>
        <v>0</v>
      </c>
      <c r="P163" s="9" t="n">
        <f aca="false">VALUE(SUBSTITUTE(StorytelA!M163,".",","))</f>
        <v>0</v>
      </c>
      <c r="Q163" s="29"/>
      <c r="R163" s="29" t="n">
        <f aca="false">VALUE(SUBSTITUTE(Woblink!H175,".",","))</f>
        <v>0</v>
      </c>
      <c r="S163" s="9" t="str">
        <f aca="false">SUBSTITUTE(AzymutB!D163,"-","")</f>
        <v/>
      </c>
      <c r="T163" s="9" t="n">
        <f aca="false">VALUE(SUBSTITUTE(AzymutB!O163,".",","))</f>
        <v>0</v>
      </c>
      <c r="U163" s="9" t="str">
        <f aca="false">SUBSTITUTE(Audioteka!Q165,"-","")</f>
        <v/>
      </c>
    </row>
    <row r="164" customFormat="false" ht="15.75" hidden="false" customHeight="false" outlineLevel="0" collapsed="false">
      <c r="A164" s="8" t="str">
        <f aca="false">SUBSTITUTE(Histmag!B164,"-","")</f>
        <v/>
      </c>
      <c r="B164" s="9" t="n">
        <f aca="false">VALUE(SUBSTITUTE(Histmag!D164,".",","))</f>
        <v>0</v>
      </c>
      <c r="C164" s="8" t="str">
        <f aca="false">SUBSTITUTE(Virtualo!G164,"-","")</f>
        <v/>
      </c>
      <c r="D164" s="8" t="str">
        <f aca="false">SUBSTITUTE(Empik!F164,"-","")</f>
        <v/>
      </c>
      <c r="E164" s="8" t="str">
        <f aca="false">SUBSTITUTE(Publio!H164,"-","")</f>
        <v/>
      </c>
      <c r="F164" s="8" t="n">
        <f aca="false">VALUE(SUBSTITUTE(Publio!Q164,".",","))</f>
        <v>0</v>
      </c>
      <c r="G164" s="8" t="str">
        <f aca="false">IFERROR(IF(SEARCH("-", Nexto!B145), SUBSTITUTE(Nexto!B145,"-","")), "")</f>
        <v/>
      </c>
      <c r="H164" s="8" t="n">
        <f aca="false">IFERROR(VALUE(SUBSTITUTE(Nexto!P149,".",",")),0)</f>
        <v>0</v>
      </c>
      <c r="I164" s="9" t="str">
        <f aca="false">SUBSTITUTE(Azymut!D164,"-","")</f>
        <v/>
      </c>
      <c r="J164" s="9" t="n">
        <f aca="false">VALUE(SUBSTITUTE(Azymut!O164,".",","))</f>
        <v>0</v>
      </c>
      <c r="K164" s="9" t="str">
        <f aca="false">SUBSTITUTE(Ebookpoint!E176,"-","")</f>
        <v/>
      </c>
      <c r="L164" s="9" t="str">
        <f aca="false">SUBSTITUTE(Nasbi!E176,"-","")</f>
        <v/>
      </c>
      <c r="M164" s="9" t="n">
        <f aca="false">VALUE(SUBSTITUTE(StorytelE!G164,".",","))</f>
        <v>0</v>
      </c>
      <c r="N164" s="9" t="n">
        <f aca="false">VALUE(SUBSTITUTE(StorytelA!G164,".",","))</f>
        <v>0</v>
      </c>
      <c r="O164" s="9" t="n">
        <f aca="false">VALUE(SUBSTITUTE(StorytelE!M164,".",","))</f>
        <v>0</v>
      </c>
      <c r="P164" s="9" t="n">
        <f aca="false">VALUE(SUBSTITUTE(StorytelA!M164,".",","))</f>
        <v>0</v>
      </c>
      <c r="Q164" s="29"/>
      <c r="R164" s="29" t="n">
        <f aca="false">VALUE(SUBSTITUTE(Woblink!H176,".",","))</f>
        <v>0</v>
      </c>
      <c r="S164" s="9" t="str">
        <f aca="false">SUBSTITUTE(AzymutB!D164,"-","")</f>
        <v/>
      </c>
      <c r="T164" s="9" t="n">
        <f aca="false">VALUE(SUBSTITUTE(AzymutB!O164,".",","))</f>
        <v>0</v>
      </c>
      <c r="U164" s="9" t="str">
        <f aca="false">SUBSTITUTE(Audioteka!Q166,"-","")</f>
        <v/>
      </c>
    </row>
    <row r="165" customFormat="false" ht="15.75" hidden="false" customHeight="false" outlineLevel="0" collapsed="false">
      <c r="A165" s="8" t="str">
        <f aca="false">SUBSTITUTE(Histmag!B165,"-","")</f>
        <v/>
      </c>
      <c r="B165" s="9" t="n">
        <f aca="false">VALUE(SUBSTITUTE(Histmag!D165,".",","))</f>
        <v>0</v>
      </c>
      <c r="C165" s="8" t="str">
        <f aca="false">SUBSTITUTE(Virtualo!G165,"-","")</f>
        <v/>
      </c>
      <c r="D165" s="8" t="str">
        <f aca="false">SUBSTITUTE(Empik!F165,"-","")</f>
        <v/>
      </c>
      <c r="E165" s="8" t="str">
        <f aca="false">SUBSTITUTE(Publio!H165,"-","")</f>
        <v/>
      </c>
      <c r="F165" s="8" t="n">
        <f aca="false">VALUE(SUBSTITUTE(Publio!Q165,".",","))</f>
        <v>0</v>
      </c>
      <c r="G165" s="8" t="str">
        <f aca="false">IFERROR(IF(SEARCH("-", Nexto!B146), SUBSTITUTE(Nexto!B146,"-","")), "")</f>
        <v/>
      </c>
      <c r="H165" s="8" t="n">
        <f aca="false">IFERROR(VALUE(SUBSTITUTE(Nexto!P150,".",",")),0)</f>
        <v>0</v>
      </c>
      <c r="I165" s="9" t="str">
        <f aca="false">SUBSTITUTE(Azymut!D165,"-","")</f>
        <v/>
      </c>
      <c r="J165" s="9" t="n">
        <f aca="false">VALUE(SUBSTITUTE(Azymut!O165,".",","))</f>
        <v>0</v>
      </c>
      <c r="K165" s="9" t="str">
        <f aca="false">SUBSTITUTE(Ebookpoint!E177,"-","")</f>
        <v/>
      </c>
      <c r="L165" s="9" t="str">
        <f aca="false">SUBSTITUTE(Nasbi!E177,"-","")</f>
        <v/>
      </c>
      <c r="M165" s="9" t="n">
        <f aca="false">VALUE(SUBSTITUTE(StorytelE!G165,".",","))</f>
        <v>0</v>
      </c>
      <c r="N165" s="9" t="n">
        <f aca="false">VALUE(SUBSTITUTE(StorytelA!G165,".",","))</f>
        <v>0</v>
      </c>
      <c r="O165" s="9" t="n">
        <f aca="false">VALUE(SUBSTITUTE(StorytelE!M165,".",","))</f>
        <v>0</v>
      </c>
      <c r="P165" s="9" t="n">
        <f aca="false">VALUE(SUBSTITUTE(StorytelA!M165,".",","))</f>
        <v>0</v>
      </c>
      <c r="Q165" s="29"/>
      <c r="R165" s="29" t="n">
        <f aca="false">VALUE(SUBSTITUTE(Woblink!H177,".",","))</f>
        <v>0</v>
      </c>
      <c r="S165" s="9" t="str">
        <f aca="false">SUBSTITUTE(AzymutB!D165,"-","")</f>
        <v/>
      </c>
      <c r="T165" s="9" t="n">
        <f aca="false">VALUE(SUBSTITUTE(AzymutB!O165,".",","))</f>
        <v>0</v>
      </c>
      <c r="U165" s="9" t="str">
        <f aca="false">SUBSTITUTE(Audioteka!Q167,"-","")</f>
        <v/>
      </c>
    </row>
    <row r="166" customFormat="false" ht="15.75" hidden="false" customHeight="false" outlineLevel="0" collapsed="false">
      <c r="A166" s="8" t="str">
        <f aca="false">SUBSTITUTE(Histmag!B166,"-","")</f>
        <v/>
      </c>
      <c r="B166" s="9" t="n">
        <f aca="false">VALUE(SUBSTITUTE(Histmag!D166,".",","))</f>
        <v>0</v>
      </c>
      <c r="C166" s="8" t="str">
        <f aca="false">SUBSTITUTE(Virtualo!G166,"-","")</f>
        <v/>
      </c>
      <c r="D166" s="8" t="str">
        <f aca="false">SUBSTITUTE(Empik!F166,"-","")</f>
        <v/>
      </c>
      <c r="E166" s="8" t="str">
        <f aca="false">SUBSTITUTE(Publio!H166,"-","")</f>
        <v/>
      </c>
      <c r="F166" s="8" t="n">
        <f aca="false">VALUE(SUBSTITUTE(Publio!Q166,".",","))</f>
        <v>0</v>
      </c>
      <c r="G166" s="8" t="str">
        <f aca="false">IFERROR(IF(SEARCH("-", Nexto!B147), SUBSTITUTE(Nexto!B147,"-","")), "")</f>
        <v/>
      </c>
      <c r="H166" s="8" t="n">
        <f aca="false">IFERROR(VALUE(SUBSTITUTE(Nexto!P151,".",",")),0)</f>
        <v>0</v>
      </c>
      <c r="I166" s="9" t="str">
        <f aca="false">SUBSTITUTE(Azymut!D166,"-","")</f>
        <v/>
      </c>
      <c r="J166" s="9" t="n">
        <f aca="false">VALUE(SUBSTITUTE(Azymut!O166,".",","))</f>
        <v>0</v>
      </c>
      <c r="K166" s="9" t="str">
        <f aca="false">SUBSTITUTE(Ebookpoint!E178,"-","")</f>
        <v/>
      </c>
      <c r="L166" s="9" t="str">
        <f aca="false">SUBSTITUTE(Nasbi!E178,"-","")</f>
        <v/>
      </c>
      <c r="M166" s="9" t="n">
        <f aca="false">VALUE(SUBSTITUTE(StorytelE!G166,".",","))</f>
        <v>0</v>
      </c>
      <c r="N166" s="9" t="n">
        <f aca="false">VALUE(SUBSTITUTE(StorytelA!G166,".",","))</f>
        <v>0</v>
      </c>
      <c r="O166" s="9" t="n">
        <f aca="false">VALUE(SUBSTITUTE(StorytelE!M166,".",","))</f>
        <v>0</v>
      </c>
      <c r="P166" s="9" t="n">
        <f aca="false">VALUE(SUBSTITUTE(StorytelA!M166,".",","))</f>
        <v>0</v>
      </c>
      <c r="Q166" s="29"/>
      <c r="R166" s="29" t="n">
        <f aca="false">VALUE(SUBSTITUTE(Woblink!H178,".",","))</f>
        <v>0</v>
      </c>
      <c r="S166" s="9" t="str">
        <f aca="false">SUBSTITUTE(AzymutB!D166,"-","")</f>
        <v/>
      </c>
      <c r="T166" s="9" t="n">
        <f aca="false">VALUE(SUBSTITUTE(AzymutB!O166,".",","))</f>
        <v>0</v>
      </c>
      <c r="U166" s="9" t="str">
        <f aca="false">SUBSTITUTE(Audioteka!Q168,"-","")</f>
        <v/>
      </c>
    </row>
    <row r="167" customFormat="false" ht="15.75" hidden="false" customHeight="false" outlineLevel="0" collapsed="false">
      <c r="A167" s="8" t="str">
        <f aca="false">SUBSTITUTE(Histmag!B167,"-","")</f>
        <v/>
      </c>
      <c r="B167" s="9" t="n">
        <f aca="false">VALUE(SUBSTITUTE(Histmag!D167,".",","))</f>
        <v>0</v>
      </c>
      <c r="C167" s="8" t="str">
        <f aca="false">SUBSTITUTE(Virtualo!G167,"-","")</f>
        <v/>
      </c>
      <c r="D167" s="8" t="str">
        <f aca="false">SUBSTITUTE(Empik!F167,"-","")</f>
        <v/>
      </c>
      <c r="E167" s="8" t="str">
        <f aca="false">SUBSTITUTE(Publio!H167,"-","")</f>
        <v/>
      </c>
      <c r="F167" s="8" t="n">
        <f aca="false">VALUE(SUBSTITUTE(Publio!Q167,".",","))</f>
        <v>0</v>
      </c>
      <c r="G167" s="8" t="str">
        <f aca="false">IFERROR(IF(SEARCH("-", Nexto!B148), SUBSTITUTE(Nexto!B148,"-","")), "")</f>
        <v/>
      </c>
      <c r="H167" s="8" t="n">
        <f aca="false">IFERROR(VALUE(SUBSTITUTE(Nexto!P152,".",",")),0)</f>
        <v>0</v>
      </c>
      <c r="I167" s="9" t="str">
        <f aca="false">SUBSTITUTE(Azymut!D167,"-","")</f>
        <v/>
      </c>
      <c r="J167" s="9" t="n">
        <f aca="false">VALUE(SUBSTITUTE(Azymut!O167,".",","))</f>
        <v>0</v>
      </c>
      <c r="K167" s="9" t="str">
        <f aca="false">SUBSTITUTE(Ebookpoint!E179,"-","")</f>
        <v/>
      </c>
      <c r="L167" s="9" t="str">
        <f aca="false">SUBSTITUTE(Nasbi!E179,"-","")</f>
        <v/>
      </c>
      <c r="M167" s="9" t="n">
        <f aca="false">VALUE(SUBSTITUTE(StorytelE!G167,".",","))</f>
        <v>0</v>
      </c>
      <c r="N167" s="9" t="n">
        <f aca="false">VALUE(SUBSTITUTE(StorytelA!G167,".",","))</f>
        <v>0</v>
      </c>
      <c r="O167" s="9" t="n">
        <f aca="false">VALUE(SUBSTITUTE(StorytelE!M167,".",","))</f>
        <v>0</v>
      </c>
      <c r="P167" s="9" t="n">
        <f aca="false">VALUE(SUBSTITUTE(StorytelA!M167,".",","))</f>
        <v>0</v>
      </c>
      <c r="Q167" s="29"/>
      <c r="R167" s="29" t="n">
        <f aca="false">VALUE(SUBSTITUTE(Woblink!H179,".",","))</f>
        <v>0</v>
      </c>
      <c r="S167" s="9" t="str">
        <f aca="false">SUBSTITUTE(AzymutB!D167,"-","")</f>
        <v/>
      </c>
      <c r="T167" s="9" t="n">
        <f aca="false">VALUE(SUBSTITUTE(AzymutB!O167,".",","))</f>
        <v>0</v>
      </c>
      <c r="U167" s="9" t="str">
        <f aca="false">SUBSTITUTE(Audioteka!Q169,"-","")</f>
        <v/>
      </c>
    </row>
    <row r="168" customFormat="false" ht="15.75" hidden="false" customHeight="false" outlineLevel="0" collapsed="false">
      <c r="A168" s="8" t="str">
        <f aca="false">SUBSTITUTE(Histmag!B168,"-","")</f>
        <v/>
      </c>
      <c r="B168" s="9" t="n">
        <f aca="false">VALUE(SUBSTITUTE(Histmag!D168,".",","))</f>
        <v>0</v>
      </c>
      <c r="C168" s="8" t="str">
        <f aca="false">SUBSTITUTE(Virtualo!G168,"-","")</f>
        <v/>
      </c>
      <c r="D168" s="8" t="str">
        <f aca="false">SUBSTITUTE(Empik!F168,"-","")</f>
        <v/>
      </c>
      <c r="E168" s="8" t="str">
        <f aca="false">SUBSTITUTE(Publio!H168,"-","")</f>
        <v/>
      </c>
      <c r="F168" s="8" t="n">
        <f aca="false">VALUE(SUBSTITUTE(Publio!Q168,".",","))</f>
        <v>0</v>
      </c>
      <c r="G168" s="8" t="str">
        <f aca="false">IFERROR(IF(SEARCH("-", Nexto!B149), SUBSTITUTE(Nexto!B149,"-","")), "")</f>
        <v/>
      </c>
      <c r="H168" s="8" t="n">
        <f aca="false">IFERROR(VALUE(SUBSTITUTE(Nexto!P153,".",",")),0)</f>
        <v>0</v>
      </c>
      <c r="I168" s="9" t="str">
        <f aca="false">SUBSTITUTE(Azymut!D168,"-","")</f>
        <v/>
      </c>
      <c r="J168" s="9" t="n">
        <f aca="false">VALUE(SUBSTITUTE(Azymut!O168,".",","))</f>
        <v>0</v>
      </c>
      <c r="K168" s="9" t="str">
        <f aca="false">SUBSTITUTE(Ebookpoint!E180,"-","")</f>
        <v/>
      </c>
      <c r="L168" s="9" t="str">
        <f aca="false">SUBSTITUTE(Nasbi!E180,"-","")</f>
        <v/>
      </c>
      <c r="M168" s="9" t="n">
        <f aca="false">VALUE(SUBSTITUTE(StorytelE!G168,".",","))</f>
        <v>0</v>
      </c>
      <c r="N168" s="9" t="n">
        <f aca="false">VALUE(SUBSTITUTE(StorytelA!G168,".",","))</f>
        <v>0</v>
      </c>
      <c r="O168" s="9" t="n">
        <f aca="false">VALUE(SUBSTITUTE(StorytelE!M168,".",","))</f>
        <v>0</v>
      </c>
      <c r="P168" s="9" t="n">
        <f aca="false">VALUE(SUBSTITUTE(StorytelA!M168,".",","))</f>
        <v>0</v>
      </c>
      <c r="Q168" s="29"/>
      <c r="R168" s="29" t="n">
        <f aca="false">VALUE(SUBSTITUTE(Woblink!H180,".",","))</f>
        <v>0</v>
      </c>
      <c r="S168" s="9" t="str">
        <f aca="false">SUBSTITUTE(AzymutB!D168,"-","")</f>
        <v/>
      </c>
      <c r="T168" s="9" t="n">
        <f aca="false">VALUE(SUBSTITUTE(AzymutB!O168,".",","))</f>
        <v>0</v>
      </c>
      <c r="U168" s="9" t="str">
        <f aca="false">SUBSTITUTE(Audioteka!Q170,"-","")</f>
        <v/>
      </c>
    </row>
    <row r="169" customFormat="false" ht="15.75" hidden="false" customHeight="false" outlineLevel="0" collapsed="false">
      <c r="A169" s="8" t="str">
        <f aca="false">SUBSTITUTE(Histmag!B169,"-","")</f>
        <v/>
      </c>
      <c r="B169" s="9" t="n">
        <f aca="false">VALUE(SUBSTITUTE(Histmag!D169,".",","))</f>
        <v>0</v>
      </c>
      <c r="C169" s="8" t="str">
        <f aca="false">SUBSTITUTE(Virtualo!G169,"-","")</f>
        <v/>
      </c>
      <c r="D169" s="8" t="str">
        <f aca="false">SUBSTITUTE(Empik!F169,"-","")</f>
        <v/>
      </c>
      <c r="E169" s="8" t="str">
        <f aca="false">SUBSTITUTE(Publio!H169,"-","")</f>
        <v/>
      </c>
      <c r="F169" s="8" t="n">
        <f aca="false">VALUE(SUBSTITUTE(Publio!Q169,".",","))</f>
        <v>0</v>
      </c>
      <c r="G169" s="8" t="str">
        <f aca="false">IFERROR(IF(SEARCH("-", Nexto!B150), SUBSTITUTE(Nexto!B150,"-","")), "")</f>
        <v/>
      </c>
      <c r="H169" s="8" t="n">
        <f aca="false">IFERROR(VALUE(SUBSTITUTE(Nexto!P154,".",",")),0)</f>
        <v>0</v>
      </c>
      <c r="I169" s="9" t="str">
        <f aca="false">SUBSTITUTE(Azymut!D169,"-","")</f>
        <v/>
      </c>
      <c r="J169" s="9" t="n">
        <f aca="false">VALUE(SUBSTITUTE(Azymut!O169,".",","))</f>
        <v>0</v>
      </c>
      <c r="K169" s="9" t="str">
        <f aca="false">SUBSTITUTE(Ebookpoint!E181,"-","")</f>
        <v/>
      </c>
      <c r="L169" s="9" t="str">
        <f aca="false">SUBSTITUTE(Nasbi!E181,"-","")</f>
        <v/>
      </c>
      <c r="M169" s="9" t="n">
        <f aca="false">VALUE(SUBSTITUTE(StorytelE!G169,".",","))</f>
        <v>0</v>
      </c>
      <c r="N169" s="9" t="n">
        <f aca="false">VALUE(SUBSTITUTE(StorytelA!G169,".",","))</f>
        <v>0</v>
      </c>
      <c r="O169" s="9" t="n">
        <f aca="false">VALUE(SUBSTITUTE(StorytelE!M169,".",","))</f>
        <v>0</v>
      </c>
      <c r="P169" s="9" t="n">
        <f aca="false">VALUE(SUBSTITUTE(StorytelA!M169,".",","))</f>
        <v>0</v>
      </c>
      <c r="Q169" s="29"/>
      <c r="R169" s="29" t="n">
        <f aca="false">VALUE(SUBSTITUTE(Woblink!H181,".",","))</f>
        <v>0</v>
      </c>
      <c r="S169" s="9" t="str">
        <f aca="false">SUBSTITUTE(AzymutB!D169,"-","")</f>
        <v/>
      </c>
      <c r="T169" s="9" t="n">
        <f aca="false">VALUE(SUBSTITUTE(AzymutB!O169,".",","))</f>
        <v>0</v>
      </c>
      <c r="U169" s="9" t="str">
        <f aca="false">SUBSTITUTE(Audioteka!Q171,"-","")</f>
        <v/>
      </c>
    </row>
    <row r="170" customFormat="false" ht="15.75" hidden="false" customHeight="false" outlineLevel="0" collapsed="false">
      <c r="A170" s="8" t="str">
        <f aca="false">SUBSTITUTE(Histmag!B170,"-","")</f>
        <v/>
      </c>
      <c r="B170" s="9" t="n">
        <f aca="false">VALUE(SUBSTITUTE(Histmag!D170,".",","))</f>
        <v>0</v>
      </c>
      <c r="C170" s="8" t="str">
        <f aca="false">SUBSTITUTE(Virtualo!G170,"-","")</f>
        <v/>
      </c>
      <c r="D170" s="8" t="str">
        <f aca="false">SUBSTITUTE(Empik!F170,"-","")</f>
        <v/>
      </c>
      <c r="E170" s="8" t="str">
        <f aca="false">SUBSTITUTE(Publio!H170,"-","")</f>
        <v/>
      </c>
      <c r="F170" s="8" t="n">
        <f aca="false">VALUE(SUBSTITUTE(Publio!Q170,".",","))</f>
        <v>0</v>
      </c>
      <c r="G170" s="8" t="str">
        <f aca="false">IFERROR(IF(SEARCH("-", Nexto!B151), SUBSTITUTE(Nexto!B151,"-","")), "")</f>
        <v/>
      </c>
      <c r="H170" s="8" t="n">
        <f aca="false">IFERROR(VALUE(SUBSTITUTE(Nexto!P155,".",",")),0)</f>
        <v>0</v>
      </c>
      <c r="I170" s="9" t="str">
        <f aca="false">SUBSTITUTE(Azymut!D170,"-","")</f>
        <v/>
      </c>
      <c r="J170" s="9" t="n">
        <f aca="false">VALUE(SUBSTITUTE(Azymut!O170,".",","))</f>
        <v>0</v>
      </c>
      <c r="K170" s="9" t="str">
        <f aca="false">SUBSTITUTE(Ebookpoint!E182,"-","")</f>
        <v/>
      </c>
      <c r="L170" s="9" t="str">
        <f aca="false">SUBSTITUTE(Nasbi!E182,"-","")</f>
        <v/>
      </c>
      <c r="M170" s="9" t="n">
        <f aca="false">VALUE(SUBSTITUTE(StorytelE!G170,".",","))</f>
        <v>0</v>
      </c>
      <c r="N170" s="9" t="n">
        <f aca="false">VALUE(SUBSTITUTE(StorytelA!G170,".",","))</f>
        <v>0</v>
      </c>
      <c r="O170" s="9" t="n">
        <f aca="false">VALUE(SUBSTITUTE(StorytelE!M170,".",","))</f>
        <v>0</v>
      </c>
      <c r="P170" s="9" t="n">
        <f aca="false">VALUE(SUBSTITUTE(StorytelA!M170,".",","))</f>
        <v>0</v>
      </c>
      <c r="Q170" s="29"/>
      <c r="R170" s="29" t="n">
        <f aca="false">VALUE(SUBSTITUTE(Woblink!H182,".",","))</f>
        <v>0</v>
      </c>
      <c r="S170" s="9" t="str">
        <f aca="false">SUBSTITUTE(AzymutB!D170,"-","")</f>
        <v/>
      </c>
      <c r="T170" s="9" t="n">
        <f aca="false">VALUE(SUBSTITUTE(AzymutB!O170,".",","))</f>
        <v>0</v>
      </c>
      <c r="U170" s="9" t="str">
        <f aca="false">SUBSTITUTE(Audioteka!Q172,"-","")</f>
        <v/>
      </c>
    </row>
    <row r="171" customFormat="false" ht="15.75" hidden="false" customHeight="false" outlineLevel="0" collapsed="false">
      <c r="A171" s="8" t="str">
        <f aca="false">SUBSTITUTE(Histmag!B171,"-","")</f>
        <v/>
      </c>
      <c r="B171" s="9" t="n">
        <f aca="false">VALUE(SUBSTITUTE(Histmag!D171,".",","))</f>
        <v>0</v>
      </c>
      <c r="C171" s="8" t="str">
        <f aca="false">SUBSTITUTE(Virtualo!G171,"-","")</f>
        <v/>
      </c>
      <c r="D171" s="8" t="str">
        <f aca="false">SUBSTITUTE(Empik!F171,"-","")</f>
        <v/>
      </c>
      <c r="E171" s="8" t="str">
        <f aca="false">SUBSTITUTE(Publio!H171,"-","")</f>
        <v/>
      </c>
      <c r="F171" s="8" t="n">
        <f aca="false">VALUE(SUBSTITUTE(Publio!Q171,".",","))</f>
        <v>0</v>
      </c>
      <c r="G171" s="8" t="str">
        <f aca="false">IFERROR(IF(SEARCH("-", Nexto!B152), SUBSTITUTE(Nexto!B152,"-","")), "")</f>
        <v/>
      </c>
      <c r="H171" s="8" t="n">
        <f aca="false">IFERROR(VALUE(SUBSTITUTE(Nexto!P156,".",",")),0)</f>
        <v>0</v>
      </c>
      <c r="I171" s="9" t="str">
        <f aca="false">SUBSTITUTE(Azymut!D171,"-","")</f>
        <v/>
      </c>
      <c r="J171" s="9" t="n">
        <f aca="false">VALUE(SUBSTITUTE(Azymut!O171,".",","))</f>
        <v>0</v>
      </c>
      <c r="K171" s="9" t="str">
        <f aca="false">SUBSTITUTE(Ebookpoint!E183,"-","")</f>
        <v/>
      </c>
      <c r="L171" s="9" t="str">
        <f aca="false">SUBSTITUTE(Nasbi!E183,"-","")</f>
        <v/>
      </c>
      <c r="M171" s="9" t="n">
        <f aca="false">VALUE(SUBSTITUTE(StorytelE!G171,".",","))</f>
        <v>0</v>
      </c>
      <c r="N171" s="9" t="n">
        <f aca="false">VALUE(SUBSTITUTE(StorytelA!G171,".",","))</f>
        <v>0</v>
      </c>
      <c r="O171" s="9" t="n">
        <f aca="false">VALUE(SUBSTITUTE(StorytelE!M171,".",","))</f>
        <v>0</v>
      </c>
      <c r="P171" s="9" t="n">
        <f aca="false">VALUE(SUBSTITUTE(StorytelA!M171,".",","))</f>
        <v>0</v>
      </c>
      <c r="Q171" s="29"/>
      <c r="R171" s="29" t="n">
        <f aca="false">VALUE(SUBSTITUTE(Woblink!H183,".",","))</f>
        <v>0</v>
      </c>
      <c r="S171" s="9" t="str">
        <f aca="false">SUBSTITUTE(AzymutB!D171,"-","")</f>
        <v/>
      </c>
      <c r="T171" s="9" t="n">
        <f aca="false">VALUE(SUBSTITUTE(AzymutB!O171,".",","))</f>
        <v>0</v>
      </c>
      <c r="U171" s="9" t="str">
        <f aca="false">SUBSTITUTE(Audioteka!Q173,"-","")</f>
        <v/>
      </c>
    </row>
    <row r="172" customFormat="false" ht="15.75" hidden="false" customHeight="false" outlineLevel="0" collapsed="false">
      <c r="A172" s="8" t="str">
        <f aca="false">SUBSTITUTE(Histmag!B172,"-","")</f>
        <v/>
      </c>
      <c r="B172" s="9" t="n">
        <f aca="false">VALUE(SUBSTITUTE(Histmag!D172,".",","))</f>
        <v>0</v>
      </c>
      <c r="C172" s="8" t="str">
        <f aca="false">SUBSTITUTE(Virtualo!G172,"-","")</f>
        <v/>
      </c>
      <c r="D172" s="8" t="str">
        <f aca="false">SUBSTITUTE(Empik!F172,"-","")</f>
        <v/>
      </c>
      <c r="E172" s="8" t="str">
        <f aca="false">SUBSTITUTE(Publio!H172,"-","")</f>
        <v/>
      </c>
      <c r="F172" s="8" t="n">
        <f aca="false">VALUE(SUBSTITUTE(Publio!Q172,".",","))</f>
        <v>0</v>
      </c>
      <c r="G172" s="8" t="str">
        <f aca="false">IFERROR(IF(SEARCH("-", Nexto!B153), SUBSTITUTE(Nexto!B153,"-","")), "")</f>
        <v/>
      </c>
      <c r="H172" s="8" t="n">
        <f aca="false">IFERROR(VALUE(SUBSTITUTE(Nexto!P157,".",",")),0)</f>
        <v>0</v>
      </c>
      <c r="I172" s="9" t="str">
        <f aca="false">SUBSTITUTE(Azymut!D172,"-","")</f>
        <v/>
      </c>
      <c r="J172" s="9" t="n">
        <f aca="false">VALUE(SUBSTITUTE(Azymut!O172,".",","))</f>
        <v>0</v>
      </c>
      <c r="K172" s="9" t="str">
        <f aca="false">SUBSTITUTE(Ebookpoint!E184,"-","")</f>
        <v/>
      </c>
      <c r="L172" s="9" t="str">
        <f aca="false">SUBSTITUTE(Nasbi!E184,"-","")</f>
        <v/>
      </c>
      <c r="M172" s="9" t="n">
        <f aca="false">VALUE(SUBSTITUTE(StorytelE!G172,".",","))</f>
        <v>0</v>
      </c>
      <c r="N172" s="9" t="n">
        <f aca="false">VALUE(SUBSTITUTE(StorytelA!G172,".",","))</f>
        <v>0</v>
      </c>
      <c r="O172" s="9" t="n">
        <f aca="false">VALUE(SUBSTITUTE(StorytelE!M172,".",","))</f>
        <v>0</v>
      </c>
      <c r="P172" s="9" t="n">
        <f aca="false">VALUE(SUBSTITUTE(StorytelA!M172,".",","))</f>
        <v>0</v>
      </c>
      <c r="Q172" s="29"/>
      <c r="R172" s="29" t="n">
        <f aca="false">VALUE(SUBSTITUTE(Woblink!H184,".",","))</f>
        <v>0</v>
      </c>
      <c r="S172" s="9" t="str">
        <f aca="false">SUBSTITUTE(AzymutB!D172,"-","")</f>
        <v/>
      </c>
      <c r="T172" s="9" t="n">
        <f aca="false">VALUE(SUBSTITUTE(AzymutB!O172,".",","))</f>
        <v>0</v>
      </c>
      <c r="U172" s="9" t="str">
        <f aca="false">SUBSTITUTE(Audioteka!Q174,"-","")</f>
        <v/>
      </c>
    </row>
    <row r="173" customFormat="false" ht="15.75" hidden="false" customHeight="false" outlineLevel="0" collapsed="false">
      <c r="A173" s="8" t="str">
        <f aca="false">SUBSTITUTE(Histmag!B173,"-","")</f>
        <v/>
      </c>
      <c r="B173" s="9" t="n">
        <f aca="false">VALUE(SUBSTITUTE(Histmag!D173,".",","))</f>
        <v>0</v>
      </c>
      <c r="C173" s="8" t="str">
        <f aca="false">SUBSTITUTE(Virtualo!G173,"-","")</f>
        <v/>
      </c>
      <c r="D173" s="8" t="str">
        <f aca="false">SUBSTITUTE(Empik!F173,"-","")</f>
        <v/>
      </c>
      <c r="E173" s="8" t="str">
        <f aca="false">SUBSTITUTE(Publio!H173,"-","")</f>
        <v/>
      </c>
      <c r="F173" s="8" t="n">
        <f aca="false">VALUE(SUBSTITUTE(Publio!Q173,".",","))</f>
        <v>0</v>
      </c>
      <c r="G173" s="8" t="str">
        <f aca="false">IFERROR(IF(SEARCH("-", Nexto!B154), SUBSTITUTE(Nexto!B154,"-","")), "")</f>
        <v/>
      </c>
      <c r="H173" s="8" t="n">
        <f aca="false">IFERROR(VALUE(SUBSTITUTE(Nexto!P158,".",",")),0)</f>
        <v>0</v>
      </c>
      <c r="I173" s="9" t="str">
        <f aca="false">SUBSTITUTE(Azymut!D173,"-","")</f>
        <v/>
      </c>
      <c r="J173" s="9" t="n">
        <f aca="false">VALUE(SUBSTITUTE(Azymut!O173,".",","))</f>
        <v>0</v>
      </c>
      <c r="K173" s="9" t="str">
        <f aca="false">SUBSTITUTE(Ebookpoint!E185,"-","")</f>
        <v/>
      </c>
      <c r="L173" s="9" t="str">
        <f aca="false">SUBSTITUTE(Nasbi!E185,"-","")</f>
        <v/>
      </c>
      <c r="M173" s="9" t="n">
        <f aca="false">VALUE(SUBSTITUTE(StorytelE!G173,".",","))</f>
        <v>0</v>
      </c>
      <c r="N173" s="9" t="n">
        <f aca="false">VALUE(SUBSTITUTE(StorytelA!G173,".",","))</f>
        <v>0</v>
      </c>
      <c r="O173" s="9" t="n">
        <f aca="false">VALUE(SUBSTITUTE(StorytelE!M173,".",","))</f>
        <v>0</v>
      </c>
      <c r="P173" s="9" t="n">
        <f aca="false">VALUE(SUBSTITUTE(StorytelA!M173,".",","))</f>
        <v>0</v>
      </c>
      <c r="Q173" s="29"/>
      <c r="R173" s="29" t="n">
        <f aca="false">VALUE(SUBSTITUTE(Woblink!H185,".",","))</f>
        <v>0</v>
      </c>
      <c r="S173" s="9" t="str">
        <f aca="false">SUBSTITUTE(AzymutB!D173,"-","")</f>
        <v/>
      </c>
      <c r="T173" s="9" t="n">
        <f aca="false">VALUE(SUBSTITUTE(AzymutB!O173,".",","))</f>
        <v>0</v>
      </c>
      <c r="U173" s="9" t="str">
        <f aca="false">SUBSTITUTE(Audioteka!Q175,"-","")</f>
        <v/>
      </c>
    </row>
    <row r="174" customFormat="false" ht="15.75" hidden="false" customHeight="false" outlineLevel="0" collapsed="false">
      <c r="A174" s="8" t="str">
        <f aca="false">SUBSTITUTE(Histmag!B174,"-","")</f>
        <v/>
      </c>
      <c r="B174" s="9" t="n">
        <f aca="false">VALUE(SUBSTITUTE(Histmag!D174,".",","))</f>
        <v>0</v>
      </c>
      <c r="C174" s="8" t="str">
        <f aca="false">SUBSTITUTE(Virtualo!G174,"-","")</f>
        <v/>
      </c>
      <c r="D174" s="8" t="str">
        <f aca="false">SUBSTITUTE(Empik!F174,"-","")</f>
        <v/>
      </c>
      <c r="E174" s="8" t="str">
        <f aca="false">SUBSTITUTE(Publio!H174,"-","")</f>
        <v/>
      </c>
      <c r="F174" s="8" t="n">
        <f aca="false">VALUE(SUBSTITUTE(Publio!Q174,".",","))</f>
        <v>0</v>
      </c>
      <c r="G174" s="8" t="str">
        <f aca="false">IFERROR(IF(SEARCH("-", Nexto!B155), SUBSTITUTE(Nexto!B155,"-","")), "")</f>
        <v/>
      </c>
      <c r="H174" s="8" t="n">
        <f aca="false">IFERROR(VALUE(SUBSTITUTE(Nexto!P159,".",",")),0)</f>
        <v>0</v>
      </c>
      <c r="I174" s="9" t="str">
        <f aca="false">SUBSTITUTE(Azymut!D174,"-","")</f>
        <v/>
      </c>
      <c r="J174" s="9" t="n">
        <f aca="false">VALUE(SUBSTITUTE(Azymut!O174,".",","))</f>
        <v>0</v>
      </c>
      <c r="K174" s="9" t="str">
        <f aca="false">SUBSTITUTE(Ebookpoint!E186,"-","")</f>
        <v/>
      </c>
      <c r="L174" s="9" t="str">
        <f aca="false">SUBSTITUTE(Nasbi!E186,"-","")</f>
        <v/>
      </c>
      <c r="M174" s="9" t="n">
        <f aca="false">VALUE(SUBSTITUTE(StorytelE!G174,".",","))</f>
        <v>0</v>
      </c>
      <c r="N174" s="9" t="n">
        <f aca="false">VALUE(SUBSTITUTE(StorytelA!G174,".",","))</f>
        <v>0</v>
      </c>
      <c r="O174" s="9" t="n">
        <f aca="false">VALUE(SUBSTITUTE(StorytelE!M174,".",","))</f>
        <v>0</v>
      </c>
      <c r="P174" s="9" t="n">
        <f aca="false">VALUE(SUBSTITUTE(StorytelA!M174,".",","))</f>
        <v>0</v>
      </c>
      <c r="Q174" s="29"/>
      <c r="R174" s="29" t="n">
        <f aca="false">VALUE(SUBSTITUTE(Woblink!H186,".",","))</f>
        <v>0</v>
      </c>
      <c r="S174" s="9" t="str">
        <f aca="false">SUBSTITUTE(AzymutB!D174,"-","")</f>
        <v/>
      </c>
      <c r="T174" s="9" t="n">
        <f aca="false">VALUE(SUBSTITUTE(AzymutB!O174,".",","))</f>
        <v>0</v>
      </c>
      <c r="U174" s="9" t="str">
        <f aca="false">SUBSTITUTE(Audioteka!Q176,"-","")</f>
        <v/>
      </c>
    </row>
    <row r="175" customFormat="false" ht="15.75" hidden="false" customHeight="false" outlineLevel="0" collapsed="false">
      <c r="A175" s="8" t="str">
        <f aca="false">SUBSTITUTE(Histmag!B175,"-","")</f>
        <v/>
      </c>
      <c r="B175" s="9" t="n">
        <f aca="false">VALUE(SUBSTITUTE(Histmag!D175,".",","))</f>
        <v>0</v>
      </c>
      <c r="C175" s="8" t="str">
        <f aca="false">SUBSTITUTE(Virtualo!G175,"-","")</f>
        <v/>
      </c>
      <c r="D175" s="8" t="str">
        <f aca="false">SUBSTITUTE(Empik!F175,"-","")</f>
        <v/>
      </c>
      <c r="E175" s="8" t="str">
        <f aca="false">SUBSTITUTE(Publio!H175,"-","")</f>
        <v/>
      </c>
      <c r="F175" s="8" t="n">
        <f aca="false">VALUE(SUBSTITUTE(Publio!Q175,".",","))</f>
        <v>0</v>
      </c>
      <c r="G175" s="8" t="str">
        <f aca="false">IFERROR(IF(SEARCH("-", Nexto!B156), SUBSTITUTE(Nexto!B156,"-","")), "")</f>
        <v/>
      </c>
      <c r="H175" s="8" t="n">
        <f aca="false">IFERROR(VALUE(SUBSTITUTE(Nexto!P160,".",",")),0)</f>
        <v>0</v>
      </c>
      <c r="I175" s="9" t="str">
        <f aca="false">SUBSTITUTE(Azymut!D175,"-","")</f>
        <v/>
      </c>
      <c r="J175" s="9" t="n">
        <f aca="false">VALUE(SUBSTITUTE(Azymut!O175,".",","))</f>
        <v>0</v>
      </c>
      <c r="K175" s="9" t="str">
        <f aca="false">SUBSTITUTE(Ebookpoint!E187,"-","")</f>
        <v/>
      </c>
      <c r="L175" s="9" t="str">
        <f aca="false">SUBSTITUTE(Nasbi!E187,"-","")</f>
        <v/>
      </c>
      <c r="M175" s="9" t="n">
        <f aca="false">VALUE(SUBSTITUTE(StorytelE!G175,".",","))</f>
        <v>0</v>
      </c>
      <c r="N175" s="9" t="n">
        <f aca="false">VALUE(SUBSTITUTE(StorytelA!G175,".",","))</f>
        <v>0</v>
      </c>
      <c r="O175" s="9" t="n">
        <f aca="false">VALUE(SUBSTITUTE(StorytelE!M175,".",","))</f>
        <v>0</v>
      </c>
      <c r="P175" s="9" t="n">
        <f aca="false">VALUE(SUBSTITUTE(StorytelA!M175,".",","))</f>
        <v>0</v>
      </c>
      <c r="Q175" s="29"/>
      <c r="R175" s="29" t="n">
        <f aca="false">VALUE(SUBSTITUTE(Woblink!H187,".",","))</f>
        <v>0</v>
      </c>
      <c r="S175" s="9" t="str">
        <f aca="false">SUBSTITUTE(AzymutB!D175,"-","")</f>
        <v/>
      </c>
      <c r="T175" s="9" t="n">
        <f aca="false">VALUE(SUBSTITUTE(AzymutB!O175,".",","))</f>
        <v>0</v>
      </c>
      <c r="U175" s="9" t="str">
        <f aca="false">SUBSTITUTE(Audioteka!Q177,"-","")</f>
        <v/>
      </c>
    </row>
    <row r="176" customFormat="false" ht="15.75" hidden="false" customHeight="false" outlineLevel="0" collapsed="false">
      <c r="A176" s="8" t="str">
        <f aca="false">SUBSTITUTE(Histmag!B176,"-","")</f>
        <v/>
      </c>
      <c r="B176" s="9" t="n">
        <f aca="false">VALUE(SUBSTITUTE(Histmag!D176,".",","))</f>
        <v>0</v>
      </c>
      <c r="C176" s="8" t="str">
        <f aca="false">SUBSTITUTE(Virtualo!G176,"-","")</f>
        <v/>
      </c>
      <c r="D176" s="8" t="str">
        <f aca="false">SUBSTITUTE(Empik!F176,"-","")</f>
        <v/>
      </c>
      <c r="E176" s="8" t="str">
        <f aca="false">SUBSTITUTE(Publio!H176,"-","")</f>
        <v/>
      </c>
      <c r="F176" s="8" t="n">
        <f aca="false">VALUE(SUBSTITUTE(Publio!Q176,".",","))</f>
        <v>0</v>
      </c>
      <c r="G176" s="8" t="str">
        <f aca="false">IFERROR(IF(SEARCH("-", Nexto!B157), SUBSTITUTE(Nexto!B157,"-","")), "")</f>
        <v/>
      </c>
      <c r="H176" s="8" t="n">
        <f aca="false">IFERROR(VALUE(SUBSTITUTE(Nexto!P161,".",",")),0)</f>
        <v>0</v>
      </c>
      <c r="I176" s="9" t="str">
        <f aca="false">SUBSTITUTE(Azymut!D176,"-","")</f>
        <v/>
      </c>
      <c r="J176" s="9" t="n">
        <f aca="false">VALUE(SUBSTITUTE(Azymut!O176,".",","))</f>
        <v>0</v>
      </c>
      <c r="K176" s="9" t="str">
        <f aca="false">SUBSTITUTE(Ebookpoint!E188,"-","")</f>
        <v/>
      </c>
      <c r="L176" s="9" t="str">
        <f aca="false">SUBSTITUTE(Nasbi!E188,"-","")</f>
        <v/>
      </c>
      <c r="M176" s="9" t="n">
        <f aca="false">VALUE(SUBSTITUTE(StorytelE!G176,".",","))</f>
        <v>0</v>
      </c>
      <c r="N176" s="9" t="n">
        <f aca="false">VALUE(SUBSTITUTE(StorytelA!G176,".",","))</f>
        <v>0</v>
      </c>
      <c r="O176" s="9" t="n">
        <f aca="false">VALUE(SUBSTITUTE(StorytelE!M176,".",","))</f>
        <v>0</v>
      </c>
      <c r="P176" s="9" t="n">
        <f aca="false">VALUE(SUBSTITUTE(StorytelA!M176,".",","))</f>
        <v>0</v>
      </c>
      <c r="Q176" s="29"/>
      <c r="R176" s="29" t="n">
        <f aca="false">VALUE(SUBSTITUTE(Woblink!H188,".",","))</f>
        <v>0</v>
      </c>
      <c r="S176" s="9" t="str">
        <f aca="false">SUBSTITUTE(AzymutB!D176,"-","")</f>
        <v/>
      </c>
      <c r="T176" s="9" t="n">
        <f aca="false">VALUE(SUBSTITUTE(AzymutB!O176,".",","))</f>
        <v>0</v>
      </c>
      <c r="U176" s="9" t="str">
        <f aca="false">SUBSTITUTE(Audioteka!Q178,"-","")</f>
        <v/>
      </c>
    </row>
    <row r="177" customFormat="false" ht="15.75" hidden="false" customHeight="false" outlineLevel="0" collapsed="false">
      <c r="A177" s="8" t="str">
        <f aca="false">SUBSTITUTE(Histmag!B177,"-","")</f>
        <v/>
      </c>
      <c r="B177" s="9" t="n">
        <f aca="false">VALUE(SUBSTITUTE(Histmag!D177,".",","))</f>
        <v>0</v>
      </c>
      <c r="C177" s="8" t="str">
        <f aca="false">SUBSTITUTE(Virtualo!G177,"-","")</f>
        <v/>
      </c>
      <c r="D177" s="8" t="str">
        <f aca="false">SUBSTITUTE(Empik!F177,"-","")</f>
        <v/>
      </c>
      <c r="E177" s="8" t="str">
        <f aca="false">SUBSTITUTE(Publio!H177,"-","")</f>
        <v/>
      </c>
      <c r="F177" s="8" t="n">
        <f aca="false">VALUE(SUBSTITUTE(Publio!Q177,".",","))</f>
        <v>0</v>
      </c>
      <c r="G177" s="8" t="str">
        <f aca="false">IFERROR(IF(SEARCH("-", Nexto!B158), SUBSTITUTE(Nexto!B158,"-","")), "")</f>
        <v/>
      </c>
      <c r="H177" s="8" t="n">
        <f aca="false">IFERROR(VALUE(SUBSTITUTE(Nexto!P162,".",",")),0)</f>
        <v>0</v>
      </c>
      <c r="I177" s="9" t="str">
        <f aca="false">SUBSTITUTE(Azymut!D177,"-","")</f>
        <v/>
      </c>
      <c r="J177" s="9" t="n">
        <f aca="false">VALUE(SUBSTITUTE(Azymut!O177,".",","))</f>
        <v>0</v>
      </c>
      <c r="K177" s="9" t="str">
        <f aca="false">SUBSTITUTE(Ebookpoint!E189,"-","")</f>
        <v/>
      </c>
      <c r="L177" s="9" t="str">
        <f aca="false">SUBSTITUTE(Nasbi!E189,"-","")</f>
        <v/>
      </c>
      <c r="M177" s="9" t="n">
        <f aca="false">VALUE(SUBSTITUTE(StorytelE!G177,".",","))</f>
        <v>0</v>
      </c>
      <c r="N177" s="9" t="n">
        <f aca="false">VALUE(SUBSTITUTE(StorytelA!G177,".",","))</f>
        <v>0</v>
      </c>
      <c r="O177" s="9" t="n">
        <f aca="false">VALUE(SUBSTITUTE(StorytelE!M177,".",","))</f>
        <v>0</v>
      </c>
      <c r="P177" s="9" t="n">
        <f aca="false">VALUE(SUBSTITUTE(StorytelA!M177,".",","))</f>
        <v>0</v>
      </c>
      <c r="Q177" s="29"/>
      <c r="R177" s="29" t="n">
        <f aca="false">VALUE(SUBSTITUTE(Woblink!H189,".",","))</f>
        <v>0</v>
      </c>
      <c r="S177" s="9" t="str">
        <f aca="false">SUBSTITUTE(AzymutB!D177,"-","")</f>
        <v/>
      </c>
      <c r="T177" s="9" t="n">
        <f aca="false">VALUE(SUBSTITUTE(AzymutB!O177,".",","))</f>
        <v>0</v>
      </c>
      <c r="U177" s="9" t="str">
        <f aca="false">SUBSTITUTE(Audioteka!Q179,"-","")</f>
        <v/>
      </c>
    </row>
    <row r="178" customFormat="false" ht="15.75" hidden="false" customHeight="false" outlineLevel="0" collapsed="false">
      <c r="A178" s="8" t="str">
        <f aca="false">SUBSTITUTE(Histmag!B178,"-","")</f>
        <v/>
      </c>
      <c r="B178" s="9" t="n">
        <f aca="false">VALUE(SUBSTITUTE(Histmag!D178,".",","))</f>
        <v>0</v>
      </c>
      <c r="C178" s="8" t="str">
        <f aca="false">SUBSTITUTE(Virtualo!G178,"-","")</f>
        <v/>
      </c>
      <c r="D178" s="8" t="str">
        <f aca="false">SUBSTITUTE(Empik!F178,"-","")</f>
        <v/>
      </c>
      <c r="E178" s="8" t="str">
        <f aca="false">SUBSTITUTE(Publio!H178,"-","")</f>
        <v/>
      </c>
      <c r="F178" s="8" t="n">
        <f aca="false">VALUE(SUBSTITUTE(Publio!Q178,".",","))</f>
        <v>0</v>
      </c>
      <c r="G178" s="8" t="str">
        <f aca="false">IFERROR(IF(SEARCH("-", Nexto!B159), SUBSTITUTE(Nexto!B159,"-","")), "")</f>
        <v/>
      </c>
      <c r="H178" s="8" t="n">
        <f aca="false">IFERROR(VALUE(SUBSTITUTE(Nexto!P163,".",",")),0)</f>
        <v>0</v>
      </c>
      <c r="I178" s="9" t="str">
        <f aca="false">SUBSTITUTE(Azymut!D178,"-","")</f>
        <v/>
      </c>
      <c r="J178" s="9" t="n">
        <f aca="false">VALUE(SUBSTITUTE(Azymut!O178,".",","))</f>
        <v>0</v>
      </c>
      <c r="K178" s="9" t="str">
        <f aca="false">SUBSTITUTE(Ebookpoint!E190,"-","")</f>
        <v/>
      </c>
      <c r="L178" s="9" t="str">
        <f aca="false">SUBSTITUTE(Nasbi!E190,"-","")</f>
        <v/>
      </c>
      <c r="M178" s="9" t="n">
        <f aca="false">VALUE(SUBSTITUTE(StorytelE!G178,".",","))</f>
        <v>0</v>
      </c>
      <c r="N178" s="9" t="n">
        <f aca="false">VALUE(SUBSTITUTE(StorytelA!G178,".",","))</f>
        <v>0</v>
      </c>
      <c r="O178" s="9" t="n">
        <f aca="false">VALUE(SUBSTITUTE(StorytelE!M178,".",","))</f>
        <v>0</v>
      </c>
      <c r="P178" s="9" t="n">
        <f aca="false">VALUE(SUBSTITUTE(StorytelA!M178,".",","))</f>
        <v>0</v>
      </c>
      <c r="Q178" s="29"/>
      <c r="R178" s="29" t="n">
        <f aca="false">VALUE(SUBSTITUTE(Woblink!H190,".",","))</f>
        <v>0</v>
      </c>
      <c r="S178" s="9" t="str">
        <f aca="false">SUBSTITUTE(AzymutB!D178,"-","")</f>
        <v/>
      </c>
      <c r="T178" s="9" t="n">
        <f aca="false">VALUE(SUBSTITUTE(AzymutB!O178,".",","))</f>
        <v>0</v>
      </c>
      <c r="U178" s="9" t="str">
        <f aca="false">SUBSTITUTE(Audioteka!Q180,"-","")</f>
        <v/>
      </c>
    </row>
    <row r="179" customFormat="false" ht="15.75" hidden="false" customHeight="false" outlineLevel="0" collapsed="false">
      <c r="A179" s="8" t="str">
        <f aca="false">SUBSTITUTE(Histmag!B179,"-","")</f>
        <v/>
      </c>
      <c r="B179" s="9" t="n">
        <f aca="false">VALUE(SUBSTITUTE(Histmag!D179,".",","))</f>
        <v>0</v>
      </c>
      <c r="C179" s="8" t="str">
        <f aca="false">SUBSTITUTE(Virtualo!G179,"-","")</f>
        <v/>
      </c>
      <c r="D179" s="8" t="str">
        <f aca="false">SUBSTITUTE(Empik!F179,"-","")</f>
        <v/>
      </c>
      <c r="E179" s="8" t="str">
        <f aca="false">SUBSTITUTE(Publio!H179,"-","")</f>
        <v/>
      </c>
      <c r="F179" s="8" t="n">
        <f aca="false">VALUE(SUBSTITUTE(Publio!Q179,".",","))</f>
        <v>0</v>
      </c>
      <c r="G179" s="8" t="str">
        <f aca="false">IFERROR(IF(SEARCH("-", Nexto!B160), SUBSTITUTE(Nexto!B160,"-","")), "")</f>
        <v/>
      </c>
      <c r="H179" s="8" t="n">
        <f aca="false">IFERROR(VALUE(SUBSTITUTE(Nexto!P164,".",",")),0)</f>
        <v>0</v>
      </c>
      <c r="I179" s="9" t="str">
        <f aca="false">SUBSTITUTE(Azymut!D179,"-","")</f>
        <v/>
      </c>
      <c r="J179" s="9" t="n">
        <f aca="false">VALUE(SUBSTITUTE(Azymut!O179,".",","))</f>
        <v>0</v>
      </c>
      <c r="K179" s="9" t="str">
        <f aca="false">SUBSTITUTE(Ebookpoint!E191,"-","")</f>
        <v/>
      </c>
      <c r="L179" s="9" t="str">
        <f aca="false">SUBSTITUTE(Nasbi!E191,"-","")</f>
        <v/>
      </c>
      <c r="M179" s="9" t="n">
        <f aca="false">VALUE(SUBSTITUTE(StorytelE!G179,".",","))</f>
        <v>0</v>
      </c>
      <c r="N179" s="9" t="n">
        <f aca="false">VALUE(SUBSTITUTE(StorytelA!G179,".",","))</f>
        <v>0</v>
      </c>
      <c r="O179" s="9" t="n">
        <f aca="false">VALUE(SUBSTITUTE(StorytelE!M179,".",","))</f>
        <v>0</v>
      </c>
      <c r="P179" s="9" t="n">
        <f aca="false">VALUE(SUBSTITUTE(StorytelA!M179,".",","))</f>
        <v>0</v>
      </c>
      <c r="Q179" s="29"/>
      <c r="R179" s="29" t="n">
        <f aca="false">VALUE(SUBSTITUTE(Woblink!H191,".",","))</f>
        <v>0</v>
      </c>
      <c r="S179" s="9" t="str">
        <f aca="false">SUBSTITUTE(AzymutB!D179,"-","")</f>
        <v/>
      </c>
      <c r="T179" s="9" t="n">
        <f aca="false">VALUE(SUBSTITUTE(AzymutB!O179,".",","))</f>
        <v>0</v>
      </c>
      <c r="U179" s="9" t="str">
        <f aca="false">SUBSTITUTE(Audioteka!Q181,"-","")</f>
        <v/>
      </c>
    </row>
    <row r="180" customFormat="false" ht="15.75" hidden="false" customHeight="false" outlineLevel="0" collapsed="false">
      <c r="A180" s="8" t="str">
        <f aca="false">SUBSTITUTE(Histmag!B180,"-","")</f>
        <v/>
      </c>
      <c r="B180" s="9" t="n">
        <f aca="false">VALUE(SUBSTITUTE(Histmag!D180,".",","))</f>
        <v>0</v>
      </c>
      <c r="C180" s="8" t="str">
        <f aca="false">SUBSTITUTE(Virtualo!G180,"-","")</f>
        <v/>
      </c>
      <c r="D180" s="8" t="str">
        <f aca="false">SUBSTITUTE(Empik!F180,"-","")</f>
        <v/>
      </c>
      <c r="E180" s="8" t="str">
        <f aca="false">SUBSTITUTE(Publio!H180,"-","")</f>
        <v/>
      </c>
      <c r="F180" s="8" t="n">
        <f aca="false">VALUE(SUBSTITUTE(Publio!Q180,".",","))</f>
        <v>0</v>
      </c>
      <c r="G180" s="8" t="str">
        <f aca="false">IFERROR(IF(SEARCH("-", Nexto!B161), SUBSTITUTE(Nexto!B161,"-","")), "")</f>
        <v/>
      </c>
      <c r="H180" s="8" t="n">
        <f aca="false">IFERROR(VALUE(SUBSTITUTE(Nexto!P165,".",",")),0)</f>
        <v>0</v>
      </c>
      <c r="I180" s="9" t="str">
        <f aca="false">SUBSTITUTE(Azymut!D180,"-","")</f>
        <v/>
      </c>
      <c r="J180" s="9" t="n">
        <f aca="false">VALUE(SUBSTITUTE(Azymut!O180,".",","))</f>
        <v>0</v>
      </c>
      <c r="K180" s="9" t="str">
        <f aca="false">SUBSTITUTE(Ebookpoint!E192,"-","")</f>
        <v/>
      </c>
      <c r="L180" s="9" t="str">
        <f aca="false">SUBSTITUTE(Nasbi!E192,"-","")</f>
        <v/>
      </c>
      <c r="M180" s="9" t="n">
        <f aca="false">VALUE(SUBSTITUTE(StorytelE!G180,".",","))</f>
        <v>0</v>
      </c>
      <c r="N180" s="9" t="n">
        <f aca="false">VALUE(SUBSTITUTE(StorytelA!G180,".",","))</f>
        <v>0</v>
      </c>
      <c r="O180" s="9" t="n">
        <f aca="false">VALUE(SUBSTITUTE(StorytelE!M180,".",","))</f>
        <v>0</v>
      </c>
      <c r="P180" s="9" t="n">
        <f aca="false">VALUE(SUBSTITUTE(StorytelA!M180,".",","))</f>
        <v>0</v>
      </c>
      <c r="Q180" s="29"/>
      <c r="R180" s="29" t="n">
        <f aca="false">VALUE(SUBSTITUTE(Woblink!H192,".",","))</f>
        <v>0</v>
      </c>
      <c r="S180" s="9" t="str">
        <f aca="false">SUBSTITUTE(AzymutB!D180,"-","")</f>
        <v/>
      </c>
      <c r="T180" s="9" t="n">
        <f aca="false">VALUE(SUBSTITUTE(AzymutB!O180,".",","))</f>
        <v>0</v>
      </c>
      <c r="U180" s="9" t="str">
        <f aca="false">SUBSTITUTE(Audioteka!Q182,"-","")</f>
        <v/>
      </c>
    </row>
    <row r="181" customFormat="false" ht="15.75" hidden="false" customHeight="false" outlineLevel="0" collapsed="false">
      <c r="A181" s="8" t="str">
        <f aca="false">SUBSTITUTE(Histmag!B181,"-","")</f>
        <v/>
      </c>
      <c r="B181" s="9" t="n">
        <f aca="false">VALUE(SUBSTITUTE(Histmag!D181,".",","))</f>
        <v>0</v>
      </c>
      <c r="C181" s="8" t="str">
        <f aca="false">SUBSTITUTE(Virtualo!G181,"-","")</f>
        <v/>
      </c>
      <c r="D181" s="8" t="str">
        <f aca="false">SUBSTITUTE(Empik!F181,"-","")</f>
        <v/>
      </c>
      <c r="E181" s="8" t="str">
        <f aca="false">SUBSTITUTE(Publio!H181,"-","")</f>
        <v/>
      </c>
      <c r="F181" s="8" t="n">
        <f aca="false">VALUE(SUBSTITUTE(Publio!Q181,".",","))</f>
        <v>0</v>
      </c>
      <c r="G181" s="8" t="str">
        <f aca="false">IFERROR(IF(SEARCH("-", Nexto!B162), SUBSTITUTE(Nexto!B162,"-","")), "")</f>
        <v/>
      </c>
      <c r="H181" s="8" t="n">
        <f aca="false">IFERROR(VALUE(SUBSTITUTE(Nexto!P166,".",",")),0)</f>
        <v>0</v>
      </c>
      <c r="I181" s="9" t="str">
        <f aca="false">SUBSTITUTE(Azymut!D181,"-","")</f>
        <v/>
      </c>
      <c r="J181" s="9" t="n">
        <f aca="false">VALUE(SUBSTITUTE(Azymut!O181,".",","))</f>
        <v>0</v>
      </c>
      <c r="K181" s="9" t="str">
        <f aca="false">SUBSTITUTE(Ebookpoint!E193,"-","")</f>
        <v/>
      </c>
      <c r="L181" s="9" t="str">
        <f aca="false">SUBSTITUTE(Nasbi!E193,"-","")</f>
        <v/>
      </c>
      <c r="M181" s="9" t="n">
        <f aca="false">VALUE(SUBSTITUTE(StorytelE!G181,".",","))</f>
        <v>0</v>
      </c>
      <c r="N181" s="9" t="n">
        <f aca="false">VALUE(SUBSTITUTE(StorytelA!G181,".",","))</f>
        <v>0</v>
      </c>
      <c r="O181" s="9" t="n">
        <f aca="false">VALUE(SUBSTITUTE(StorytelE!M181,".",","))</f>
        <v>0</v>
      </c>
      <c r="P181" s="9" t="n">
        <f aca="false">VALUE(SUBSTITUTE(StorytelA!M181,".",","))</f>
        <v>0</v>
      </c>
      <c r="Q181" s="29"/>
      <c r="R181" s="29" t="n">
        <f aca="false">VALUE(SUBSTITUTE(Woblink!H193,".",","))</f>
        <v>0</v>
      </c>
      <c r="S181" s="9" t="str">
        <f aca="false">SUBSTITUTE(AzymutB!D181,"-","")</f>
        <v/>
      </c>
      <c r="T181" s="9" t="n">
        <f aca="false">VALUE(SUBSTITUTE(AzymutB!O181,".",","))</f>
        <v>0</v>
      </c>
      <c r="U181" s="9" t="str">
        <f aca="false">SUBSTITUTE(Audioteka!Q183,"-","")</f>
        <v/>
      </c>
    </row>
    <row r="182" customFormat="false" ht="15.75" hidden="false" customHeight="false" outlineLevel="0" collapsed="false">
      <c r="A182" s="8" t="str">
        <f aca="false">SUBSTITUTE(Histmag!B182,"-","")</f>
        <v/>
      </c>
      <c r="B182" s="9" t="n">
        <f aca="false">VALUE(SUBSTITUTE(Histmag!D182,".",","))</f>
        <v>0</v>
      </c>
      <c r="C182" s="8" t="str">
        <f aca="false">SUBSTITUTE(Virtualo!G182,"-","")</f>
        <v/>
      </c>
      <c r="D182" s="8" t="str">
        <f aca="false">SUBSTITUTE(Empik!F182,"-","")</f>
        <v/>
      </c>
      <c r="E182" s="8" t="str">
        <f aca="false">SUBSTITUTE(Publio!H182,"-","")</f>
        <v/>
      </c>
      <c r="F182" s="8" t="n">
        <f aca="false">VALUE(SUBSTITUTE(Publio!Q182,".",","))</f>
        <v>0</v>
      </c>
      <c r="G182" s="8" t="str">
        <f aca="false">IFERROR(IF(SEARCH("-", Nexto!B163), SUBSTITUTE(Nexto!B163,"-","")), "")</f>
        <v/>
      </c>
      <c r="H182" s="8" t="n">
        <f aca="false">IFERROR(VALUE(SUBSTITUTE(Nexto!P167,".",",")),0)</f>
        <v>0</v>
      </c>
      <c r="I182" s="9" t="str">
        <f aca="false">SUBSTITUTE(Azymut!D182,"-","")</f>
        <v/>
      </c>
      <c r="J182" s="9" t="n">
        <f aca="false">VALUE(SUBSTITUTE(Azymut!O182,".",","))</f>
        <v>0</v>
      </c>
      <c r="K182" s="9" t="str">
        <f aca="false">SUBSTITUTE(Ebookpoint!E194,"-","")</f>
        <v/>
      </c>
      <c r="L182" s="9" t="str">
        <f aca="false">SUBSTITUTE(Nasbi!E194,"-","")</f>
        <v/>
      </c>
      <c r="M182" s="9" t="n">
        <f aca="false">VALUE(SUBSTITUTE(StorytelE!G182,".",","))</f>
        <v>0</v>
      </c>
      <c r="N182" s="9" t="n">
        <f aca="false">VALUE(SUBSTITUTE(StorytelA!G182,".",","))</f>
        <v>0</v>
      </c>
      <c r="O182" s="9" t="n">
        <f aca="false">VALUE(SUBSTITUTE(StorytelE!M182,".",","))</f>
        <v>0</v>
      </c>
      <c r="P182" s="9" t="n">
        <f aca="false">VALUE(SUBSTITUTE(StorytelA!M182,".",","))</f>
        <v>0</v>
      </c>
      <c r="Q182" s="29"/>
      <c r="R182" s="29" t="n">
        <f aca="false">VALUE(SUBSTITUTE(Woblink!H194,".",","))</f>
        <v>0</v>
      </c>
      <c r="S182" s="9" t="str">
        <f aca="false">SUBSTITUTE(AzymutB!D182,"-","")</f>
        <v/>
      </c>
      <c r="T182" s="9" t="n">
        <f aca="false">VALUE(SUBSTITUTE(AzymutB!O182,".",","))</f>
        <v>0</v>
      </c>
      <c r="U182" s="9" t="str">
        <f aca="false">SUBSTITUTE(Audioteka!Q184,"-","")</f>
        <v/>
      </c>
    </row>
    <row r="183" customFormat="false" ht="15.75" hidden="false" customHeight="false" outlineLevel="0" collapsed="false">
      <c r="A183" s="8" t="str">
        <f aca="false">SUBSTITUTE(Histmag!B183,"-","")</f>
        <v/>
      </c>
      <c r="B183" s="9" t="n">
        <f aca="false">VALUE(SUBSTITUTE(Histmag!D183,".",","))</f>
        <v>0</v>
      </c>
      <c r="C183" s="8" t="str">
        <f aca="false">SUBSTITUTE(Virtualo!G183,"-","")</f>
        <v/>
      </c>
      <c r="D183" s="8" t="str">
        <f aca="false">SUBSTITUTE(Empik!F183,"-","")</f>
        <v/>
      </c>
      <c r="E183" s="8" t="str">
        <f aca="false">SUBSTITUTE(Publio!H183,"-","")</f>
        <v/>
      </c>
      <c r="F183" s="8" t="n">
        <f aca="false">VALUE(SUBSTITUTE(Publio!Q183,".",","))</f>
        <v>0</v>
      </c>
      <c r="G183" s="8" t="str">
        <f aca="false">IFERROR(IF(SEARCH("-", Nexto!B164), SUBSTITUTE(Nexto!B164,"-","")), "")</f>
        <v/>
      </c>
      <c r="H183" s="8" t="n">
        <f aca="false">IFERROR(VALUE(SUBSTITUTE(Nexto!P168,".",",")),0)</f>
        <v>0</v>
      </c>
      <c r="I183" s="9" t="str">
        <f aca="false">SUBSTITUTE(Azymut!D183,"-","")</f>
        <v/>
      </c>
      <c r="J183" s="9" t="n">
        <f aca="false">VALUE(SUBSTITUTE(Azymut!O183,".",","))</f>
        <v>0</v>
      </c>
      <c r="K183" s="9" t="str">
        <f aca="false">SUBSTITUTE(Ebookpoint!E195,"-","")</f>
        <v/>
      </c>
      <c r="L183" s="9" t="str">
        <f aca="false">SUBSTITUTE(Nasbi!E195,"-","")</f>
        <v/>
      </c>
      <c r="M183" s="9" t="n">
        <f aca="false">VALUE(SUBSTITUTE(StorytelE!G183,".",","))</f>
        <v>0</v>
      </c>
      <c r="N183" s="9" t="n">
        <f aca="false">VALUE(SUBSTITUTE(StorytelA!G183,".",","))</f>
        <v>0</v>
      </c>
      <c r="O183" s="9" t="n">
        <f aca="false">VALUE(SUBSTITUTE(StorytelE!M183,".",","))</f>
        <v>0</v>
      </c>
      <c r="P183" s="9" t="n">
        <f aca="false">VALUE(SUBSTITUTE(StorytelA!M183,".",","))</f>
        <v>0</v>
      </c>
      <c r="Q183" s="29"/>
      <c r="R183" s="29" t="n">
        <f aca="false">VALUE(SUBSTITUTE(Woblink!H195,".",","))</f>
        <v>0</v>
      </c>
      <c r="S183" s="9" t="str">
        <f aca="false">SUBSTITUTE(AzymutB!D183,"-","")</f>
        <v/>
      </c>
      <c r="T183" s="9" t="n">
        <f aca="false">VALUE(SUBSTITUTE(AzymutB!O183,".",","))</f>
        <v>0</v>
      </c>
      <c r="U183" s="9" t="str">
        <f aca="false">SUBSTITUTE(Audioteka!Q185,"-","")</f>
        <v/>
      </c>
    </row>
    <row r="184" customFormat="false" ht="15.75" hidden="false" customHeight="false" outlineLevel="0" collapsed="false">
      <c r="A184" s="8" t="str">
        <f aca="false">SUBSTITUTE(Histmag!B184,"-","")</f>
        <v/>
      </c>
      <c r="B184" s="9" t="n">
        <f aca="false">VALUE(SUBSTITUTE(Histmag!D184,".",","))</f>
        <v>0</v>
      </c>
      <c r="C184" s="8" t="str">
        <f aca="false">SUBSTITUTE(Virtualo!G184,"-","")</f>
        <v/>
      </c>
      <c r="D184" s="8" t="str">
        <f aca="false">SUBSTITUTE(Empik!F184,"-","")</f>
        <v/>
      </c>
      <c r="E184" s="8" t="str">
        <f aca="false">SUBSTITUTE(Publio!H184,"-","")</f>
        <v/>
      </c>
      <c r="F184" s="8" t="n">
        <f aca="false">VALUE(SUBSTITUTE(Publio!Q184,".",","))</f>
        <v>0</v>
      </c>
      <c r="G184" s="8" t="str">
        <f aca="false">IFERROR(IF(SEARCH("-", Nexto!B165), SUBSTITUTE(Nexto!B165,"-","")), "")</f>
        <v/>
      </c>
      <c r="H184" s="8" t="n">
        <f aca="false">IFERROR(VALUE(SUBSTITUTE(Nexto!P169,".",",")),0)</f>
        <v>0</v>
      </c>
      <c r="I184" s="9" t="str">
        <f aca="false">SUBSTITUTE(Azymut!D184,"-","")</f>
        <v/>
      </c>
      <c r="J184" s="9" t="n">
        <f aca="false">VALUE(SUBSTITUTE(Azymut!O184,".",","))</f>
        <v>0</v>
      </c>
      <c r="K184" s="9" t="str">
        <f aca="false">SUBSTITUTE(Ebookpoint!E196,"-","")</f>
        <v/>
      </c>
      <c r="L184" s="9" t="str">
        <f aca="false">SUBSTITUTE(Nasbi!E196,"-","")</f>
        <v/>
      </c>
      <c r="M184" s="9" t="n">
        <f aca="false">VALUE(SUBSTITUTE(StorytelE!G184,".",","))</f>
        <v>0</v>
      </c>
      <c r="N184" s="9" t="n">
        <f aca="false">VALUE(SUBSTITUTE(StorytelA!G184,".",","))</f>
        <v>0</v>
      </c>
      <c r="O184" s="9" t="n">
        <f aca="false">VALUE(SUBSTITUTE(StorytelE!M184,".",","))</f>
        <v>0</v>
      </c>
      <c r="P184" s="9" t="n">
        <f aca="false">VALUE(SUBSTITUTE(StorytelA!M184,".",","))</f>
        <v>0</v>
      </c>
      <c r="Q184" s="29"/>
      <c r="R184" s="29" t="n">
        <f aca="false">VALUE(SUBSTITUTE(Woblink!H196,".",","))</f>
        <v>0</v>
      </c>
      <c r="S184" s="9" t="str">
        <f aca="false">SUBSTITUTE(AzymutB!D184,"-","")</f>
        <v/>
      </c>
      <c r="T184" s="9" t="n">
        <f aca="false">VALUE(SUBSTITUTE(AzymutB!O184,".",","))</f>
        <v>0</v>
      </c>
      <c r="U184" s="9" t="str">
        <f aca="false">SUBSTITUTE(Audioteka!Q186,"-","")</f>
        <v/>
      </c>
    </row>
    <row r="185" customFormat="false" ht="15.75" hidden="false" customHeight="false" outlineLevel="0" collapsed="false">
      <c r="A185" s="8" t="str">
        <f aca="false">SUBSTITUTE(Histmag!B185,"-","")</f>
        <v/>
      </c>
      <c r="B185" s="9" t="n">
        <f aca="false">VALUE(SUBSTITUTE(Histmag!D185,".",","))</f>
        <v>0</v>
      </c>
      <c r="C185" s="8" t="str">
        <f aca="false">SUBSTITUTE(Virtualo!G185,"-","")</f>
        <v/>
      </c>
      <c r="D185" s="8" t="str">
        <f aca="false">SUBSTITUTE(Empik!F185,"-","")</f>
        <v/>
      </c>
      <c r="E185" s="8" t="str">
        <f aca="false">SUBSTITUTE(Publio!H185,"-","")</f>
        <v/>
      </c>
      <c r="F185" s="8" t="n">
        <f aca="false">VALUE(SUBSTITUTE(Publio!Q185,".",","))</f>
        <v>0</v>
      </c>
      <c r="G185" s="8" t="str">
        <f aca="false">IFERROR(IF(SEARCH("-", Nexto!B166), SUBSTITUTE(Nexto!B166,"-","")), "")</f>
        <v/>
      </c>
      <c r="H185" s="8" t="n">
        <f aca="false">IFERROR(VALUE(SUBSTITUTE(Nexto!P170,".",",")),0)</f>
        <v>0</v>
      </c>
      <c r="I185" s="9" t="str">
        <f aca="false">SUBSTITUTE(Azymut!D185,"-","")</f>
        <v/>
      </c>
      <c r="J185" s="9" t="n">
        <f aca="false">VALUE(SUBSTITUTE(Azymut!O185,".",","))</f>
        <v>0</v>
      </c>
      <c r="K185" s="9" t="str">
        <f aca="false">SUBSTITUTE(Ebookpoint!E197,"-","")</f>
        <v/>
      </c>
      <c r="L185" s="9" t="str">
        <f aca="false">SUBSTITUTE(Nasbi!E197,"-","")</f>
        <v/>
      </c>
      <c r="M185" s="9" t="n">
        <f aca="false">VALUE(SUBSTITUTE(StorytelE!G185,".",","))</f>
        <v>0</v>
      </c>
      <c r="N185" s="9" t="n">
        <f aca="false">VALUE(SUBSTITUTE(StorytelA!G185,".",","))</f>
        <v>0</v>
      </c>
      <c r="O185" s="9" t="n">
        <f aca="false">VALUE(SUBSTITUTE(StorytelE!M185,".",","))</f>
        <v>0</v>
      </c>
      <c r="P185" s="9" t="n">
        <f aca="false">VALUE(SUBSTITUTE(StorytelA!M185,".",","))</f>
        <v>0</v>
      </c>
      <c r="Q185" s="29"/>
      <c r="R185" s="29" t="n">
        <f aca="false">VALUE(SUBSTITUTE(Woblink!H197,".",","))</f>
        <v>0</v>
      </c>
      <c r="S185" s="9" t="str">
        <f aca="false">SUBSTITUTE(AzymutB!D185,"-","")</f>
        <v/>
      </c>
      <c r="T185" s="9" t="n">
        <f aca="false">VALUE(SUBSTITUTE(AzymutB!O185,".",","))</f>
        <v>0</v>
      </c>
      <c r="U185" s="9" t="str">
        <f aca="false">SUBSTITUTE(Audioteka!Q187,"-","")</f>
        <v/>
      </c>
    </row>
    <row r="186" customFormat="false" ht="15.75" hidden="false" customHeight="false" outlineLevel="0" collapsed="false">
      <c r="A186" s="8" t="str">
        <f aca="false">SUBSTITUTE(Histmag!B186,"-","")</f>
        <v/>
      </c>
      <c r="B186" s="9" t="n">
        <f aca="false">VALUE(SUBSTITUTE(Histmag!D186,".",","))</f>
        <v>0</v>
      </c>
      <c r="C186" s="8" t="str">
        <f aca="false">SUBSTITUTE(Virtualo!G186,"-","")</f>
        <v/>
      </c>
      <c r="D186" s="8" t="str">
        <f aca="false">SUBSTITUTE(Empik!F186,"-","")</f>
        <v/>
      </c>
      <c r="E186" s="8" t="str">
        <f aca="false">SUBSTITUTE(Publio!H186,"-","")</f>
        <v/>
      </c>
      <c r="F186" s="8" t="n">
        <f aca="false">VALUE(SUBSTITUTE(Publio!Q186,".",","))</f>
        <v>0</v>
      </c>
      <c r="G186" s="8" t="str">
        <f aca="false">IFERROR(IF(SEARCH("-", Nexto!B167), SUBSTITUTE(Nexto!B167,"-","")), "")</f>
        <v/>
      </c>
      <c r="H186" s="8" t="n">
        <f aca="false">IFERROR(VALUE(SUBSTITUTE(Nexto!P171,".",",")),0)</f>
        <v>0</v>
      </c>
      <c r="I186" s="9" t="str">
        <f aca="false">SUBSTITUTE(Azymut!D186,"-","")</f>
        <v/>
      </c>
      <c r="J186" s="9" t="n">
        <f aca="false">VALUE(SUBSTITUTE(Azymut!O186,".",","))</f>
        <v>0</v>
      </c>
      <c r="K186" s="9" t="str">
        <f aca="false">SUBSTITUTE(Ebookpoint!E198,"-","")</f>
        <v/>
      </c>
      <c r="L186" s="9" t="str">
        <f aca="false">SUBSTITUTE(Nasbi!E198,"-","")</f>
        <v/>
      </c>
      <c r="M186" s="9" t="n">
        <f aca="false">VALUE(SUBSTITUTE(StorytelE!G186,".",","))</f>
        <v>0</v>
      </c>
      <c r="N186" s="9" t="n">
        <f aca="false">VALUE(SUBSTITUTE(StorytelA!G186,".",","))</f>
        <v>0</v>
      </c>
      <c r="O186" s="9" t="n">
        <f aca="false">VALUE(SUBSTITUTE(StorytelE!M186,".",","))</f>
        <v>0</v>
      </c>
      <c r="P186" s="9" t="n">
        <f aca="false">VALUE(SUBSTITUTE(StorytelA!M186,".",","))</f>
        <v>0</v>
      </c>
      <c r="Q186" s="29"/>
      <c r="R186" s="29" t="n">
        <f aca="false">VALUE(SUBSTITUTE(Woblink!H198,".",","))</f>
        <v>0</v>
      </c>
      <c r="S186" s="9" t="str">
        <f aca="false">SUBSTITUTE(AzymutB!D186,"-","")</f>
        <v/>
      </c>
      <c r="T186" s="9" t="n">
        <f aca="false">VALUE(SUBSTITUTE(AzymutB!O186,".",","))</f>
        <v>0</v>
      </c>
      <c r="U186" s="9" t="str">
        <f aca="false">SUBSTITUTE(Audioteka!Q188,"-","")</f>
        <v/>
      </c>
    </row>
    <row r="187" customFormat="false" ht="15.75" hidden="false" customHeight="false" outlineLevel="0" collapsed="false">
      <c r="A187" s="8" t="str">
        <f aca="false">SUBSTITUTE(Histmag!B187,"-","")</f>
        <v/>
      </c>
      <c r="B187" s="9" t="n">
        <f aca="false">VALUE(SUBSTITUTE(Histmag!D187,".",","))</f>
        <v>0</v>
      </c>
      <c r="C187" s="8" t="str">
        <f aca="false">SUBSTITUTE(Virtualo!G187,"-","")</f>
        <v/>
      </c>
      <c r="D187" s="8" t="str">
        <f aca="false">SUBSTITUTE(Empik!F187,"-","")</f>
        <v/>
      </c>
      <c r="E187" s="8" t="str">
        <f aca="false">SUBSTITUTE(Publio!H187,"-","")</f>
        <v/>
      </c>
      <c r="F187" s="8" t="n">
        <f aca="false">VALUE(SUBSTITUTE(Publio!Q187,".",","))</f>
        <v>0</v>
      </c>
      <c r="G187" s="8" t="str">
        <f aca="false">IFERROR(IF(SEARCH("-", Nexto!B168), SUBSTITUTE(Nexto!B168,"-","")), "")</f>
        <v/>
      </c>
      <c r="H187" s="8" t="n">
        <f aca="false">IFERROR(VALUE(SUBSTITUTE(Nexto!P172,".",",")),0)</f>
        <v>0</v>
      </c>
      <c r="I187" s="9" t="str">
        <f aca="false">SUBSTITUTE(Azymut!D187,"-","")</f>
        <v/>
      </c>
      <c r="J187" s="9" t="n">
        <f aca="false">VALUE(SUBSTITUTE(Azymut!O187,".",","))</f>
        <v>0</v>
      </c>
      <c r="K187" s="9" t="str">
        <f aca="false">SUBSTITUTE(Ebookpoint!E199,"-","")</f>
        <v/>
      </c>
      <c r="L187" s="9" t="str">
        <f aca="false">SUBSTITUTE(Nasbi!E199,"-","")</f>
        <v/>
      </c>
      <c r="M187" s="9" t="n">
        <f aca="false">VALUE(SUBSTITUTE(StorytelE!G187,".",","))</f>
        <v>0</v>
      </c>
      <c r="N187" s="9" t="n">
        <f aca="false">VALUE(SUBSTITUTE(StorytelA!G187,".",","))</f>
        <v>0</v>
      </c>
      <c r="O187" s="9" t="n">
        <f aca="false">VALUE(SUBSTITUTE(StorytelE!M187,".",","))</f>
        <v>0</v>
      </c>
      <c r="P187" s="9" t="n">
        <f aca="false">VALUE(SUBSTITUTE(StorytelA!M187,".",","))</f>
        <v>0</v>
      </c>
      <c r="Q187" s="29"/>
      <c r="R187" s="29" t="n">
        <f aca="false">VALUE(SUBSTITUTE(Woblink!H199,".",","))</f>
        <v>0</v>
      </c>
      <c r="S187" s="9" t="str">
        <f aca="false">SUBSTITUTE(AzymutB!D187,"-","")</f>
        <v/>
      </c>
      <c r="T187" s="9" t="n">
        <f aca="false">VALUE(SUBSTITUTE(AzymutB!O187,".",","))</f>
        <v>0</v>
      </c>
      <c r="U187" s="9" t="str">
        <f aca="false">SUBSTITUTE(Audioteka!Q189,"-","")</f>
        <v/>
      </c>
    </row>
    <row r="188" customFormat="false" ht="15.75" hidden="false" customHeight="false" outlineLevel="0" collapsed="false">
      <c r="A188" s="8" t="str">
        <f aca="false">SUBSTITUTE(Histmag!B188,"-","")</f>
        <v/>
      </c>
      <c r="B188" s="9" t="n">
        <f aca="false">VALUE(SUBSTITUTE(Histmag!D188,".",","))</f>
        <v>0</v>
      </c>
      <c r="C188" s="8" t="str">
        <f aca="false">SUBSTITUTE(Virtualo!G188,"-","")</f>
        <v/>
      </c>
      <c r="D188" s="8" t="str">
        <f aca="false">SUBSTITUTE(Empik!F188,"-","")</f>
        <v/>
      </c>
      <c r="E188" s="8" t="str">
        <f aca="false">SUBSTITUTE(Publio!H188,"-","")</f>
        <v/>
      </c>
      <c r="F188" s="8" t="n">
        <f aca="false">VALUE(SUBSTITUTE(Publio!Q188,".",","))</f>
        <v>0</v>
      </c>
      <c r="G188" s="8" t="str">
        <f aca="false">IFERROR(IF(SEARCH("-", Nexto!B169), SUBSTITUTE(Nexto!B169,"-","")), "")</f>
        <v/>
      </c>
      <c r="H188" s="8" t="n">
        <f aca="false">IFERROR(VALUE(SUBSTITUTE(Nexto!P173,".",",")),0)</f>
        <v>0</v>
      </c>
      <c r="I188" s="9" t="str">
        <f aca="false">SUBSTITUTE(Azymut!D188,"-","")</f>
        <v/>
      </c>
      <c r="J188" s="9" t="n">
        <f aca="false">VALUE(SUBSTITUTE(Azymut!O188,".",","))</f>
        <v>0</v>
      </c>
      <c r="K188" s="9" t="str">
        <f aca="false">SUBSTITUTE(Ebookpoint!E200,"-","")</f>
        <v/>
      </c>
      <c r="L188" s="9" t="str">
        <f aca="false">SUBSTITUTE(Nasbi!E200,"-","")</f>
        <v/>
      </c>
      <c r="M188" s="9" t="n">
        <f aca="false">VALUE(SUBSTITUTE(StorytelE!G188,".",","))</f>
        <v>0</v>
      </c>
      <c r="N188" s="9" t="n">
        <f aca="false">VALUE(SUBSTITUTE(StorytelA!G188,".",","))</f>
        <v>0</v>
      </c>
      <c r="O188" s="9" t="n">
        <f aca="false">VALUE(SUBSTITUTE(StorytelE!M188,".",","))</f>
        <v>0</v>
      </c>
      <c r="P188" s="9" t="n">
        <f aca="false">VALUE(SUBSTITUTE(StorytelA!M188,".",","))</f>
        <v>0</v>
      </c>
      <c r="Q188" s="29"/>
      <c r="R188" s="29" t="n">
        <f aca="false">VALUE(SUBSTITUTE(Woblink!H200,".",","))</f>
        <v>0</v>
      </c>
      <c r="S188" s="9" t="str">
        <f aca="false">SUBSTITUTE(AzymutB!D188,"-","")</f>
        <v/>
      </c>
      <c r="T188" s="9" t="n">
        <f aca="false">VALUE(SUBSTITUTE(AzymutB!O188,".",","))</f>
        <v>0</v>
      </c>
      <c r="U188" s="9" t="str">
        <f aca="false">SUBSTITUTE(Audioteka!Q190,"-","")</f>
        <v/>
      </c>
    </row>
    <row r="189" customFormat="false" ht="15.75" hidden="false" customHeight="false" outlineLevel="0" collapsed="false">
      <c r="A189" s="8" t="str">
        <f aca="false">SUBSTITUTE(Histmag!B189,"-","")</f>
        <v/>
      </c>
      <c r="B189" s="9" t="n">
        <f aca="false">VALUE(SUBSTITUTE(Histmag!D189,".",","))</f>
        <v>0</v>
      </c>
      <c r="C189" s="8" t="str">
        <f aca="false">SUBSTITUTE(Virtualo!G189,"-","")</f>
        <v/>
      </c>
      <c r="D189" s="8" t="str">
        <f aca="false">SUBSTITUTE(Empik!F189,"-","")</f>
        <v/>
      </c>
      <c r="E189" s="8" t="str">
        <f aca="false">SUBSTITUTE(Publio!H189,"-","")</f>
        <v/>
      </c>
      <c r="F189" s="8" t="n">
        <f aca="false">VALUE(SUBSTITUTE(Publio!Q189,".",","))</f>
        <v>0</v>
      </c>
      <c r="G189" s="8" t="str">
        <f aca="false">IFERROR(IF(SEARCH("-", Nexto!B170), SUBSTITUTE(Nexto!B170,"-","")), "")</f>
        <v/>
      </c>
      <c r="H189" s="8" t="n">
        <f aca="false">IFERROR(VALUE(SUBSTITUTE(Nexto!P174,".",",")),0)</f>
        <v>0</v>
      </c>
      <c r="I189" s="9" t="str">
        <f aca="false">SUBSTITUTE(Azymut!D189,"-","")</f>
        <v/>
      </c>
      <c r="J189" s="9" t="n">
        <f aca="false">VALUE(SUBSTITUTE(Azymut!O189,".",","))</f>
        <v>0</v>
      </c>
      <c r="K189" s="9" t="str">
        <f aca="false">SUBSTITUTE(Ebookpoint!E201,"-","")</f>
        <v/>
      </c>
      <c r="L189" s="9" t="str">
        <f aca="false">SUBSTITUTE(Nasbi!E201,"-","")</f>
        <v/>
      </c>
      <c r="M189" s="9" t="n">
        <f aca="false">VALUE(SUBSTITUTE(StorytelE!G189,".",","))</f>
        <v>0</v>
      </c>
      <c r="N189" s="9" t="n">
        <f aca="false">VALUE(SUBSTITUTE(StorytelA!G189,".",","))</f>
        <v>0</v>
      </c>
      <c r="O189" s="9" t="n">
        <f aca="false">VALUE(SUBSTITUTE(StorytelE!M189,".",","))</f>
        <v>0</v>
      </c>
      <c r="P189" s="9" t="n">
        <f aca="false">VALUE(SUBSTITUTE(StorytelA!M189,".",","))</f>
        <v>0</v>
      </c>
      <c r="Q189" s="29"/>
      <c r="R189" s="29" t="n">
        <f aca="false">VALUE(SUBSTITUTE(Woblink!H201,".",","))</f>
        <v>0</v>
      </c>
      <c r="S189" s="9" t="str">
        <f aca="false">SUBSTITUTE(AzymutB!D189,"-","")</f>
        <v/>
      </c>
      <c r="T189" s="9" t="n">
        <f aca="false">VALUE(SUBSTITUTE(AzymutB!O189,".",","))</f>
        <v>0</v>
      </c>
      <c r="U189" s="9" t="str">
        <f aca="false">SUBSTITUTE(Audioteka!Q191,"-","")</f>
        <v/>
      </c>
    </row>
    <row r="190" customFormat="false" ht="15.75" hidden="false" customHeight="false" outlineLevel="0" collapsed="false">
      <c r="A190" s="8" t="str">
        <f aca="false">SUBSTITUTE(Histmag!B190,"-","")</f>
        <v/>
      </c>
      <c r="B190" s="9" t="n">
        <f aca="false">VALUE(SUBSTITUTE(Histmag!D190,".",","))</f>
        <v>0</v>
      </c>
      <c r="C190" s="8" t="str">
        <f aca="false">SUBSTITUTE(Virtualo!G190,"-","")</f>
        <v/>
      </c>
      <c r="D190" s="8" t="str">
        <f aca="false">SUBSTITUTE(Empik!F190,"-","")</f>
        <v/>
      </c>
      <c r="E190" s="8" t="str">
        <f aca="false">SUBSTITUTE(Publio!H190,"-","")</f>
        <v/>
      </c>
      <c r="F190" s="8" t="n">
        <f aca="false">VALUE(SUBSTITUTE(Publio!Q190,".",","))</f>
        <v>0</v>
      </c>
      <c r="G190" s="8" t="str">
        <f aca="false">IFERROR(IF(SEARCH("-", Nexto!B171), SUBSTITUTE(Nexto!B171,"-","")), "")</f>
        <v/>
      </c>
      <c r="H190" s="8" t="n">
        <f aca="false">IFERROR(VALUE(SUBSTITUTE(Nexto!P175,".",",")),0)</f>
        <v>0</v>
      </c>
      <c r="I190" s="9" t="str">
        <f aca="false">SUBSTITUTE(Azymut!D190,"-","")</f>
        <v/>
      </c>
      <c r="J190" s="9" t="n">
        <f aca="false">VALUE(SUBSTITUTE(Azymut!O190,".",","))</f>
        <v>0</v>
      </c>
      <c r="K190" s="9" t="str">
        <f aca="false">SUBSTITUTE(Ebookpoint!E202,"-","")</f>
        <v/>
      </c>
      <c r="L190" s="9" t="str">
        <f aca="false">SUBSTITUTE(Nasbi!E202,"-","")</f>
        <v/>
      </c>
      <c r="M190" s="9" t="n">
        <f aca="false">VALUE(SUBSTITUTE(StorytelE!G190,".",","))</f>
        <v>0</v>
      </c>
      <c r="N190" s="9" t="n">
        <f aca="false">VALUE(SUBSTITUTE(StorytelA!G190,".",","))</f>
        <v>0</v>
      </c>
      <c r="O190" s="9" t="n">
        <f aca="false">VALUE(SUBSTITUTE(StorytelE!M190,".",","))</f>
        <v>0</v>
      </c>
      <c r="P190" s="9" t="n">
        <f aca="false">VALUE(SUBSTITUTE(StorytelA!M190,".",","))</f>
        <v>0</v>
      </c>
      <c r="Q190" s="29"/>
      <c r="R190" s="29" t="n">
        <f aca="false">VALUE(SUBSTITUTE(Woblink!H202,".",","))</f>
        <v>0</v>
      </c>
      <c r="S190" s="9" t="str">
        <f aca="false">SUBSTITUTE(AzymutB!D190,"-","")</f>
        <v/>
      </c>
      <c r="T190" s="9" t="n">
        <f aca="false">VALUE(SUBSTITUTE(AzymutB!O190,".",","))</f>
        <v>0</v>
      </c>
      <c r="U190" s="9" t="str">
        <f aca="false">SUBSTITUTE(Audioteka!Q192,"-","")</f>
        <v/>
      </c>
    </row>
    <row r="191" customFormat="false" ht="15.75" hidden="false" customHeight="false" outlineLevel="0" collapsed="false">
      <c r="A191" s="8" t="str">
        <f aca="false">SUBSTITUTE(Histmag!B191,"-","")</f>
        <v/>
      </c>
      <c r="B191" s="9" t="n">
        <f aca="false">VALUE(SUBSTITUTE(Histmag!D191,".",","))</f>
        <v>0</v>
      </c>
      <c r="C191" s="8" t="str">
        <f aca="false">SUBSTITUTE(Virtualo!G191,"-","")</f>
        <v/>
      </c>
      <c r="D191" s="8" t="str">
        <f aca="false">SUBSTITUTE(Empik!F191,"-","")</f>
        <v/>
      </c>
      <c r="E191" s="8" t="str">
        <f aca="false">SUBSTITUTE(Publio!H191,"-","")</f>
        <v/>
      </c>
      <c r="F191" s="8" t="n">
        <f aca="false">VALUE(SUBSTITUTE(Publio!Q191,".",","))</f>
        <v>0</v>
      </c>
      <c r="G191" s="8" t="str">
        <f aca="false">IFERROR(IF(SEARCH("-", Nexto!B172), SUBSTITUTE(Nexto!B172,"-","")), "")</f>
        <v/>
      </c>
      <c r="H191" s="8" t="n">
        <f aca="false">IFERROR(VALUE(SUBSTITUTE(Nexto!P176,".",",")),0)</f>
        <v>0</v>
      </c>
      <c r="I191" s="9" t="str">
        <f aca="false">SUBSTITUTE(Azymut!D191,"-","")</f>
        <v/>
      </c>
      <c r="J191" s="9" t="n">
        <f aca="false">VALUE(SUBSTITUTE(Azymut!O191,".",","))</f>
        <v>0</v>
      </c>
      <c r="K191" s="9" t="str">
        <f aca="false">SUBSTITUTE(Ebookpoint!E203,"-","")</f>
        <v/>
      </c>
      <c r="L191" s="9" t="str">
        <f aca="false">SUBSTITUTE(Nasbi!E203,"-","")</f>
        <v/>
      </c>
      <c r="M191" s="9" t="n">
        <f aca="false">VALUE(SUBSTITUTE(StorytelE!G191,".",","))</f>
        <v>0</v>
      </c>
      <c r="N191" s="9" t="n">
        <f aca="false">VALUE(SUBSTITUTE(StorytelA!G191,".",","))</f>
        <v>0</v>
      </c>
      <c r="O191" s="9" t="n">
        <f aca="false">VALUE(SUBSTITUTE(StorytelE!M191,".",","))</f>
        <v>0</v>
      </c>
      <c r="P191" s="9" t="n">
        <f aca="false">VALUE(SUBSTITUTE(StorytelA!M191,".",","))</f>
        <v>0</v>
      </c>
      <c r="Q191" s="29"/>
      <c r="R191" s="29" t="n">
        <f aca="false">VALUE(SUBSTITUTE(Woblink!H203,".",","))</f>
        <v>0</v>
      </c>
      <c r="S191" s="9" t="str">
        <f aca="false">SUBSTITUTE(AzymutB!D191,"-","")</f>
        <v/>
      </c>
      <c r="T191" s="9" t="n">
        <f aca="false">VALUE(SUBSTITUTE(AzymutB!O191,".",","))</f>
        <v>0</v>
      </c>
      <c r="U191" s="9" t="str">
        <f aca="false">SUBSTITUTE(Audioteka!Q193,"-","")</f>
        <v/>
      </c>
    </row>
    <row r="192" customFormat="false" ht="15.75" hidden="false" customHeight="false" outlineLevel="0" collapsed="false">
      <c r="A192" s="8" t="str">
        <f aca="false">SUBSTITUTE(Histmag!B192,"-","")</f>
        <v/>
      </c>
      <c r="B192" s="9" t="n">
        <f aca="false">VALUE(SUBSTITUTE(Histmag!D192,".",","))</f>
        <v>0</v>
      </c>
      <c r="C192" s="8" t="str">
        <f aca="false">SUBSTITUTE(Virtualo!G192,"-","")</f>
        <v/>
      </c>
      <c r="D192" s="8" t="str">
        <f aca="false">SUBSTITUTE(Empik!F192,"-","")</f>
        <v/>
      </c>
      <c r="E192" s="8" t="str">
        <f aca="false">SUBSTITUTE(Publio!H192,"-","")</f>
        <v/>
      </c>
      <c r="F192" s="8" t="n">
        <f aca="false">VALUE(SUBSTITUTE(Publio!Q192,".",","))</f>
        <v>0</v>
      </c>
      <c r="G192" s="8" t="str">
        <f aca="false">IFERROR(IF(SEARCH("-", Nexto!B173), SUBSTITUTE(Nexto!B173,"-","")), "")</f>
        <v/>
      </c>
      <c r="H192" s="8" t="n">
        <f aca="false">IFERROR(VALUE(SUBSTITUTE(Nexto!P177,".",",")),0)</f>
        <v>0</v>
      </c>
      <c r="I192" s="9" t="str">
        <f aca="false">SUBSTITUTE(Azymut!D192,"-","")</f>
        <v/>
      </c>
      <c r="J192" s="9" t="n">
        <f aca="false">VALUE(SUBSTITUTE(Azymut!O192,".",","))</f>
        <v>0</v>
      </c>
      <c r="K192" s="9" t="str">
        <f aca="false">SUBSTITUTE(Ebookpoint!E204,"-","")</f>
        <v/>
      </c>
      <c r="L192" s="9" t="str">
        <f aca="false">SUBSTITUTE(Nasbi!E204,"-","")</f>
        <v/>
      </c>
      <c r="M192" s="9" t="n">
        <f aca="false">VALUE(SUBSTITUTE(StorytelE!G192,".",","))</f>
        <v>0</v>
      </c>
      <c r="N192" s="9" t="n">
        <f aca="false">VALUE(SUBSTITUTE(StorytelA!G192,".",","))</f>
        <v>0</v>
      </c>
      <c r="O192" s="9" t="n">
        <f aca="false">VALUE(SUBSTITUTE(StorytelE!M192,".",","))</f>
        <v>0</v>
      </c>
      <c r="P192" s="9" t="n">
        <f aca="false">VALUE(SUBSTITUTE(StorytelA!M192,".",","))</f>
        <v>0</v>
      </c>
      <c r="Q192" s="29"/>
      <c r="R192" s="29" t="n">
        <f aca="false">VALUE(SUBSTITUTE(Woblink!H204,".",","))</f>
        <v>0</v>
      </c>
      <c r="S192" s="9" t="str">
        <f aca="false">SUBSTITUTE(AzymutB!D192,"-","")</f>
        <v/>
      </c>
      <c r="T192" s="9" t="n">
        <f aca="false">VALUE(SUBSTITUTE(AzymutB!O192,".",","))</f>
        <v>0</v>
      </c>
      <c r="U192" s="9" t="str">
        <f aca="false">SUBSTITUTE(Audioteka!Q194,"-","")</f>
        <v/>
      </c>
    </row>
    <row r="193" customFormat="false" ht="15.75" hidden="false" customHeight="false" outlineLevel="0" collapsed="false">
      <c r="A193" s="8" t="str">
        <f aca="false">SUBSTITUTE(Histmag!B193,"-","")</f>
        <v/>
      </c>
      <c r="B193" s="9" t="n">
        <f aca="false">VALUE(SUBSTITUTE(Histmag!D193,".",","))</f>
        <v>0</v>
      </c>
      <c r="C193" s="8" t="str">
        <f aca="false">SUBSTITUTE(Virtualo!G193,"-","")</f>
        <v/>
      </c>
      <c r="D193" s="8" t="str">
        <f aca="false">SUBSTITUTE(Empik!F193,"-","")</f>
        <v/>
      </c>
      <c r="E193" s="8" t="str">
        <f aca="false">SUBSTITUTE(Publio!H193,"-","")</f>
        <v/>
      </c>
      <c r="F193" s="8" t="n">
        <f aca="false">VALUE(SUBSTITUTE(Publio!Q193,".",","))</f>
        <v>0</v>
      </c>
      <c r="G193" s="8" t="str">
        <f aca="false">IFERROR(IF(SEARCH("-", Nexto!B174), SUBSTITUTE(Nexto!B174,"-","")), "")</f>
        <v/>
      </c>
      <c r="H193" s="8" t="n">
        <f aca="false">IFERROR(VALUE(SUBSTITUTE(Nexto!P178,".",",")),0)</f>
        <v>0</v>
      </c>
      <c r="I193" s="9" t="str">
        <f aca="false">SUBSTITUTE(Azymut!D193,"-","")</f>
        <v/>
      </c>
      <c r="J193" s="9" t="n">
        <f aca="false">VALUE(SUBSTITUTE(Azymut!O193,".",","))</f>
        <v>0</v>
      </c>
      <c r="K193" s="9" t="str">
        <f aca="false">SUBSTITUTE(Ebookpoint!E205,"-","")</f>
        <v/>
      </c>
      <c r="L193" s="9" t="str">
        <f aca="false">SUBSTITUTE(Nasbi!E205,"-","")</f>
        <v/>
      </c>
      <c r="M193" s="9" t="n">
        <f aca="false">VALUE(SUBSTITUTE(StorytelE!G193,".",","))</f>
        <v>0</v>
      </c>
      <c r="N193" s="9" t="n">
        <f aca="false">VALUE(SUBSTITUTE(StorytelA!G193,".",","))</f>
        <v>0</v>
      </c>
      <c r="O193" s="9" t="n">
        <f aca="false">VALUE(SUBSTITUTE(StorytelE!M193,".",","))</f>
        <v>0</v>
      </c>
      <c r="P193" s="9" t="n">
        <f aca="false">VALUE(SUBSTITUTE(StorytelA!M193,".",","))</f>
        <v>0</v>
      </c>
      <c r="Q193" s="29"/>
      <c r="R193" s="29" t="n">
        <f aca="false">VALUE(SUBSTITUTE(Woblink!H205,".",","))</f>
        <v>0</v>
      </c>
      <c r="S193" s="9" t="str">
        <f aca="false">SUBSTITUTE(AzymutB!D193,"-","")</f>
        <v/>
      </c>
      <c r="T193" s="9" t="n">
        <f aca="false">VALUE(SUBSTITUTE(AzymutB!O193,".",","))</f>
        <v>0</v>
      </c>
      <c r="U193" s="9" t="str">
        <f aca="false">SUBSTITUTE(Audioteka!Q195,"-","")</f>
        <v/>
      </c>
    </row>
    <row r="194" customFormat="false" ht="15.75" hidden="false" customHeight="false" outlineLevel="0" collapsed="false">
      <c r="A194" s="8" t="str">
        <f aca="false">SUBSTITUTE(Histmag!B194,"-","")</f>
        <v/>
      </c>
      <c r="B194" s="9" t="n">
        <f aca="false">VALUE(SUBSTITUTE(Histmag!D194,".",","))</f>
        <v>0</v>
      </c>
      <c r="C194" s="8" t="str">
        <f aca="false">SUBSTITUTE(Virtualo!G194,"-","")</f>
        <v/>
      </c>
      <c r="D194" s="8" t="str">
        <f aca="false">SUBSTITUTE(Empik!F194,"-","")</f>
        <v/>
      </c>
      <c r="E194" s="8" t="str">
        <f aca="false">SUBSTITUTE(Publio!H194,"-","")</f>
        <v/>
      </c>
      <c r="F194" s="8" t="n">
        <f aca="false">VALUE(SUBSTITUTE(Publio!Q194,".",","))</f>
        <v>0</v>
      </c>
      <c r="G194" s="8" t="str">
        <f aca="false">IFERROR(IF(SEARCH("-", Nexto!B175), SUBSTITUTE(Nexto!B175,"-","")), "")</f>
        <v/>
      </c>
      <c r="H194" s="8" t="n">
        <f aca="false">IFERROR(VALUE(SUBSTITUTE(Nexto!P179,".",",")),0)</f>
        <v>0</v>
      </c>
      <c r="I194" s="9" t="str">
        <f aca="false">SUBSTITUTE(Azymut!D194,"-","")</f>
        <v/>
      </c>
      <c r="J194" s="9" t="n">
        <f aca="false">VALUE(SUBSTITUTE(Azymut!O194,".",","))</f>
        <v>0</v>
      </c>
      <c r="K194" s="9" t="str">
        <f aca="false">SUBSTITUTE(Ebookpoint!E206,"-","")</f>
        <v/>
      </c>
      <c r="L194" s="9" t="str">
        <f aca="false">SUBSTITUTE(Nasbi!E206,"-","")</f>
        <v/>
      </c>
      <c r="M194" s="9" t="n">
        <f aca="false">VALUE(SUBSTITUTE(StorytelE!G194,".",","))</f>
        <v>0</v>
      </c>
      <c r="N194" s="9" t="n">
        <f aca="false">VALUE(SUBSTITUTE(StorytelA!G194,".",","))</f>
        <v>0</v>
      </c>
      <c r="O194" s="9" t="n">
        <f aca="false">VALUE(SUBSTITUTE(StorytelE!M194,".",","))</f>
        <v>0</v>
      </c>
      <c r="P194" s="9" t="n">
        <f aca="false">VALUE(SUBSTITUTE(StorytelA!M194,".",","))</f>
        <v>0</v>
      </c>
      <c r="Q194" s="29"/>
      <c r="R194" s="29" t="n">
        <f aca="false">VALUE(SUBSTITUTE(Woblink!H206,".",","))</f>
        <v>0</v>
      </c>
      <c r="S194" s="9" t="str">
        <f aca="false">SUBSTITUTE(AzymutB!D194,"-","")</f>
        <v/>
      </c>
      <c r="T194" s="9" t="n">
        <f aca="false">VALUE(SUBSTITUTE(AzymutB!O194,".",","))</f>
        <v>0</v>
      </c>
      <c r="U194" s="9" t="str">
        <f aca="false">SUBSTITUTE(Audioteka!Q196,"-","")</f>
        <v/>
      </c>
    </row>
    <row r="195" customFormat="false" ht="15.75" hidden="false" customHeight="false" outlineLevel="0" collapsed="false">
      <c r="A195" s="8" t="str">
        <f aca="false">SUBSTITUTE(Histmag!B195,"-","")</f>
        <v/>
      </c>
      <c r="B195" s="9" t="n">
        <f aca="false">VALUE(SUBSTITUTE(Histmag!D195,".",","))</f>
        <v>0</v>
      </c>
      <c r="C195" s="8" t="str">
        <f aca="false">SUBSTITUTE(Virtualo!G195,"-","")</f>
        <v/>
      </c>
      <c r="D195" s="8" t="str">
        <f aca="false">SUBSTITUTE(Empik!F195,"-","")</f>
        <v/>
      </c>
      <c r="E195" s="8" t="str">
        <f aca="false">SUBSTITUTE(Publio!H195,"-","")</f>
        <v/>
      </c>
      <c r="F195" s="8" t="n">
        <f aca="false">VALUE(SUBSTITUTE(Publio!Q195,".",","))</f>
        <v>0</v>
      </c>
      <c r="G195" s="8" t="str">
        <f aca="false">IFERROR(IF(SEARCH("-", Nexto!B176), SUBSTITUTE(Nexto!B176,"-","")), "")</f>
        <v/>
      </c>
      <c r="H195" s="8" t="n">
        <f aca="false">IFERROR(VALUE(SUBSTITUTE(Nexto!P180,".",",")),0)</f>
        <v>0</v>
      </c>
      <c r="I195" s="9" t="str">
        <f aca="false">SUBSTITUTE(Azymut!D195,"-","")</f>
        <v/>
      </c>
      <c r="J195" s="9" t="n">
        <f aca="false">VALUE(SUBSTITUTE(Azymut!O195,".",","))</f>
        <v>0</v>
      </c>
      <c r="K195" s="9" t="str">
        <f aca="false">SUBSTITUTE(Ebookpoint!E207,"-","")</f>
        <v/>
      </c>
      <c r="L195" s="9" t="str">
        <f aca="false">SUBSTITUTE(Nasbi!E207,"-","")</f>
        <v/>
      </c>
      <c r="M195" s="9" t="n">
        <f aca="false">VALUE(SUBSTITUTE(StorytelE!G195,".",","))</f>
        <v>0</v>
      </c>
      <c r="N195" s="9" t="n">
        <f aca="false">VALUE(SUBSTITUTE(StorytelA!G195,".",","))</f>
        <v>0</v>
      </c>
      <c r="O195" s="9" t="n">
        <f aca="false">VALUE(SUBSTITUTE(StorytelE!M195,".",","))</f>
        <v>0</v>
      </c>
      <c r="P195" s="9" t="n">
        <f aca="false">VALUE(SUBSTITUTE(StorytelA!M195,".",","))</f>
        <v>0</v>
      </c>
      <c r="Q195" s="29"/>
      <c r="R195" s="29" t="n">
        <f aca="false">VALUE(SUBSTITUTE(Woblink!H207,".",","))</f>
        <v>0</v>
      </c>
      <c r="S195" s="9" t="str">
        <f aca="false">SUBSTITUTE(AzymutB!D195,"-","")</f>
        <v/>
      </c>
      <c r="T195" s="9" t="n">
        <f aca="false">VALUE(SUBSTITUTE(AzymutB!O195,".",","))</f>
        <v>0</v>
      </c>
      <c r="U195" s="9" t="str">
        <f aca="false">SUBSTITUTE(Audioteka!Q197,"-","")</f>
        <v/>
      </c>
    </row>
    <row r="196" customFormat="false" ht="15.75" hidden="false" customHeight="false" outlineLevel="0" collapsed="false">
      <c r="A196" s="8" t="str">
        <f aca="false">SUBSTITUTE(Histmag!B196,"-","")</f>
        <v/>
      </c>
      <c r="B196" s="9" t="n">
        <f aca="false">VALUE(SUBSTITUTE(Histmag!D196,".",","))</f>
        <v>0</v>
      </c>
      <c r="C196" s="8" t="str">
        <f aca="false">SUBSTITUTE(Virtualo!G196,"-","")</f>
        <v/>
      </c>
      <c r="D196" s="8" t="str">
        <f aca="false">SUBSTITUTE(Empik!F196,"-","")</f>
        <v/>
      </c>
      <c r="E196" s="8" t="str">
        <f aca="false">SUBSTITUTE(Publio!H196,"-","")</f>
        <v/>
      </c>
      <c r="F196" s="8" t="n">
        <f aca="false">VALUE(SUBSTITUTE(Publio!Q196,".",","))</f>
        <v>0</v>
      </c>
      <c r="G196" s="8" t="str">
        <f aca="false">IFERROR(IF(SEARCH("-", Nexto!B177), SUBSTITUTE(Nexto!B177,"-","")), "")</f>
        <v/>
      </c>
      <c r="H196" s="8" t="n">
        <f aca="false">IFERROR(VALUE(SUBSTITUTE(Nexto!P181,".",",")),0)</f>
        <v>0</v>
      </c>
      <c r="I196" s="9" t="str">
        <f aca="false">SUBSTITUTE(Azymut!D196,"-","")</f>
        <v/>
      </c>
      <c r="J196" s="9" t="n">
        <f aca="false">VALUE(SUBSTITUTE(Azymut!O196,".",","))</f>
        <v>0</v>
      </c>
      <c r="K196" s="9" t="str">
        <f aca="false">SUBSTITUTE(Ebookpoint!E208,"-","")</f>
        <v/>
      </c>
      <c r="L196" s="9" t="str">
        <f aca="false">SUBSTITUTE(Nasbi!E208,"-","")</f>
        <v/>
      </c>
      <c r="M196" s="9" t="n">
        <f aca="false">VALUE(SUBSTITUTE(StorytelE!G196,".",","))</f>
        <v>0</v>
      </c>
      <c r="N196" s="9" t="n">
        <f aca="false">VALUE(SUBSTITUTE(StorytelA!G196,".",","))</f>
        <v>0</v>
      </c>
      <c r="O196" s="9" t="n">
        <f aca="false">VALUE(SUBSTITUTE(StorytelE!M196,".",","))</f>
        <v>0</v>
      </c>
      <c r="P196" s="9" t="n">
        <f aca="false">VALUE(SUBSTITUTE(StorytelA!M196,".",","))</f>
        <v>0</v>
      </c>
      <c r="Q196" s="29"/>
      <c r="R196" s="29" t="n">
        <f aca="false">VALUE(SUBSTITUTE(Woblink!H208,".",","))</f>
        <v>0</v>
      </c>
      <c r="S196" s="9" t="str">
        <f aca="false">SUBSTITUTE(AzymutB!D196,"-","")</f>
        <v/>
      </c>
      <c r="T196" s="9" t="n">
        <f aca="false">VALUE(SUBSTITUTE(AzymutB!O196,".",","))</f>
        <v>0</v>
      </c>
      <c r="U196" s="9" t="str">
        <f aca="false">SUBSTITUTE(Audioteka!Q198,"-","")</f>
        <v/>
      </c>
    </row>
    <row r="197" customFormat="false" ht="15.75" hidden="false" customHeight="false" outlineLevel="0" collapsed="false">
      <c r="A197" s="8" t="str">
        <f aca="false">SUBSTITUTE(Histmag!B197,"-","")</f>
        <v/>
      </c>
      <c r="B197" s="9" t="n">
        <f aca="false">VALUE(SUBSTITUTE(Histmag!D197,".",","))</f>
        <v>0</v>
      </c>
      <c r="C197" s="8" t="str">
        <f aca="false">SUBSTITUTE(Virtualo!G197,"-","")</f>
        <v/>
      </c>
      <c r="D197" s="8" t="str">
        <f aca="false">SUBSTITUTE(Empik!F197,"-","")</f>
        <v/>
      </c>
      <c r="E197" s="8" t="str">
        <f aca="false">SUBSTITUTE(Publio!H197,"-","")</f>
        <v/>
      </c>
      <c r="F197" s="8" t="n">
        <f aca="false">VALUE(SUBSTITUTE(Publio!Q197,".",","))</f>
        <v>0</v>
      </c>
      <c r="G197" s="8" t="str">
        <f aca="false">IFERROR(IF(SEARCH("-", Nexto!B178), SUBSTITUTE(Nexto!B178,"-","")), "")</f>
        <v/>
      </c>
      <c r="H197" s="8" t="n">
        <f aca="false">IFERROR(VALUE(SUBSTITUTE(Nexto!P182,".",",")),0)</f>
        <v>0</v>
      </c>
      <c r="I197" s="9" t="str">
        <f aca="false">SUBSTITUTE(Azymut!D197,"-","")</f>
        <v/>
      </c>
      <c r="J197" s="9" t="n">
        <f aca="false">VALUE(SUBSTITUTE(Azymut!O197,".",","))</f>
        <v>0</v>
      </c>
      <c r="K197" s="9" t="str">
        <f aca="false">SUBSTITUTE(Ebookpoint!E209,"-","")</f>
        <v/>
      </c>
      <c r="L197" s="9" t="str">
        <f aca="false">SUBSTITUTE(Nasbi!E209,"-","")</f>
        <v/>
      </c>
      <c r="M197" s="9" t="n">
        <f aca="false">VALUE(SUBSTITUTE(StorytelE!G197,".",","))</f>
        <v>0</v>
      </c>
      <c r="N197" s="9" t="n">
        <f aca="false">VALUE(SUBSTITUTE(StorytelA!G197,".",","))</f>
        <v>0</v>
      </c>
      <c r="O197" s="9" t="n">
        <f aca="false">VALUE(SUBSTITUTE(StorytelE!M197,".",","))</f>
        <v>0</v>
      </c>
      <c r="P197" s="9" t="n">
        <f aca="false">VALUE(SUBSTITUTE(StorytelA!M197,".",","))</f>
        <v>0</v>
      </c>
      <c r="Q197" s="29"/>
      <c r="R197" s="29" t="n">
        <f aca="false">VALUE(SUBSTITUTE(Woblink!H209,".",","))</f>
        <v>0</v>
      </c>
      <c r="S197" s="9" t="str">
        <f aca="false">SUBSTITUTE(AzymutB!D197,"-","")</f>
        <v/>
      </c>
      <c r="T197" s="9" t="n">
        <f aca="false">VALUE(SUBSTITUTE(AzymutB!O197,".",","))</f>
        <v>0</v>
      </c>
      <c r="U197" s="9" t="str">
        <f aca="false">SUBSTITUTE(Audioteka!Q199,"-","")</f>
        <v/>
      </c>
    </row>
    <row r="198" customFormat="false" ht="15.75" hidden="false" customHeight="false" outlineLevel="0" collapsed="false">
      <c r="A198" s="8" t="str">
        <f aca="false">SUBSTITUTE(Histmag!B198,"-","")</f>
        <v/>
      </c>
      <c r="B198" s="9" t="n">
        <f aca="false">VALUE(SUBSTITUTE(Histmag!D198,".",","))</f>
        <v>0</v>
      </c>
      <c r="C198" s="8" t="str">
        <f aca="false">SUBSTITUTE(Virtualo!G198,"-","")</f>
        <v/>
      </c>
      <c r="D198" s="8" t="str">
        <f aca="false">SUBSTITUTE(Empik!F198,"-","")</f>
        <v/>
      </c>
      <c r="E198" s="8" t="str">
        <f aca="false">SUBSTITUTE(Publio!H198,"-","")</f>
        <v/>
      </c>
      <c r="F198" s="8" t="n">
        <f aca="false">VALUE(SUBSTITUTE(Publio!Q198,".",","))</f>
        <v>0</v>
      </c>
      <c r="G198" s="8" t="str">
        <f aca="false">IFERROR(IF(SEARCH("-", Nexto!B179), SUBSTITUTE(Nexto!B179,"-","")), "")</f>
        <v/>
      </c>
      <c r="H198" s="8" t="n">
        <f aca="false">IFERROR(VALUE(SUBSTITUTE(Nexto!P183,".",",")),0)</f>
        <v>0</v>
      </c>
      <c r="I198" s="9" t="str">
        <f aca="false">SUBSTITUTE(Azymut!D198,"-","")</f>
        <v/>
      </c>
      <c r="J198" s="9" t="n">
        <f aca="false">VALUE(SUBSTITUTE(Azymut!O198,".",","))</f>
        <v>0</v>
      </c>
      <c r="K198" s="9" t="str">
        <f aca="false">SUBSTITUTE(Ebookpoint!E210,"-","")</f>
        <v/>
      </c>
      <c r="L198" s="9" t="str">
        <f aca="false">SUBSTITUTE(Nasbi!E210,"-","")</f>
        <v/>
      </c>
      <c r="M198" s="9" t="n">
        <f aca="false">VALUE(SUBSTITUTE(StorytelE!G198,".",","))</f>
        <v>0</v>
      </c>
      <c r="N198" s="9" t="n">
        <f aca="false">VALUE(SUBSTITUTE(StorytelA!G198,".",","))</f>
        <v>0</v>
      </c>
      <c r="O198" s="9" t="n">
        <f aca="false">VALUE(SUBSTITUTE(StorytelE!M198,".",","))</f>
        <v>0</v>
      </c>
      <c r="P198" s="9" t="n">
        <f aca="false">VALUE(SUBSTITUTE(StorytelA!M198,".",","))</f>
        <v>0</v>
      </c>
      <c r="Q198" s="29"/>
      <c r="R198" s="29" t="n">
        <f aca="false">VALUE(SUBSTITUTE(Woblink!H210,".",","))</f>
        <v>0</v>
      </c>
      <c r="S198" s="9" t="str">
        <f aca="false">SUBSTITUTE(AzymutB!D198,"-","")</f>
        <v/>
      </c>
      <c r="T198" s="9" t="n">
        <f aca="false">VALUE(SUBSTITUTE(AzymutB!O198,".",","))</f>
        <v>0</v>
      </c>
      <c r="U198" s="9" t="str">
        <f aca="false">SUBSTITUTE(Audioteka!Q200,"-","")</f>
        <v/>
      </c>
    </row>
    <row r="199" customFormat="false" ht="15.75" hidden="false" customHeight="false" outlineLevel="0" collapsed="false">
      <c r="A199" s="8" t="str">
        <f aca="false">SUBSTITUTE(Histmag!B199,"-","")</f>
        <v/>
      </c>
      <c r="B199" s="9" t="n">
        <f aca="false">VALUE(SUBSTITUTE(Histmag!D199,".",","))</f>
        <v>0</v>
      </c>
      <c r="C199" s="8" t="str">
        <f aca="false">SUBSTITUTE(Virtualo!G199,"-","")</f>
        <v/>
      </c>
      <c r="D199" s="8" t="str">
        <f aca="false">SUBSTITUTE(Empik!F199,"-","")</f>
        <v/>
      </c>
      <c r="E199" s="8" t="str">
        <f aca="false">SUBSTITUTE(Publio!H199,"-","")</f>
        <v/>
      </c>
      <c r="F199" s="8" t="n">
        <f aca="false">VALUE(SUBSTITUTE(Publio!Q199,".",","))</f>
        <v>0</v>
      </c>
      <c r="G199" s="8" t="str">
        <f aca="false">IFERROR(IF(SEARCH("-", Nexto!B180), SUBSTITUTE(Nexto!B180,"-","")), "")</f>
        <v/>
      </c>
      <c r="H199" s="8" t="n">
        <f aca="false">IFERROR(VALUE(SUBSTITUTE(Nexto!P184,".",",")),0)</f>
        <v>0</v>
      </c>
      <c r="I199" s="9" t="str">
        <f aca="false">SUBSTITUTE(Azymut!D199,"-","")</f>
        <v/>
      </c>
      <c r="J199" s="9" t="n">
        <f aca="false">VALUE(SUBSTITUTE(Azymut!O199,".",","))</f>
        <v>0</v>
      </c>
      <c r="K199" s="9" t="str">
        <f aca="false">SUBSTITUTE(Ebookpoint!E211,"-","")</f>
        <v/>
      </c>
      <c r="L199" s="9" t="str">
        <f aca="false">SUBSTITUTE(Nasbi!E211,"-","")</f>
        <v/>
      </c>
      <c r="M199" s="9" t="n">
        <f aca="false">VALUE(SUBSTITUTE(StorytelE!G199,".",","))</f>
        <v>0</v>
      </c>
      <c r="N199" s="9" t="n">
        <f aca="false">VALUE(SUBSTITUTE(StorytelA!G199,".",","))</f>
        <v>0</v>
      </c>
      <c r="O199" s="9" t="n">
        <f aca="false">VALUE(SUBSTITUTE(StorytelE!M199,".",","))</f>
        <v>0</v>
      </c>
      <c r="P199" s="9" t="n">
        <f aca="false">VALUE(SUBSTITUTE(StorytelA!M199,".",","))</f>
        <v>0</v>
      </c>
      <c r="Q199" s="29"/>
      <c r="R199" s="29" t="n">
        <f aca="false">VALUE(SUBSTITUTE(Woblink!H211,".",","))</f>
        <v>0</v>
      </c>
      <c r="S199" s="9" t="str">
        <f aca="false">SUBSTITUTE(AzymutB!D199,"-","")</f>
        <v/>
      </c>
      <c r="T199" s="9" t="n">
        <f aca="false">VALUE(SUBSTITUTE(AzymutB!O199,".",","))</f>
        <v>0</v>
      </c>
      <c r="U199" s="9" t="str">
        <f aca="false">SUBSTITUTE(Audioteka!Q201,"-","")</f>
        <v/>
      </c>
    </row>
    <row r="200" customFormat="false" ht="15.75" hidden="false" customHeight="false" outlineLevel="0" collapsed="false">
      <c r="A200" s="8" t="str">
        <f aca="false">SUBSTITUTE(Histmag!B200,"-","")</f>
        <v/>
      </c>
      <c r="B200" s="9" t="n">
        <f aca="false">VALUE(SUBSTITUTE(Histmag!D200,".",","))</f>
        <v>0</v>
      </c>
      <c r="C200" s="8" t="str">
        <f aca="false">SUBSTITUTE(Virtualo!G200,"-","")</f>
        <v/>
      </c>
      <c r="D200" s="8" t="str">
        <f aca="false">SUBSTITUTE(Empik!F200,"-","")</f>
        <v/>
      </c>
      <c r="E200" s="8" t="str">
        <f aca="false">SUBSTITUTE(Publio!H200,"-","")</f>
        <v/>
      </c>
      <c r="F200" s="8" t="n">
        <f aca="false">VALUE(SUBSTITUTE(Publio!Q200,".",","))</f>
        <v>0</v>
      </c>
      <c r="G200" s="8" t="str">
        <f aca="false">IFERROR(IF(SEARCH("-", Nexto!B181), SUBSTITUTE(Nexto!B181,"-","")), "")</f>
        <v/>
      </c>
      <c r="H200" s="8" t="n">
        <f aca="false">IFERROR(VALUE(SUBSTITUTE(Nexto!P185,".",",")),0)</f>
        <v>0</v>
      </c>
      <c r="I200" s="9" t="str">
        <f aca="false">SUBSTITUTE(Azymut!D200,"-","")</f>
        <v/>
      </c>
      <c r="J200" s="9" t="n">
        <f aca="false">VALUE(SUBSTITUTE(Azymut!O200,".",","))</f>
        <v>0</v>
      </c>
      <c r="K200" s="9" t="str">
        <f aca="false">SUBSTITUTE(Ebookpoint!E212,"-","")</f>
        <v/>
      </c>
      <c r="L200" s="9" t="str">
        <f aca="false">SUBSTITUTE(Nasbi!E212,"-","")</f>
        <v/>
      </c>
      <c r="M200" s="9" t="n">
        <f aca="false">VALUE(SUBSTITUTE(StorytelE!G200,".",","))</f>
        <v>0</v>
      </c>
      <c r="N200" s="9" t="n">
        <f aca="false">VALUE(SUBSTITUTE(StorytelA!G200,".",","))</f>
        <v>0</v>
      </c>
      <c r="O200" s="9" t="n">
        <f aca="false">VALUE(SUBSTITUTE(StorytelE!M200,".",","))</f>
        <v>0</v>
      </c>
      <c r="P200" s="9" t="n">
        <f aca="false">VALUE(SUBSTITUTE(StorytelA!M200,".",","))</f>
        <v>0</v>
      </c>
      <c r="Q200" s="29"/>
      <c r="R200" s="29" t="n">
        <f aca="false">VALUE(SUBSTITUTE(Woblink!H212,".",","))</f>
        <v>0</v>
      </c>
      <c r="S200" s="9" t="str">
        <f aca="false">SUBSTITUTE(AzymutB!D200,"-","")</f>
        <v/>
      </c>
      <c r="T200" s="9" t="n">
        <f aca="false">VALUE(SUBSTITUTE(AzymutB!O200,".",","))</f>
        <v>0</v>
      </c>
      <c r="U200" s="9" t="str">
        <f aca="false">SUBSTITUTE(Audioteka!Q202,"-","")</f>
        <v/>
      </c>
    </row>
    <row r="201" customFormat="false" ht="15.75" hidden="false" customHeight="false" outlineLevel="0" collapsed="false">
      <c r="A201" s="8" t="str">
        <f aca="false">SUBSTITUTE(Histmag!B201,"-","")</f>
        <v/>
      </c>
      <c r="B201" s="9" t="n">
        <f aca="false">VALUE(SUBSTITUTE(Histmag!D201,".",","))</f>
        <v>0</v>
      </c>
      <c r="C201" s="8" t="str">
        <f aca="false">SUBSTITUTE(Virtualo!G201,"-","")</f>
        <v/>
      </c>
      <c r="D201" s="8" t="str">
        <f aca="false">SUBSTITUTE(Empik!F201,"-","")</f>
        <v/>
      </c>
      <c r="E201" s="8" t="str">
        <f aca="false">SUBSTITUTE(Publio!H201,"-","")</f>
        <v/>
      </c>
      <c r="F201" s="8" t="n">
        <f aca="false">VALUE(SUBSTITUTE(Publio!Q201,".",","))</f>
        <v>0</v>
      </c>
      <c r="G201" s="8" t="str">
        <f aca="false">IFERROR(IF(SEARCH("-", Nexto!B182), SUBSTITUTE(Nexto!B182,"-","")), "")</f>
        <v/>
      </c>
      <c r="H201" s="8" t="n">
        <f aca="false">IFERROR(VALUE(SUBSTITUTE(Nexto!P186,".",",")),0)</f>
        <v>0</v>
      </c>
      <c r="I201" s="9" t="str">
        <f aca="false">SUBSTITUTE(Azymut!D201,"-","")</f>
        <v/>
      </c>
      <c r="J201" s="9" t="n">
        <f aca="false">VALUE(SUBSTITUTE(Azymut!O201,".",","))</f>
        <v>0</v>
      </c>
      <c r="K201" s="9" t="str">
        <f aca="false">SUBSTITUTE(Ebookpoint!E213,"-","")</f>
        <v/>
      </c>
      <c r="L201" s="9" t="str">
        <f aca="false">SUBSTITUTE(Nasbi!E213,"-","")</f>
        <v/>
      </c>
      <c r="M201" s="9" t="n">
        <f aca="false">VALUE(SUBSTITUTE(StorytelE!G201,".",","))</f>
        <v>0</v>
      </c>
      <c r="N201" s="9" t="n">
        <f aca="false">VALUE(SUBSTITUTE(StorytelA!G201,".",","))</f>
        <v>0</v>
      </c>
      <c r="O201" s="9" t="n">
        <f aca="false">VALUE(SUBSTITUTE(StorytelE!M201,".",","))</f>
        <v>0</v>
      </c>
      <c r="P201" s="9" t="n">
        <f aca="false">VALUE(SUBSTITUTE(StorytelA!M201,".",","))</f>
        <v>0</v>
      </c>
      <c r="Q201" s="29"/>
      <c r="R201" s="29" t="n">
        <f aca="false">VALUE(SUBSTITUTE(Woblink!H213,".",","))</f>
        <v>0</v>
      </c>
      <c r="S201" s="9" t="str">
        <f aca="false">SUBSTITUTE(AzymutB!D201,"-","")</f>
        <v/>
      </c>
      <c r="T201" s="9" t="n">
        <f aca="false">VALUE(SUBSTITUTE(AzymutB!O201,".",","))</f>
        <v>0</v>
      </c>
      <c r="U201" s="9" t="str">
        <f aca="false">SUBSTITUTE(Audioteka!Q203,"-","")</f>
        <v/>
      </c>
    </row>
    <row r="202" customFormat="false" ht="15.75" hidden="false" customHeight="false" outlineLevel="0" collapsed="false">
      <c r="A202" s="8" t="str">
        <f aca="false">SUBSTITUTE(Histmag!B202,"-","")</f>
        <v/>
      </c>
      <c r="B202" s="9" t="n">
        <f aca="false">VALUE(SUBSTITUTE(Histmag!D202,".",","))</f>
        <v>0</v>
      </c>
      <c r="C202" s="8" t="str">
        <f aca="false">SUBSTITUTE(Virtualo!G202,"-","")</f>
        <v/>
      </c>
      <c r="D202" s="8" t="str">
        <f aca="false">SUBSTITUTE(Empik!F202,"-","")</f>
        <v/>
      </c>
      <c r="E202" s="8" t="str">
        <f aca="false">SUBSTITUTE(Publio!H202,"-","")</f>
        <v/>
      </c>
      <c r="F202" s="8" t="n">
        <f aca="false">VALUE(SUBSTITUTE(Publio!Q202,".",","))</f>
        <v>0</v>
      </c>
      <c r="G202" s="8" t="str">
        <f aca="false">IFERROR(IF(SEARCH("-", Nexto!B183), SUBSTITUTE(Nexto!B183,"-","")), "")</f>
        <v/>
      </c>
      <c r="H202" s="8" t="n">
        <f aca="false">IFERROR(VALUE(SUBSTITUTE(Nexto!P187,".",",")),0)</f>
        <v>0</v>
      </c>
      <c r="I202" s="9" t="str">
        <f aca="false">SUBSTITUTE(Azymut!D202,"-","")</f>
        <v/>
      </c>
      <c r="J202" s="9" t="n">
        <f aca="false">VALUE(SUBSTITUTE(Azymut!O202,".",","))</f>
        <v>0</v>
      </c>
      <c r="K202" s="9" t="str">
        <f aca="false">SUBSTITUTE(Ebookpoint!E214,"-","")</f>
        <v/>
      </c>
      <c r="L202" s="9" t="str">
        <f aca="false">SUBSTITUTE(Nasbi!E214,"-","")</f>
        <v/>
      </c>
      <c r="M202" s="9" t="n">
        <f aca="false">VALUE(SUBSTITUTE(StorytelE!G202,".",","))</f>
        <v>0</v>
      </c>
      <c r="N202" s="9" t="n">
        <f aca="false">VALUE(SUBSTITUTE(StorytelA!G202,".",","))</f>
        <v>0</v>
      </c>
      <c r="O202" s="9" t="n">
        <f aca="false">VALUE(SUBSTITUTE(StorytelE!M202,".",","))</f>
        <v>0</v>
      </c>
      <c r="P202" s="9" t="n">
        <f aca="false">VALUE(SUBSTITUTE(StorytelA!M202,".",","))</f>
        <v>0</v>
      </c>
      <c r="Q202" s="29"/>
      <c r="R202" s="29" t="n">
        <f aca="false">VALUE(SUBSTITUTE(Woblink!H214,".",","))</f>
        <v>0</v>
      </c>
      <c r="S202" s="9" t="str">
        <f aca="false">SUBSTITUTE(AzymutB!D202,"-","")</f>
        <v/>
      </c>
      <c r="T202" s="9" t="n">
        <f aca="false">VALUE(SUBSTITUTE(AzymutB!O202,".",","))</f>
        <v>0</v>
      </c>
      <c r="U202" s="9" t="str">
        <f aca="false">SUBSTITUTE(Audioteka!Q204,"-","")</f>
        <v/>
      </c>
    </row>
    <row r="203" customFormat="false" ht="15.75" hidden="false" customHeight="false" outlineLevel="0" collapsed="false">
      <c r="A203" s="8" t="str">
        <f aca="false">SUBSTITUTE(Histmag!B203,"-","")</f>
        <v/>
      </c>
      <c r="B203" s="9" t="n">
        <f aca="false">VALUE(SUBSTITUTE(Histmag!D203,".",","))</f>
        <v>0</v>
      </c>
      <c r="C203" s="8" t="str">
        <f aca="false">SUBSTITUTE(Virtualo!G203,"-","")</f>
        <v/>
      </c>
      <c r="D203" s="8" t="str">
        <f aca="false">SUBSTITUTE(Empik!F203,"-","")</f>
        <v/>
      </c>
      <c r="E203" s="8" t="str">
        <f aca="false">SUBSTITUTE(Publio!H203,"-","")</f>
        <v/>
      </c>
      <c r="F203" s="8" t="n">
        <f aca="false">VALUE(SUBSTITUTE(Publio!Q203,".",","))</f>
        <v>0</v>
      </c>
      <c r="G203" s="8" t="str">
        <f aca="false">IFERROR(IF(SEARCH("-", Nexto!B184), SUBSTITUTE(Nexto!B184,"-","")), "")</f>
        <v/>
      </c>
      <c r="H203" s="8" t="n">
        <f aca="false">IFERROR(VALUE(SUBSTITUTE(Nexto!P188,".",",")),0)</f>
        <v>0</v>
      </c>
      <c r="I203" s="9" t="str">
        <f aca="false">SUBSTITUTE(Azymut!D203,"-","")</f>
        <v/>
      </c>
      <c r="J203" s="9" t="n">
        <f aca="false">VALUE(SUBSTITUTE(Azymut!O203,".",","))</f>
        <v>0</v>
      </c>
      <c r="K203" s="9" t="str">
        <f aca="false">SUBSTITUTE(Ebookpoint!E215,"-","")</f>
        <v/>
      </c>
      <c r="L203" s="9" t="str">
        <f aca="false">SUBSTITUTE(Nasbi!E215,"-","")</f>
        <v/>
      </c>
      <c r="M203" s="9" t="n">
        <f aca="false">VALUE(SUBSTITUTE(StorytelE!G203,".",","))</f>
        <v>0</v>
      </c>
      <c r="N203" s="9" t="n">
        <f aca="false">VALUE(SUBSTITUTE(StorytelA!G203,".",","))</f>
        <v>0</v>
      </c>
      <c r="O203" s="9" t="n">
        <f aca="false">VALUE(SUBSTITUTE(StorytelE!M203,".",","))</f>
        <v>0</v>
      </c>
      <c r="P203" s="9" t="n">
        <f aca="false">VALUE(SUBSTITUTE(StorytelA!M203,".",","))</f>
        <v>0</v>
      </c>
      <c r="Q203" s="29"/>
      <c r="R203" s="29" t="n">
        <f aca="false">VALUE(SUBSTITUTE(Woblink!H215,".",","))</f>
        <v>0</v>
      </c>
      <c r="S203" s="9" t="str">
        <f aca="false">SUBSTITUTE(AzymutB!D203,"-","")</f>
        <v/>
      </c>
      <c r="T203" s="9" t="n">
        <f aca="false">VALUE(SUBSTITUTE(AzymutB!O203,".",","))</f>
        <v>0</v>
      </c>
      <c r="U203" s="9" t="str">
        <f aca="false">SUBSTITUTE(Audioteka!Q205,"-","")</f>
        <v/>
      </c>
    </row>
    <row r="204" customFormat="false" ht="15.75" hidden="false" customHeight="false" outlineLevel="0" collapsed="false">
      <c r="A204" s="8" t="str">
        <f aca="false">SUBSTITUTE(Histmag!B204,"-","")</f>
        <v/>
      </c>
      <c r="B204" s="9" t="n">
        <f aca="false">VALUE(SUBSTITUTE(Histmag!D204,".",","))</f>
        <v>0</v>
      </c>
      <c r="C204" s="8" t="str">
        <f aca="false">SUBSTITUTE(Virtualo!G204,"-","")</f>
        <v/>
      </c>
      <c r="D204" s="8" t="str">
        <f aca="false">SUBSTITUTE(Empik!F204,"-","")</f>
        <v/>
      </c>
      <c r="E204" s="8" t="str">
        <f aca="false">SUBSTITUTE(Publio!H204,"-","")</f>
        <v/>
      </c>
      <c r="F204" s="8" t="n">
        <f aca="false">VALUE(SUBSTITUTE(Publio!Q204,".",","))</f>
        <v>0</v>
      </c>
      <c r="G204" s="8" t="str">
        <f aca="false">IFERROR(IF(SEARCH("-", Nexto!B185), SUBSTITUTE(Nexto!B185,"-","")), "")</f>
        <v/>
      </c>
      <c r="H204" s="8" t="n">
        <f aca="false">IFERROR(VALUE(SUBSTITUTE(Nexto!P189,".",",")),0)</f>
        <v>0</v>
      </c>
      <c r="I204" s="9" t="str">
        <f aca="false">SUBSTITUTE(Azymut!D204,"-","")</f>
        <v/>
      </c>
      <c r="J204" s="9" t="n">
        <f aca="false">VALUE(SUBSTITUTE(Azymut!O204,".",","))</f>
        <v>0</v>
      </c>
      <c r="K204" s="9" t="str">
        <f aca="false">SUBSTITUTE(Ebookpoint!E216,"-","")</f>
        <v/>
      </c>
      <c r="L204" s="9" t="str">
        <f aca="false">SUBSTITUTE(Nasbi!E216,"-","")</f>
        <v/>
      </c>
      <c r="M204" s="9" t="n">
        <f aca="false">VALUE(SUBSTITUTE(StorytelE!G204,".",","))</f>
        <v>0</v>
      </c>
      <c r="N204" s="9" t="n">
        <f aca="false">VALUE(SUBSTITUTE(StorytelA!G204,".",","))</f>
        <v>0</v>
      </c>
      <c r="O204" s="9" t="n">
        <f aca="false">VALUE(SUBSTITUTE(StorytelE!M204,".",","))</f>
        <v>0</v>
      </c>
      <c r="P204" s="9" t="n">
        <f aca="false">VALUE(SUBSTITUTE(StorytelA!M204,".",","))</f>
        <v>0</v>
      </c>
      <c r="Q204" s="29"/>
      <c r="R204" s="29" t="n">
        <f aca="false">VALUE(SUBSTITUTE(Woblink!H216,".",","))</f>
        <v>0</v>
      </c>
      <c r="S204" s="9" t="str">
        <f aca="false">SUBSTITUTE(AzymutB!D204,"-","")</f>
        <v/>
      </c>
      <c r="T204" s="9" t="n">
        <f aca="false">VALUE(SUBSTITUTE(AzymutB!O204,".",","))</f>
        <v>0</v>
      </c>
      <c r="U204" s="9" t="str">
        <f aca="false">SUBSTITUTE(Audioteka!Q206,"-","")</f>
        <v/>
      </c>
    </row>
    <row r="205" customFormat="false" ht="15.75" hidden="false" customHeight="false" outlineLevel="0" collapsed="false">
      <c r="A205" s="8" t="str">
        <f aca="false">SUBSTITUTE(Histmag!B205,"-","")</f>
        <v/>
      </c>
      <c r="B205" s="9" t="n">
        <f aca="false">VALUE(SUBSTITUTE(Histmag!D205,".",","))</f>
        <v>0</v>
      </c>
      <c r="C205" s="8" t="str">
        <f aca="false">SUBSTITUTE(Virtualo!G205,"-","")</f>
        <v/>
      </c>
      <c r="D205" s="8" t="str">
        <f aca="false">SUBSTITUTE(Empik!F205,"-","")</f>
        <v/>
      </c>
      <c r="E205" s="8" t="str">
        <f aca="false">SUBSTITUTE(Publio!H205,"-","")</f>
        <v/>
      </c>
      <c r="F205" s="8" t="n">
        <f aca="false">VALUE(SUBSTITUTE(Publio!Q205,".",","))</f>
        <v>0</v>
      </c>
      <c r="G205" s="8" t="str">
        <f aca="false">IFERROR(IF(SEARCH("-", Nexto!B186), SUBSTITUTE(Nexto!B186,"-","")), "")</f>
        <v/>
      </c>
      <c r="H205" s="8" t="n">
        <f aca="false">IFERROR(VALUE(SUBSTITUTE(Nexto!P190,".",",")),0)</f>
        <v>0</v>
      </c>
      <c r="I205" s="9" t="str">
        <f aca="false">SUBSTITUTE(Azymut!D205,"-","")</f>
        <v/>
      </c>
      <c r="J205" s="9" t="n">
        <f aca="false">VALUE(SUBSTITUTE(Azymut!O205,".",","))</f>
        <v>0</v>
      </c>
      <c r="K205" s="9" t="str">
        <f aca="false">SUBSTITUTE(Ebookpoint!E217,"-","")</f>
        <v/>
      </c>
      <c r="L205" s="9" t="str">
        <f aca="false">SUBSTITUTE(Nasbi!E217,"-","")</f>
        <v/>
      </c>
      <c r="M205" s="9" t="n">
        <f aca="false">VALUE(SUBSTITUTE(StorytelE!G205,".",","))</f>
        <v>0</v>
      </c>
      <c r="N205" s="9" t="n">
        <f aca="false">VALUE(SUBSTITUTE(StorytelA!G205,".",","))</f>
        <v>0</v>
      </c>
      <c r="O205" s="9" t="n">
        <f aca="false">VALUE(SUBSTITUTE(StorytelE!M205,".",","))</f>
        <v>0</v>
      </c>
      <c r="P205" s="9" t="n">
        <f aca="false">VALUE(SUBSTITUTE(StorytelA!M205,".",","))</f>
        <v>0</v>
      </c>
      <c r="Q205" s="29"/>
      <c r="R205" s="29" t="n">
        <f aca="false">VALUE(SUBSTITUTE(Woblink!H217,".",","))</f>
        <v>0</v>
      </c>
      <c r="S205" s="9" t="str">
        <f aca="false">SUBSTITUTE(AzymutB!D205,"-","")</f>
        <v/>
      </c>
      <c r="T205" s="9" t="n">
        <f aca="false">VALUE(SUBSTITUTE(AzymutB!O205,".",","))</f>
        <v>0</v>
      </c>
      <c r="U205" s="9" t="str">
        <f aca="false">SUBSTITUTE(Audioteka!Q207,"-","")</f>
        <v/>
      </c>
    </row>
    <row r="206" customFormat="false" ht="15.75" hidden="false" customHeight="false" outlineLevel="0" collapsed="false">
      <c r="A206" s="8" t="str">
        <f aca="false">SUBSTITUTE(Histmag!B206,"-","")</f>
        <v/>
      </c>
      <c r="B206" s="9" t="n">
        <f aca="false">VALUE(SUBSTITUTE(Histmag!D206,".",","))</f>
        <v>0</v>
      </c>
      <c r="C206" s="8" t="str">
        <f aca="false">SUBSTITUTE(Virtualo!G206,"-","")</f>
        <v/>
      </c>
      <c r="D206" s="8" t="str">
        <f aca="false">SUBSTITUTE(Empik!F206,"-","")</f>
        <v/>
      </c>
      <c r="E206" s="8" t="str">
        <f aca="false">SUBSTITUTE(Publio!H206,"-","")</f>
        <v/>
      </c>
      <c r="F206" s="8" t="n">
        <f aca="false">VALUE(SUBSTITUTE(Publio!Q206,".",","))</f>
        <v>0</v>
      </c>
      <c r="G206" s="8" t="str">
        <f aca="false">IFERROR(IF(SEARCH("-", Nexto!B187), SUBSTITUTE(Nexto!B187,"-","")), "")</f>
        <v/>
      </c>
      <c r="H206" s="8" t="n">
        <f aca="false">IFERROR(VALUE(SUBSTITUTE(Nexto!P191,".",",")),0)</f>
        <v>0</v>
      </c>
      <c r="I206" s="9" t="str">
        <f aca="false">SUBSTITUTE(Azymut!D206,"-","")</f>
        <v/>
      </c>
      <c r="J206" s="9" t="n">
        <f aca="false">VALUE(SUBSTITUTE(Azymut!O206,".",","))</f>
        <v>0</v>
      </c>
      <c r="K206" s="9" t="str">
        <f aca="false">SUBSTITUTE(Ebookpoint!E218,"-","")</f>
        <v/>
      </c>
      <c r="L206" s="9" t="str">
        <f aca="false">SUBSTITUTE(Nasbi!E218,"-","")</f>
        <v/>
      </c>
      <c r="M206" s="9" t="n">
        <f aca="false">VALUE(SUBSTITUTE(StorytelE!G206,".",","))</f>
        <v>0</v>
      </c>
      <c r="N206" s="9" t="n">
        <f aca="false">VALUE(SUBSTITUTE(StorytelA!G206,".",","))</f>
        <v>0</v>
      </c>
      <c r="O206" s="9" t="n">
        <f aca="false">VALUE(SUBSTITUTE(StorytelE!M206,".",","))</f>
        <v>0</v>
      </c>
      <c r="P206" s="9" t="n">
        <f aca="false">VALUE(SUBSTITUTE(StorytelA!M206,".",","))</f>
        <v>0</v>
      </c>
      <c r="Q206" s="29"/>
      <c r="R206" s="29" t="n">
        <f aca="false">VALUE(SUBSTITUTE(Woblink!H218,".",","))</f>
        <v>0</v>
      </c>
      <c r="S206" s="9" t="str">
        <f aca="false">SUBSTITUTE(AzymutB!D206,"-","")</f>
        <v/>
      </c>
      <c r="T206" s="9" t="n">
        <f aca="false">VALUE(SUBSTITUTE(AzymutB!O206,".",","))</f>
        <v>0</v>
      </c>
      <c r="U206" s="9" t="str">
        <f aca="false">SUBSTITUTE(Audioteka!Q208,"-","")</f>
        <v/>
      </c>
    </row>
    <row r="207" customFormat="false" ht="15.75" hidden="false" customHeight="false" outlineLevel="0" collapsed="false">
      <c r="A207" s="8" t="str">
        <f aca="false">SUBSTITUTE(Histmag!B207,"-","")</f>
        <v/>
      </c>
      <c r="B207" s="9" t="n">
        <f aca="false">VALUE(SUBSTITUTE(Histmag!D207,".",","))</f>
        <v>0</v>
      </c>
      <c r="C207" s="8" t="str">
        <f aca="false">SUBSTITUTE(Virtualo!G207,"-","")</f>
        <v/>
      </c>
      <c r="D207" s="8" t="str">
        <f aca="false">SUBSTITUTE(Empik!F207,"-","")</f>
        <v/>
      </c>
      <c r="E207" s="8" t="str">
        <f aca="false">SUBSTITUTE(Publio!H207,"-","")</f>
        <v/>
      </c>
      <c r="F207" s="8" t="n">
        <f aca="false">VALUE(SUBSTITUTE(Publio!Q207,".",","))</f>
        <v>0</v>
      </c>
      <c r="G207" s="8" t="str">
        <f aca="false">IFERROR(IF(SEARCH("-", Nexto!B188), SUBSTITUTE(Nexto!B188,"-","")), "")</f>
        <v/>
      </c>
      <c r="H207" s="8" t="n">
        <f aca="false">IFERROR(VALUE(SUBSTITUTE(Nexto!P192,".",",")),0)</f>
        <v>0</v>
      </c>
      <c r="I207" s="9" t="str">
        <f aca="false">SUBSTITUTE(Azymut!D207,"-","")</f>
        <v/>
      </c>
      <c r="J207" s="9" t="n">
        <f aca="false">VALUE(SUBSTITUTE(Azymut!O207,".",","))</f>
        <v>0</v>
      </c>
      <c r="K207" s="9" t="str">
        <f aca="false">SUBSTITUTE(Ebookpoint!E219,"-","")</f>
        <v/>
      </c>
      <c r="L207" s="9" t="str">
        <f aca="false">SUBSTITUTE(Nasbi!E219,"-","")</f>
        <v/>
      </c>
      <c r="M207" s="9" t="n">
        <f aca="false">VALUE(SUBSTITUTE(StorytelE!G207,".",","))</f>
        <v>0</v>
      </c>
      <c r="N207" s="9" t="n">
        <f aca="false">VALUE(SUBSTITUTE(StorytelA!G207,".",","))</f>
        <v>0</v>
      </c>
      <c r="O207" s="9" t="n">
        <f aca="false">VALUE(SUBSTITUTE(StorytelE!M207,".",","))</f>
        <v>0</v>
      </c>
      <c r="P207" s="9" t="n">
        <f aca="false">VALUE(SUBSTITUTE(StorytelA!M207,".",","))</f>
        <v>0</v>
      </c>
      <c r="Q207" s="29"/>
      <c r="R207" s="29" t="n">
        <f aca="false">VALUE(SUBSTITUTE(Woblink!H219,".",","))</f>
        <v>0</v>
      </c>
      <c r="S207" s="9" t="str">
        <f aca="false">SUBSTITUTE(AzymutB!D207,"-","")</f>
        <v/>
      </c>
      <c r="T207" s="9" t="n">
        <f aca="false">VALUE(SUBSTITUTE(AzymutB!O207,".",","))</f>
        <v>0</v>
      </c>
      <c r="U207" s="9" t="str">
        <f aca="false">SUBSTITUTE(Audioteka!Q209,"-","")</f>
        <v/>
      </c>
    </row>
    <row r="208" customFormat="false" ht="15.75" hidden="false" customHeight="false" outlineLevel="0" collapsed="false">
      <c r="A208" s="8" t="str">
        <f aca="false">SUBSTITUTE(Histmag!B208,"-","")</f>
        <v/>
      </c>
      <c r="B208" s="9" t="n">
        <f aca="false">VALUE(SUBSTITUTE(Histmag!D208,".",","))</f>
        <v>0</v>
      </c>
      <c r="C208" s="8" t="str">
        <f aca="false">SUBSTITUTE(Virtualo!G208,"-","")</f>
        <v/>
      </c>
      <c r="D208" s="8" t="str">
        <f aca="false">SUBSTITUTE(Empik!F208,"-","")</f>
        <v/>
      </c>
      <c r="E208" s="8" t="str">
        <f aca="false">SUBSTITUTE(Publio!H208,"-","")</f>
        <v/>
      </c>
      <c r="F208" s="8" t="n">
        <f aca="false">VALUE(SUBSTITUTE(Publio!Q208,".",","))</f>
        <v>0</v>
      </c>
      <c r="G208" s="8" t="str">
        <f aca="false">IFERROR(IF(SEARCH("-", Nexto!B189), SUBSTITUTE(Nexto!B189,"-","")), "")</f>
        <v/>
      </c>
      <c r="H208" s="8" t="n">
        <f aca="false">IFERROR(VALUE(SUBSTITUTE(Nexto!P193,".",",")),0)</f>
        <v>0</v>
      </c>
      <c r="I208" s="9" t="str">
        <f aca="false">SUBSTITUTE(Azymut!D208,"-","")</f>
        <v/>
      </c>
      <c r="J208" s="9" t="n">
        <f aca="false">VALUE(SUBSTITUTE(Azymut!O208,".",","))</f>
        <v>0</v>
      </c>
      <c r="K208" s="9" t="str">
        <f aca="false">SUBSTITUTE(Ebookpoint!E220,"-","")</f>
        <v/>
      </c>
      <c r="L208" s="9" t="str">
        <f aca="false">SUBSTITUTE(Nasbi!E220,"-","")</f>
        <v/>
      </c>
      <c r="M208" s="9" t="n">
        <f aca="false">VALUE(SUBSTITUTE(StorytelE!G208,".",","))</f>
        <v>0</v>
      </c>
      <c r="N208" s="9" t="n">
        <f aca="false">VALUE(SUBSTITUTE(StorytelA!G208,".",","))</f>
        <v>0</v>
      </c>
      <c r="O208" s="9" t="n">
        <f aca="false">VALUE(SUBSTITUTE(StorytelE!M208,".",","))</f>
        <v>0</v>
      </c>
      <c r="P208" s="9" t="n">
        <f aca="false">VALUE(SUBSTITUTE(StorytelA!M208,".",","))</f>
        <v>0</v>
      </c>
      <c r="Q208" s="29"/>
      <c r="R208" s="29" t="n">
        <f aca="false">VALUE(SUBSTITUTE(Woblink!H220,".",","))</f>
        <v>0</v>
      </c>
      <c r="S208" s="9" t="str">
        <f aca="false">SUBSTITUTE(AzymutB!D208,"-","")</f>
        <v/>
      </c>
      <c r="T208" s="9" t="n">
        <f aca="false">VALUE(SUBSTITUTE(AzymutB!O208,".",","))</f>
        <v>0</v>
      </c>
      <c r="U208" s="9" t="str">
        <f aca="false">SUBSTITUTE(Audioteka!Q210,"-","")</f>
        <v/>
      </c>
    </row>
    <row r="209" customFormat="false" ht="15.75" hidden="false" customHeight="false" outlineLevel="0" collapsed="false">
      <c r="A209" s="8" t="str">
        <f aca="false">SUBSTITUTE(Histmag!B209,"-","")</f>
        <v/>
      </c>
      <c r="B209" s="9" t="n">
        <f aca="false">VALUE(SUBSTITUTE(Histmag!D209,".",","))</f>
        <v>0</v>
      </c>
      <c r="C209" s="8" t="str">
        <f aca="false">SUBSTITUTE(Virtualo!G209,"-","")</f>
        <v/>
      </c>
      <c r="D209" s="8" t="str">
        <f aca="false">SUBSTITUTE(Empik!F209,"-","")</f>
        <v/>
      </c>
      <c r="E209" s="8" t="str">
        <f aca="false">SUBSTITUTE(Publio!H209,"-","")</f>
        <v/>
      </c>
      <c r="F209" s="8" t="n">
        <f aca="false">VALUE(SUBSTITUTE(Publio!Q209,".",","))</f>
        <v>0</v>
      </c>
      <c r="G209" s="8" t="str">
        <f aca="false">IFERROR(IF(SEARCH("-", Nexto!B190), SUBSTITUTE(Nexto!B190,"-","")), "")</f>
        <v/>
      </c>
      <c r="H209" s="8" t="n">
        <f aca="false">IFERROR(VALUE(SUBSTITUTE(Nexto!P194,".",",")),0)</f>
        <v>0</v>
      </c>
      <c r="I209" s="9" t="str">
        <f aca="false">SUBSTITUTE(Azymut!D209,"-","")</f>
        <v/>
      </c>
      <c r="J209" s="9" t="n">
        <f aca="false">VALUE(SUBSTITUTE(Azymut!O209,".",","))</f>
        <v>0</v>
      </c>
      <c r="K209" s="9" t="str">
        <f aca="false">SUBSTITUTE(Ebookpoint!E221,"-","")</f>
        <v/>
      </c>
      <c r="L209" s="9" t="str">
        <f aca="false">SUBSTITUTE(Nasbi!E221,"-","")</f>
        <v/>
      </c>
      <c r="M209" s="9" t="n">
        <f aca="false">VALUE(SUBSTITUTE(StorytelE!G209,".",","))</f>
        <v>0</v>
      </c>
      <c r="N209" s="9" t="n">
        <f aca="false">VALUE(SUBSTITUTE(StorytelA!G209,".",","))</f>
        <v>0</v>
      </c>
      <c r="O209" s="9" t="n">
        <f aca="false">VALUE(SUBSTITUTE(StorytelE!M209,".",","))</f>
        <v>0</v>
      </c>
      <c r="P209" s="9" t="n">
        <f aca="false">VALUE(SUBSTITUTE(StorytelA!M209,".",","))</f>
        <v>0</v>
      </c>
      <c r="Q209" s="29"/>
      <c r="R209" s="29" t="n">
        <f aca="false">VALUE(SUBSTITUTE(Woblink!H221,".",","))</f>
        <v>0</v>
      </c>
      <c r="S209" s="9" t="str">
        <f aca="false">SUBSTITUTE(AzymutB!D209,"-","")</f>
        <v/>
      </c>
      <c r="T209" s="9" t="n">
        <f aca="false">VALUE(SUBSTITUTE(AzymutB!O209,".",","))</f>
        <v>0</v>
      </c>
      <c r="U209" s="9" t="str">
        <f aca="false">SUBSTITUTE(Audioteka!Q211,"-","")</f>
        <v/>
      </c>
    </row>
    <row r="210" customFormat="false" ht="15.75" hidden="false" customHeight="false" outlineLevel="0" collapsed="false">
      <c r="A210" s="8" t="str">
        <f aca="false">SUBSTITUTE(Histmag!B210,"-","")</f>
        <v/>
      </c>
      <c r="B210" s="9" t="n">
        <f aca="false">VALUE(SUBSTITUTE(Histmag!D210,".",","))</f>
        <v>0</v>
      </c>
      <c r="C210" s="8" t="str">
        <f aca="false">SUBSTITUTE(Virtualo!G210,"-","")</f>
        <v/>
      </c>
      <c r="D210" s="8" t="str">
        <f aca="false">SUBSTITUTE(Empik!F210,"-","")</f>
        <v/>
      </c>
      <c r="E210" s="8" t="str">
        <f aca="false">SUBSTITUTE(Publio!H210,"-","")</f>
        <v/>
      </c>
      <c r="F210" s="8" t="n">
        <f aca="false">VALUE(SUBSTITUTE(Publio!Q210,".",","))</f>
        <v>0</v>
      </c>
      <c r="G210" s="8" t="str">
        <f aca="false">IFERROR(IF(SEARCH("-", Nexto!B191), SUBSTITUTE(Nexto!B191,"-","")), "")</f>
        <v/>
      </c>
      <c r="H210" s="8" t="n">
        <f aca="false">IFERROR(VALUE(SUBSTITUTE(Nexto!P195,".",",")),0)</f>
        <v>0</v>
      </c>
      <c r="I210" s="9" t="str">
        <f aca="false">SUBSTITUTE(Azymut!D210,"-","")</f>
        <v/>
      </c>
      <c r="J210" s="9" t="n">
        <f aca="false">VALUE(SUBSTITUTE(Azymut!O210,".",","))</f>
        <v>0</v>
      </c>
      <c r="K210" s="9" t="str">
        <f aca="false">SUBSTITUTE(Ebookpoint!E222,"-","")</f>
        <v/>
      </c>
      <c r="L210" s="9" t="str">
        <f aca="false">SUBSTITUTE(Nasbi!E222,"-","")</f>
        <v/>
      </c>
      <c r="M210" s="9" t="n">
        <f aca="false">VALUE(SUBSTITUTE(StorytelE!G210,".",","))</f>
        <v>0</v>
      </c>
      <c r="N210" s="9" t="n">
        <f aca="false">VALUE(SUBSTITUTE(StorytelA!G210,".",","))</f>
        <v>0</v>
      </c>
      <c r="O210" s="9" t="n">
        <f aca="false">VALUE(SUBSTITUTE(StorytelE!M210,".",","))</f>
        <v>0</v>
      </c>
      <c r="P210" s="9" t="n">
        <f aca="false">VALUE(SUBSTITUTE(StorytelA!M210,".",","))</f>
        <v>0</v>
      </c>
      <c r="Q210" s="29"/>
      <c r="R210" s="29" t="n">
        <f aca="false">VALUE(SUBSTITUTE(Woblink!H222,".",","))</f>
        <v>0</v>
      </c>
      <c r="S210" s="9" t="str">
        <f aca="false">SUBSTITUTE(AzymutB!D210,"-","")</f>
        <v/>
      </c>
      <c r="T210" s="9" t="n">
        <f aca="false">VALUE(SUBSTITUTE(AzymutB!O210,".",","))</f>
        <v>0</v>
      </c>
      <c r="U210" s="9" t="str">
        <f aca="false">SUBSTITUTE(Audioteka!Q212,"-","")</f>
        <v/>
      </c>
    </row>
    <row r="211" customFormat="false" ht="15.75" hidden="false" customHeight="false" outlineLevel="0" collapsed="false">
      <c r="A211" s="8" t="str">
        <f aca="false">SUBSTITUTE(Histmag!B211,"-","")</f>
        <v/>
      </c>
      <c r="B211" s="9" t="n">
        <f aca="false">VALUE(SUBSTITUTE(Histmag!D211,".",","))</f>
        <v>0</v>
      </c>
      <c r="C211" s="8" t="str">
        <f aca="false">SUBSTITUTE(Virtualo!G211,"-","")</f>
        <v/>
      </c>
      <c r="D211" s="8" t="str">
        <f aca="false">SUBSTITUTE(Empik!F211,"-","")</f>
        <v/>
      </c>
      <c r="E211" s="8" t="str">
        <f aca="false">SUBSTITUTE(Publio!H211,"-","")</f>
        <v/>
      </c>
      <c r="F211" s="8" t="n">
        <f aca="false">VALUE(SUBSTITUTE(Publio!Q211,".",","))</f>
        <v>0</v>
      </c>
      <c r="G211" s="8" t="str">
        <f aca="false">IFERROR(IF(SEARCH("-", Nexto!B192), SUBSTITUTE(Nexto!B192,"-","")), "")</f>
        <v/>
      </c>
      <c r="H211" s="8" t="n">
        <f aca="false">IFERROR(VALUE(SUBSTITUTE(Nexto!P196,".",",")),0)</f>
        <v>0</v>
      </c>
      <c r="I211" s="9" t="str">
        <f aca="false">SUBSTITUTE(Azymut!D211,"-","")</f>
        <v/>
      </c>
      <c r="J211" s="9" t="n">
        <f aca="false">VALUE(SUBSTITUTE(Azymut!O211,".",","))</f>
        <v>0</v>
      </c>
      <c r="K211" s="9" t="str">
        <f aca="false">SUBSTITUTE(Ebookpoint!E223,"-","")</f>
        <v/>
      </c>
      <c r="L211" s="9" t="str">
        <f aca="false">SUBSTITUTE(Nasbi!E223,"-","")</f>
        <v/>
      </c>
      <c r="M211" s="9" t="n">
        <f aca="false">VALUE(SUBSTITUTE(StorytelE!G211,".",","))</f>
        <v>0</v>
      </c>
      <c r="N211" s="9" t="n">
        <f aca="false">VALUE(SUBSTITUTE(StorytelA!G211,".",","))</f>
        <v>0</v>
      </c>
      <c r="O211" s="9" t="n">
        <f aca="false">VALUE(SUBSTITUTE(StorytelE!M211,".",","))</f>
        <v>0</v>
      </c>
      <c r="P211" s="9" t="n">
        <f aca="false">VALUE(SUBSTITUTE(StorytelA!M211,".",","))</f>
        <v>0</v>
      </c>
      <c r="Q211" s="29"/>
      <c r="R211" s="29" t="n">
        <f aca="false">VALUE(SUBSTITUTE(Woblink!H223,".",","))</f>
        <v>0</v>
      </c>
      <c r="S211" s="9" t="str">
        <f aca="false">SUBSTITUTE(AzymutB!D211,"-","")</f>
        <v/>
      </c>
      <c r="T211" s="9" t="n">
        <f aca="false">VALUE(SUBSTITUTE(AzymutB!O211,".",","))</f>
        <v>0</v>
      </c>
      <c r="U211" s="9" t="str">
        <f aca="false">SUBSTITUTE(Audioteka!Q213,"-","")</f>
        <v/>
      </c>
    </row>
    <row r="212" customFormat="false" ht="15.75" hidden="false" customHeight="false" outlineLevel="0" collapsed="false">
      <c r="A212" s="8" t="str">
        <f aca="false">SUBSTITUTE(Histmag!B212,"-","")</f>
        <v/>
      </c>
      <c r="B212" s="9" t="n">
        <f aca="false">VALUE(SUBSTITUTE(Histmag!D212,".",","))</f>
        <v>0</v>
      </c>
      <c r="C212" s="8" t="str">
        <f aca="false">SUBSTITUTE(Virtualo!G212,"-","")</f>
        <v/>
      </c>
      <c r="D212" s="8" t="str">
        <f aca="false">SUBSTITUTE(Empik!F212,"-","")</f>
        <v/>
      </c>
      <c r="E212" s="8" t="str">
        <f aca="false">SUBSTITUTE(Publio!H212,"-","")</f>
        <v/>
      </c>
      <c r="F212" s="8" t="n">
        <f aca="false">VALUE(SUBSTITUTE(Publio!Q212,".",","))</f>
        <v>0</v>
      </c>
      <c r="G212" s="8" t="str">
        <f aca="false">IFERROR(IF(SEARCH("-", Nexto!B193), SUBSTITUTE(Nexto!B193,"-","")), "")</f>
        <v/>
      </c>
      <c r="H212" s="8" t="n">
        <f aca="false">IFERROR(VALUE(SUBSTITUTE(Nexto!P197,".",",")),0)</f>
        <v>0</v>
      </c>
      <c r="I212" s="9" t="str">
        <f aca="false">SUBSTITUTE(Azymut!D212,"-","")</f>
        <v/>
      </c>
      <c r="J212" s="9" t="n">
        <f aca="false">VALUE(SUBSTITUTE(Azymut!O212,".",","))</f>
        <v>0</v>
      </c>
      <c r="K212" s="9" t="str">
        <f aca="false">SUBSTITUTE(Ebookpoint!E224,"-","")</f>
        <v/>
      </c>
      <c r="L212" s="9" t="str">
        <f aca="false">SUBSTITUTE(Nasbi!E224,"-","")</f>
        <v/>
      </c>
      <c r="M212" s="9" t="n">
        <f aca="false">VALUE(SUBSTITUTE(StorytelE!G212,".",","))</f>
        <v>0</v>
      </c>
      <c r="N212" s="9" t="n">
        <f aca="false">VALUE(SUBSTITUTE(StorytelA!G212,".",","))</f>
        <v>0</v>
      </c>
      <c r="O212" s="9" t="n">
        <f aca="false">VALUE(SUBSTITUTE(StorytelE!M212,".",","))</f>
        <v>0</v>
      </c>
      <c r="P212" s="9" t="n">
        <f aca="false">VALUE(SUBSTITUTE(StorytelA!M212,".",","))</f>
        <v>0</v>
      </c>
      <c r="Q212" s="29"/>
      <c r="R212" s="29" t="n">
        <f aca="false">VALUE(SUBSTITUTE(Woblink!H224,".",","))</f>
        <v>0</v>
      </c>
      <c r="S212" s="9" t="str">
        <f aca="false">SUBSTITUTE(AzymutB!D212,"-","")</f>
        <v/>
      </c>
      <c r="T212" s="9" t="n">
        <f aca="false">VALUE(SUBSTITUTE(AzymutB!O212,".",","))</f>
        <v>0</v>
      </c>
      <c r="U212" s="9" t="str">
        <f aca="false">SUBSTITUTE(Audioteka!Q214,"-","")</f>
        <v/>
      </c>
    </row>
    <row r="213" customFormat="false" ht="15.75" hidden="false" customHeight="false" outlineLevel="0" collapsed="false">
      <c r="A213" s="8" t="str">
        <f aca="false">SUBSTITUTE(Histmag!B213,"-","")</f>
        <v/>
      </c>
      <c r="B213" s="9" t="n">
        <f aca="false">VALUE(SUBSTITUTE(Histmag!D213,".",","))</f>
        <v>0</v>
      </c>
      <c r="C213" s="8" t="str">
        <f aca="false">SUBSTITUTE(Virtualo!G213,"-","")</f>
        <v/>
      </c>
      <c r="D213" s="8" t="str">
        <f aca="false">SUBSTITUTE(Empik!F213,"-","")</f>
        <v/>
      </c>
      <c r="E213" s="8" t="str">
        <f aca="false">SUBSTITUTE(Publio!H213,"-","")</f>
        <v/>
      </c>
      <c r="F213" s="8" t="n">
        <f aca="false">VALUE(SUBSTITUTE(Publio!Q213,".",","))</f>
        <v>0</v>
      </c>
      <c r="G213" s="8" t="str">
        <f aca="false">IFERROR(IF(SEARCH("-", Nexto!B194), SUBSTITUTE(Nexto!B194,"-","")), "")</f>
        <v/>
      </c>
      <c r="H213" s="8" t="n">
        <f aca="false">IFERROR(VALUE(SUBSTITUTE(Nexto!P198,".",",")),0)</f>
        <v>0</v>
      </c>
      <c r="I213" s="9" t="str">
        <f aca="false">SUBSTITUTE(Azymut!D213,"-","")</f>
        <v/>
      </c>
      <c r="J213" s="9" t="n">
        <f aca="false">VALUE(SUBSTITUTE(Azymut!O213,".",","))</f>
        <v>0</v>
      </c>
      <c r="K213" s="9" t="str">
        <f aca="false">SUBSTITUTE(Ebookpoint!E225,"-","")</f>
        <v/>
      </c>
      <c r="L213" s="9" t="str">
        <f aca="false">SUBSTITUTE(Nasbi!E225,"-","")</f>
        <v/>
      </c>
      <c r="M213" s="9" t="n">
        <f aca="false">VALUE(SUBSTITUTE(StorytelE!G213,".",","))</f>
        <v>0</v>
      </c>
      <c r="N213" s="9" t="n">
        <f aca="false">VALUE(SUBSTITUTE(StorytelA!G213,".",","))</f>
        <v>0</v>
      </c>
      <c r="O213" s="9" t="n">
        <f aca="false">VALUE(SUBSTITUTE(StorytelE!M213,".",","))</f>
        <v>0</v>
      </c>
      <c r="P213" s="9" t="n">
        <f aca="false">VALUE(SUBSTITUTE(StorytelA!M213,".",","))</f>
        <v>0</v>
      </c>
      <c r="Q213" s="29"/>
      <c r="R213" s="29" t="n">
        <f aca="false">VALUE(SUBSTITUTE(Woblink!H225,".",","))</f>
        <v>0</v>
      </c>
      <c r="S213" s="9" t="str">
        <f aca="false">SUBSTITUTE(AzymutB!D213,"-","")</f>
        <v/>
      </c>
      <c r="T213" s="9" t="n">
        <f aca="false">VALUE(SUBSTITUTE(AzymutB!O213,".",","))</f>
        <v>0</v>
      </c>
      <c r="U213" s="9" t="str">
        <f aca="false">SUBSTITUTE(Audioteka!Q215,"-","")</f>
        <v/>
      </c>
    </row>
    <row r="214" customFormat="false" ht="15.75" hidden="false" customHeight="false" outlineLevel="0" collapsed="false">
      <c r="A214" s="8" t="str">
        <f aca="false">SUBSTITUTE(Histmag!B214,"-","")</f>
        <v/>
      </c>
      <c r="B214" s="9" t="n">
        <f aca="false">VALUE(SUBSTITUTE(Histmag!D214,".",","))</f>
        <v>0</v>
      </c>
      <c r="C214" s="8" t="str">
        <f aca="false">SUBSTITUTE(Virtualo!G214,"-","")</f>
        <v/>
      </c>
      <c r="D214" s="8" t="str">
        <f aca="false">SUBSTITUTE(Empik!F214,"-","")</f>
        <v/>
      </c>
      <c r="E214" s="8" t="str">
        <f aca="false">SUBSTITUTE(Publio!H214,"-","")</f>
        <v/>
      </c>
      <c r="F214" s="8" t="n">
        <f aca="false">VALUE(SUBSTITUTE(Publio!Q214,".",","))</f>
        <v>0</v>
      </c>
      <c r="G214" s="8" t="str">
        <f aca="false">IFERROR(IF(SEARCH("-", Nexto!B195), SUBSTITUTE(Nexto!B195,"-","")), "")</f>
        <v/>
      </c>
      <c r="H214" s="8" t="n">
        <f aca="false">IFERROR(VALUE(SUBSTITUTE(Nexto!P199,".",",")),0)</f>
        <v>0</v>
      </c>
      <c r="I214" s="9" t="str">
        <f aca="false">SUBSTITUTE(Azymut!D214,"-","")</f>
        <v/>
      </c>
      <c r="J214" s="9" t="n">
        <f aca="false">VALUE(SUBSTITUTE(Azymut!O214,".",","))</f>
        <v>0</v>
      </c>
      <c r="K214" s="9" t="str">
        <f aca="false">SUBSTITUTE(Ebookpoint!E226,"-","")</f>
        <v/>
      </c>
      <c r="L214" s="9" t="str">
        <f aca="false">SUBSTITUTE(Nasbi!E226,"-","")</f>
        <v/>
      </c>
      <c r="M214" s="9" t="n">
        <f aca="false">VALUE(SUBSTITUTE(StorytelE!G214,".",","))</f>
        <v>0</v>
      </c>
      <c r="N214" s="9" t="n">
        <f aca="false">VALUE(SUBSTITUTE(StorytelA!G214,".",","))</f>
        <v>0</v>
      </c>
      <c r="O214" s="9" t="n">
        <f aca="false">VALUE(SUBSTITUTE(StorytelE!M214,".",","))</f>
        <v>0</v>
      </c>
      <c r="P214" s="9" t="n">
        <f aca="false">VALUE(SUBSTITUTE(StorytelA!M214,".",","))</f>
        <v>0</v>
      </c>
      <c r="Q214" s="29"/>
      <c r="R214" s="29" t="n">
        <f aca="false">VALUE(SUBSTITUTE(Woblink!H226,".",","))</f>
        <v>0</v>
      </c>
      <c r="S214" s="9" t="str">
        <f aca="false">SUBSTITUTE(AzymutB!D214,"-","")</f>
        <v/>
      </c>
      <c r="T214" s="9" t="n">
        <f aca="false">VALUE(SUBSTITUTE(AzymutB!O214,".",","))</f>
        <v>0</v>
      </c>
      <c r="U214" s="9" t="str">
        <f aca="false">SUBSTITUTE(Audioteka!Q216,"-","")</f>
        <v/>
      </c>
    </row>
    <row r="215" customFormat="false" ht="15.75" hidden="false" customHeight="false" outlineLevel="0" collapsed="false">
      <c r="A215" s="8" t="str">
        <f aca="false">SUBSTITUTE(Histmag!B215,"-","")</f>
        <v/>
      </c>
      <c r="B215" s="9" t="n">
        <f aca="false">VALUE(SUBSTITUTE(Histmag!D215,".",","))</f>
        <v>0</v>
      </c>
      <c r="C215" s="8" t="str">
        <f aca="false">SUBSTITUTE(Virtualo!G215,"-","")</f>
        <v/>
      </c>
      <c r="D215" s="8" t="str">
        <f aca="false">SUBSTITUTE(Empik!F215,"-","")</f>
        <v/>
      </c>
      <c r="E215" s="8" t="str">
        <f aca="false">SUBSTITUTE(Publio!H215,"-","")</f>
        <v/>
      </c>
      <c r="F215" s="8" t="n">
        <f aca="false">VALUE(SUBSTITUTE(Publio!Q215,".",","))</f>
        <v>0</v>
      </c>
      <c r="G215" s="8" t="str">
        <f aca="false">IFERROR(IF(SEARCH("-", Nexto!B196), SUBSTITUTE(Nexto!B196,"-","")), "")</f>
        <v/>
      </c>
      <c r="H215" s="8" t="n">
        <f aca="false">IFERROR(VALUE(SUBSTITUTE(Nexto!P200,".",",")),0)</f>
        <v>0</v>
      </c>
      <c r="I215" s="9" t="str">
        <f aca="false">SUBSTITUTE(Azymut!D215,"-","")</f>
        <v/>
      </c>
      <c r="J215" s="9" t="n">
        <f aca="false">VALUE(SUBSTITUTE(Azymut!O215,".",","))</f>
        <v>0</v>
      </c>
      <c r="K215" s="9" t="str">
        <f aca="false">SUBSTITUTE(Ebookpoint!E227,"-","")</f>
        <v/>
      </c>
      <c r="L215" s="9" t="str">
        <f aca="false">SUBSTITUTE(Nasbi!E227,"-","")</f>
        <v/>
      </c>
      <c r="M215" s="9" t="n">
        <f aca="false">VALUE(SUBSTITUTE(StorytelE!G215,".",","))</f>
        <v>0</v>
      </c>
      <c r="N215" s="9" t="n">
        <f aca="false">VALUE(SUBSTITUTE(StorytelA!G215,".",","))</f>
        <v>0</v>
      </c>
      <c r="O215" s="9" t="n">
        <f aca="false">VALUE(SUBSTITUTE(StorytelE!M215,".",","))</f>
        <v>0</v>
      </c>
      <c r="P215" s="9" t="n">
        <f aca="false">VALUE(SUBSTITUTE(StorytelA!M215,".",","))</f>
        <v>0</v>
      </c>
      <c r="Q215" s="29"/>
      <c r="R215" s="29" t="n">
        <f aca="false">VALUE(SUBSTITUTE(Woblink!H227,".",","))</f>
        <v>0</v>
      </c>
      <c r="S215" s="9" t="str">
        <f aca="false">SUBSTITUTE(AzymutB!D215,"-","")</f>
        <v/>
      </c>
      <c r="T215" s="9" t="n">
        <f aca="false">VALUE(SUBSTITUTE(AzymutB!O215,".",","))</f>
        <v>0</v>
      </c>
      <c r="U215" s="9" t="str">
        <f aca="false">SUBSTITUTE(Audioteka!Q217,"-","")</f>
        <v/>
      </c>
    </row>
    <row r="216" customFormat="false" ht="15.75" hidden="false" customHeight="false" outlineLevel="0" collapsed="false">
      <c r="A216" s="8" t="str">
        <f aca="false">SUBSTITUTE(Histmag!B216,"-","")</f>
        <v/>
      </c>
      <c r="B216" s="9" t="n">
        <f aca="false">VALUE(SUBSTITUTE(Histmag!D216,".",","))</f>
        <v>0</v>
      </c>
      <c r="C216" s="8" t="str">
        <f aca="false">SUBSTITUTE(Virtualo!G216,"-","")</f>
        <v/>
      </c>
      <c r="D216" s="8" t="str">
        <f aca="false">SUBSTITUTE(Empik!F216,"-","")</f>
        <v/>
      </c>
      <c r="E216" s="8" t="str">
        <f aca="false">SUBSTITUTE(Publio!H216,"-","")</f>
        <v/>
      </c>
      <c r="F216" s="8" t="n">
        <f aca="false">VALUE(SUBSTITUTE(Publio!Q216,".",","))</f>
        <v>0</v>
      </c>
      <c r="G216" s="8" t="str">
        <f aca="false">IFERROR(IF(SEARCH("-", Nexto!B197), SUBSTITUTE(Nexto!B197,"-","")), "")</f>
        <v/>
      </c>
      <c r="H216" s="8" t="n">
        <f aca="false">IFERROR(VALUE(SUBSTITUTE(Nexto!P201,".",",")),0)</f>
        <v>0</v>
      </c>
      <c r="I216" s="9" t="str">
        <f aca="false">SUBSTITUTE(Azymut!D216,"-","")</f>
        <v/>
      </c>
      <c r="J216" s="9" t="n">
        <f aca="false">VALUE(SUBSTITUTE(Azymut!O216,".",","))</f>
        <v>0</v>
      </c>
      <c r="K216" s="9" t="str">
        <f aca="false">SUBSTITUTE(Ebookpoint!E228,"-","")</f>
        <v/>
      </c>
      <c r="L216" s="9" t="str">
        <f aca="false">SUBSTITUTE(Nasbi!E228,"-","")</f>
        <v/>
      </c>
      <c r="M216" s="9" t="n">
        <f aca="false">VALUE(SUBSTITUTE(StorytelE!G216,".",","))</f>
        <v>0</v>
      </c>
      <c r="N216" s="9" t="n">
        <f aca="false">VALUE(SUBSTITUTE(StorytelA!G216,".",","))</f>
        <v>0</v>
      </c>
      <c r="O216" s="9" t="n">
        <f aca="false">VALUE(SUBSTITUTE(StorytelE!M216,".",","))</f>
        <v>0</v>
      </c>
      <c r="P216" s="9" t="n">
        <f aca="false">VALUE(SUBSTITUTE(StorytelA!M216,".",","))</f>
        <v>0</v>
      </c>
      <c r="Q216" s="29"/>
      <c r="R216" s="29" t="n">
        <f aca="false">VALUE(SUBSTITUTE(Woblink!H228,".",","))</f>
        <v>0</v>
      </c>
      <c r="S216" s="9" t="str">
        <f aca="false">SUBSTITUTE(AzymutB!D216,"-","")</f>
        <v/>
      </c>
      <c r="T216" s="9" t="n">
        <f aca="false">VALUE(SUBSTITUTE(AzymutB!O216,".",","))</f>
        <v>0</v>
      </c>
      <c r="U216" s="9" t="str">
        <f aca="false">SUBSTITUTE(Audioteka!Q218,"-","")</f>
        <v/>
      </c>
    </row>
    <row r="217" customFormat="false" ht="15.75" hidden="false" customHeight="false" outlineLevel="0" collapsed="false">
      <c r="A217" s="8" t="str">
        <f aca="false">SUBSTITUTE(Histmag!B217,"-","")</f>
        <v/>
      </c>
      <c r="B217" s="9" t="n">
        <f aca="false">VALUE(SUBSTITUTE(Histmag!D217,".",","))</f>
        <v>0</v>
      </c>
      <c r="C217" s="8" t="str">
        <f aca="false">SUBSTITUTE(Virtualo!G217,"-","")</f>
        <v/>
      </c>
      <c r="D217" s="8" t="str">
        <f aca="false">SUBSTITUTE(Empik!F217,"-","")</f>
        <v/>
      </c>
      <c r="E217" s="8" t="str">
        <f aca="false">SUBSTITUTE(Publio!H217,"-","")</f>
        <v/>
      </c>
      <c r="F217" s="8" t="n">
        <f aca="false">VALUE(SUBSTITUTE(Publio!Q217,".",","))</f>
        <v>0</v>
      </c>
      <c r="G217" s="8" t="str">
        <f aca="false">IFERROR(IF(SEARCH("-", Nexto!B198), SUBSTITUTE(Nexto!B198,"-","")), "")</f>
        <v/>
      </c>
      <c r="H217" s="8" t="n">
        <f aca="false">IFERROR(VALUE(SUBSTITUTE(Nexto!P202,".",",")),0)</f>
        <v>0</v>
      </c>
      <c r="I217" s="9" t="str">
        <f aca="false">SUBSTITUTE(Azymut!D217,"-","")</f>
        <v/>
      </c>
      <c r="J217" s="9" t="n">
        <f aca="false">VALUE(SUBSTITUTE(Azymut!O217,".",","))</f>
        <v>0</v>
      </c>
      <c r="K217" s="9" t="str">
        <f aca="false">SUBSTITUTE(Ebookpoint!E229,"-","")</f>
        <v/>
      </c>
      <c r="L217" s="9" t="str">
        <f aca="false">SUBSTITUTE(Nasbi!E229,"-","")</f>
        <v/>
      </c>
      <c r="M217" s="9" t="n">
        <f aca="false">VALUE(SUBSTITUTE(StorytelE!G217,".",","))</f>
        <v>0</v>
      </c>
      <c r="N217" s="9" t="n">
        <f aca="false">VALUE(SUBSTITUTE(StorytelA!G217,".",","))</f>
        <v>0</v>
      </c>
      <c r="O217" s="9" t="n">
        <f aca="false">VALUE(SUBSTITUTE(StorytelE!M217,".",","))</f>
        <v>0</v>
      </c>
      <c r="P217" s="9" t="n">
        <f aca="false">VALUE(SUBSTITUTE(StorytelA!M217,".",","))</f>
        <v>0</v>
      </c>
      <c r="Q217" s="29"/>
      <c r="R217" s="29" t="n">
        <f aca="false">VALUE(SUBSTITUTE(Woblink!H229,".",","))</f>
        <v>0</v>
      </c>
      <c r="S217" s="9" t="str">
        <f aca="false">SUBSTITUTE(AzymutB!D217,"-","")</f>
        <v/>
      </c>
      <c r="T217" s="9" t="n">
        <f aca="false">VALUE(SUBSTITUTE(AzymutB!O217,".",","))</f>
        <v>0</v>
      </c>
      <c r="U217" s="9" t="str">
        <f aca="false">SUBSTITUTE(Audioteka!Q219,"-","")</f>
        <v/>
      </c>
    </row>
    <row r="218" customFormat="false" ht="15.75" hidden="false" customHeight="false" outlineLevel="0" collapsed="false">
      <c r="A218" s="8" t="str">
        <f aca="false">SUBSTITUTE(Histmag!B218,"-","")</f>
        <v/>
      </c>
      <c r="B218" s="9" t="n">
        <f aca="false">VALUE(SUBSTITUTE(Histmag!D218,".",","))</f>
        <v>0</v>
      </c>
      <c r="C218" s="8" t="str">
        <f aca="false">SUBSTITUTE(Virtualo!G218,"-","")</f>
        <v/>
      </c>
      <c r="D218" s="8" t="str">
        <f aca="false">SUBSTITUTE(Empik!F218,"-","")</f>
        <v/>
      </c>
      <c r="E218" s="8" t="str">
        <f aca="false">SUBSTITUTE(Publio!H218,"-","")</f>
        <v/>
      </c>
      <c r="F218" s="8" t="n">
        <f aca="false">VALUE(SUBSTITUTE(Publio!Q218,".",","))</f>
        <v>0</v>
      </c>
      <c r="G218" s="8" t="str">
        <f aca="false">IFERROR(IF(SEARCH("-", Nexto!B199), SUBSTITUTE(Nexto!B199,"-","")), "")</f>
        <v/>
      </c>
      <c r="H218" s="8" t="n">
        <f aca="false">IFERROR(VALUE(SUBSTITUTE(Nexto!P203,".",",")),0)</f>
        <v>0</v>
      </c>
      <c r="I218" s="9" t="str">
        <f aca="false">SUBSTITUTE(Azymut!D218,"-","")</f>
        <v/>
      </c>
      <c r="J218" s="9" t="n">
        <f aca="false">VALUE(SUBSTITUTE(Azymut!O218,".",","))</f>
        <v>0</v>
      </c>
      <c r="K218" s="9" t="str">
        <f aca="false">SUBSTITUTE(Ebookpoint!E230,"-","")</f>
        <v/>
      </c>
      <c r="L218" s="9" t="str">
        <f aca="false">SUBSTITUTE(Nasbi!E230,"-","")</f>
        <v/>
      </c>
      <c r="M218" s="9" t="n">
        <f aca="false">VALUE(SUBSTITUTE(StorytelE!G218,".",","))</f>
        <v>0</v>
      </c>
      <c r="N218" s="9" t="n">
        <f aca="false">VALUE(SUBSTITUTE(StorytelA!G218,".",","))</f>
        <v>0</v>
      </c>
      <c r="O218" s="9" t="n">
        <f aca="false">VALUE(SUBSTITUTE(StorytelE!M218,".",","))</f>
        <v>0</v>
      </c>
      <c r="P218" s="9" t="n">
        <f aca="false">VALUE(SUBSTITUTE(StorytelA!M218,".",","))</f>
        <v>0</v>
      </c>
      <c r="Q218" s="29"/>
      <c r="R218" s="29" t="n">
        <f aca="false">VALUE(SUBSTITUTE(Woblink!H230,".",","))</f>
        <v>0</v>
      </c>
      <c r="S218" s="9" t="str">
        <f aca="false">SUBSTITUTE(AzymutB!D218,"-","")</f>
        <v/>
      </c>
      <c r="T218" s="9" t="n">
        <f aca="false">VALUE(SUBSTITUTE(AzymutB!O218,".",","))</f>
        <v>0</v>
      </c>
      <c r="U218" s="9" t="str">
        <f aca="false">SUBSTITUTE(Audioteka!Q220,"-","")</f>
        <v/>
      </c>
    </row>
    <row r="219" customFormat="false" ht="15.75" hidden="false" customHeight="false" outlineLevel="0" collapsed="false">
      <c r="A219" s="8" t="str">
        <f aca="false">SUBSTITUTE(Histmag!B219,"-","")</f>
        <v/>
      </c>
      <c r="B219" s="9" t="n">
        <f aca="false">VALUE(SUBSTITUTE(Histmag!D219,".",","))</f>
        <v>0</v>
      </c>
      <c r="C219" s="8" t="str">
        <f aca="false">SUBSTITUTE(Virtualo!G219,"-","")</f>
        <v/>
      </c>
      <c r="D219" s="8" t="str">
        <f aca="false">SUBSTITUTE(Empik!F219,"-","")</f>
        <v/>
      </c>
      <c r="E219" s="8" t="str">
        <f aca="false">SUBSTITUTE(Publio!H219,"-","")</f>
        <v/>
      </c>
      <c r="F219" s="8" t="n">
        <f aca="false">VALUE(SUBSTITUTE(Publio!Q219,".",","))</f>
        <v>0</v>
      </c>
      <c r="G219" s="8" t="str">
        <f aca="false">IFERROR(IF(SEARCH("-", Nexto!B200), SUBSTITUTE(Nexto!B200,"-","")), "")</f>
        <v/>
      </c>
      <c r="H219" s="8" t="n">
        <f aca="false">IFERROR(VALUE(SUBSTITUTE(Nexto!P204,".",",")),0)</f>
        <v>0</v>
      </c>
      <c r="I219" s="9" t="str">
        <f aca="false">SUBSTITUTE(Azymut!D219,"-","")</f>
        <v/>
      </c>
      <c r="J219" s="9" t="n">
        <f aca="false">VALUE(SUBSTITUTE(Azymut!O219,".",","))</f>
        <v>0</v>
      </c>
      <c r="K219" s="9" t="str">
        <f aca="false">SUBSTITUTE(Ebookpoint!E231,"-","")</f>
        <v/>
      </c>
      <c r="L219" s="9" t="str">
        <f aca="false">SUBSTITUTE(Nasbi!E231,"-","")</f>
        <v/>
      </c>
      <c r="M219" s="9" t="n">
        <f aca="false">VALUE(SUBSTITUTE(StorytelE!G219,".",","))</f>
        <v>0</v>
      </c>
      <c r="N219" s="9" t="n">
        <f aca="false">VALUE(SUBSTITUTE(StorytelA!G219,".",","))</f>
        <v>0</v>
      </c>
      <c r="O219" s="9" t="n">
        <f aca="false">VALUE(SUBSTITUTE(StorytelE!M219,".",","))</f>
        <v>0</v>
      </c>
      <c r="P219" s="9" t="n">
        <f aca="false">VALUE(SUBSTITUTE(StorytelA!M219,".",","))</f>
        <v>0</v>
      </c>
      <c r="Q219" s="29"/>
      <c r="R219" s="29" t="n">
        <f aca="false">VALUE(SUBSTITUTE(Woblink!H231,".",","))</f>
        <v>0</v>
      </c>
      <c r="S219" s="9" t="str">
        <f aca="false">SUBSTITUTE(AzymutB!D219,"-","")</f>
        <v/>
      </c>
      <c r="T219" s="9" t="n">
        <f aca="false">VALUE(SUBSTITUTE(AzymutB!O219,".",","))</f>
        <v>0</v>
      </c>
      <c r="U219" s="9" t="str">
        <f aca="false">SUBSTITUTE(Audioteka!Q221,"-","")</f>
        <v/>
      </c>
    </row>
    <row r="220" customFormat="false" ht="15.75" hidden="false" customHeight="false" outlineLevel="0" collapsed="false">
      <c r="A220" s="8" t="str">
        <f aca="false">SUBSTITUTE(Histmag!B220,"-","")</f>
        <v/>
      </c>
      <c r="B220" s="9" t="n">
        <f aca="false">VALUE(SUBSTITUTE(Histmag!D220,".",","))</f>
        <v>0</v>
      </c>
      <c r="C220" s="8" t="str">
        <f aca="false">SUBSTITUTE(Virtualo!G220,"-","")</f>
        <v/>
      </c>
      <c r="D220" s="8" t="str">
        <f aca="false">SUBSTITUTE(Empik!F220,"-","")</f>
        <v/>
      </c>
      <c r="E220" s="8" t="str">
        <f aca="false">SUBSTITUTE(Publio!H220,"-","")</f>
        <v/>
      </c>
      <c r="F220" s="8" t="n">
        <f aca="false">VALUE(SUBSTITUTE(Publio!Q220,".",","))</f>
        <v>0</v>
      </c>
      <c r="G220" s="8" t="str">
        <f aca="false">IFERROR(IF(SEARCH("-", Nexto!B201), SUBSTITUTE(Nexto!B201,"-","")), "")</f>
        <v/>
      </c>
      <c r="H220" s="8" t="n">
        <f aca="false">IFERROR(VALUE(SUBSTITUTE(Nexto!P205,".",",")),0)</f>
        <v>0</v>
      </c>
      <c r="I220" s="9" t="str">
        <f aca="false">SUBSTITUTE(Azymut!D220,"-","")</f>
        <v/>
      </c>
      <c r="J220" s="9" t="n">
        <f aca="false">VALUE(SUBSTITUTE(Azymut!O220,".",","))</f>
        <v>0</v>
      </c>
      <c r="K220" s="9" t="str">
        <f aca="false">SUBSTITUTE(Ebookpoint!E232,"-","")</f>
        <v/>
      </c>
      <c r="L220" s="9" t="str">
        <f aca="false">SUBSTITUTE(Nasbi!E232,"-","")</f>
        <v/>
      </c>
      <c r="M220" s="9" t="n">
        <f aca="false">VALUE(SUBSTITUTE(StorytelE!G220,".",","))</f>
        <v>0</v>
      </c>
      <c r="N220" s="9" t="n">
        <f aca="false">VALUE(SUBSTITUTE(StorytelA!G220,".",","))</f>
        <v>0</v>
      </c>
      <c r="O220" s="9" t="n">
        <f aca="false">VALUE(SUBSTITUTE(StorytelE!M220,".",","))</f>
        <v>0</v>
      </c>
      <c r="P220" s="9" t="n">
        <f aca="false">VALUE(SUBSTITUTE(StorytelA!M220,".",","))</f>
        <v>0</v>
      </c>
      <c r="Q220" s="29"/>
      <c r="R220" s="29" t="n">
        <f aca="false">VALUE(SUBSTITUTE(Woblink!H232,".",","))</f>
        <v>0</v>
      </c>
      <c r="S220" s="9" t="str">
        <f aca="false">SUBSTITUTE(AzymutB!D220,"-","")</f>
        <v/>
      </c>
      <c r="T220" s="9" t="n">
        <f aca="false">VALUE(SUBSTITUTE(AzymutB!O220,".",","))</f>
        <v>0</v>
      </c>
      <c r="U220" s="9" t="str">
        <f aca="false">SUBSTITUTE(Audioteka!Q222,"-","")</f>
        <v/>
      </c>
    </row>
    <row r="221" customFormat="false" ht="15.75" hidden="false" customHeight="false" outlineLevel="0" collapsed="false">
      <c r="A221" s="8" t="str">
        <f aca="false">SUBSTITUTE(Histmag!B221,"-","")</f>
        <v/>
      </c>
      <c r="B221" s="9" t="n">
        <f aca="false">VALUE(SUBSTITUTE(Histmag!D221,".",","))</f>
        <v>0</v>
      </c>
      <c r="C221" s="8" t="str">
        <f aca="false">SUBSTITUTE(Virtualo!G221,"-","")</f>
        <v/>
      </c>
      <c r="D221" s="8" t="str">
        <f aca="false">SUBSTITUTE(Empik!F221,"-","")</f>
        <v/>
      </c>
      <c r="E221" s="8" t="str">
        <f aca="false">SUBSTITUTE(Publio!H221,"-","")</f>
        <v/>
      </c>
      <c r="F221" s="8" t="n">
        <f aca="false">VALUE(SUBSTITUTE(Publio!Q221,".",","))</f>
        <v>0</v>
      </c>
      <c r="G221" s="8" t="str">
        <f aca="false">IFERROR(IF(SEARCH("-", Nexto!B202), SUBSTITUTE(Nexto!B202,"-","")), "")</f>
        <v/>
      </c>
      <c r="H221" s="8" t="n">
        <f aca="false">IFERROR(VALUE(SUBSTITUTE(Nexto!P206,".",",")),0)</f>
        <v>0</v>
      </c>
      <c r="I221" s="9" t="str">
        <f aca="false">SUBSTITUTE(Azymut!D221,"-","")</f>
        <v/>
      </c>
      <c r="J221" s="9" t="n">
        <f aca="false">VALUE(SUBSTITUTE(Azymut!O221,".",","))</f>
        <v>0</v>
      </c>
      <c r="K221" s="9" t="str">
        <f aca="false">SUBSTITUTE(Ebookpoint!E233,"-","")</f>
        <v/>
      </c>
      <c r="L221" s="9" t="str">
        <f aca="false">SUBSTITUTE(Nasbi!E233,"-","")</f>
        <v/>
      </c>
      <c r="M221" s="9" t="n">
        <f aca="false">VALUE(SUBSTITUTE(StorytelE!G221,".",","))</f>
        <v>0</v>
      </c>
      <c r="N221" s="9" t="n">
        <f aca="false">VALUE(SUBSTITUTE(StorytelA!G221,".",","))</f>
        <v>0</v>
      </c>
      <c r="O221" s="9" t="n">
        <f aca="false">VALUE(SUBSTITUTE(StorytelE!M221,".",","))</f>
        <v>0</v>
      </c>
      <c r="P221" s="9" t="n">
        <f aca="false">VALUE(SUBSTITUTE(StorytelA!M221,".",","))</f>
        <v>0</v>
      </c>
      <c r="Q221" s="29"/>
      <c r="R221" s="29" t="n">
        <f aca="false">VALUE(SUBSTITUTE(Woblink!H233,".",","))</f>
        <v>0</v>
      </c>
      <c r="S221" s="9" t="str">
        <f aca="false">SUBSTITUTE(AzymutB!D221,"-","")</f>
        <v/>
      </c>
      <c r="T221" s="9" t="n">
        <f aca="false">VALUE(SUBSTITUTE(AzymutB!O221,".",","))</f>
        <v>0</v>
      </c>
      <c r="U221" s="9" t="str">
        <f aca="false">SUBSTITUTE(Audioteka!Q223,"-","")</f>
        <v/>
      </c>
    </row>
    <row r="222" customFormat="false" ht="15.75" hidden="false" customHeight="false" outlineLevel="0" collapsed="false">
      <c r="A222" s="8" t="str">
        <f aca="false">SUBSTITUTE(Histmag!B222,"-","")</f>
        <v/>
      </c>
      <c r="B222" s="9" t="n">
        <f aca="false">VALUE(SUBSTITUTE(Histmag!D222,".",","))</f>
        <v>0</v>
      </c>
      <c r="C222" s="8" t="str">
        <f aca="false">SUBSTITUTE(Virtualo!G222,"-","")</f>
        <v/>
      </c>
      <c r="D222" s="8" t="str">
        <f aca="false">SUBSTITUTE(Empik!F222,"-","")</f>
        <v/>
      </c>
      <c r="E222" s="8" t="str">
        <f aca="false">SUBSTITUTE(Publio!H222,"-","")</f>
        <v/>
      </c>
      <c r="F222" s="8" t="n">
        <f aca="false">VALUE(SUBSTITUTE(Publio!Q222,".",","))</f>
        <v>0</v>
      </c>
      <c r="G222" s="8" t="str">
        <f aca="false">IFERROR(IF(SEARCH("-", Nexto!B203), SUBSTITUTE(Nexto!B203,"-","")), "")</f>
        <v/>
      </c>
      <c r="H222" s="8" t="n">
        <f aca="false">IFERROR(VALUE(SUBSTITUTE(Nexto!P207,".",",")),0)</f>
        <v>0</v>
      </c>
      <c r="I222" s="9" t="str">
        <f aca="false">SUBSTITUTE(Azymut!D222,"-","")</f>
        <v/>
      </c>
      <c r="J222" s="9" t="n">
        <f aca="false">VALUE(SUBSTITUTE(Azymut!O222,".",","))</f>
        <v>0</v>
      </c>
      <c r="K222" s="9" t="str">
        <f aca="false">SUBSTITUTE(Ebookpoint!E234,"-","")</f>
        <v/>
      </c>
      <c r="L222" s="9" t="str">
        <f aca="false">SUBSTITUTE(Nasbi!E234,"-","")</f>
        <v/>
      </c>
      <c r="M222" s="9" t="n">
        <f aca="false">VALUE(SUBSTITUTE(StorytelE!G222,".",","))</f>
        <v>0</v>
      </c>
      <c r="N222" s="9" t="n">
        <f aca="false">VALUE(SUBSTITUTE(StorytelA!G222,".",","))</f>
        <v>0</v>
      </c>
      <c r="O222" s="9" t="n">
        <f aca="false">VALUE(SUBSTITUTE(StorytelE!M222,".",","))</f>
        <v>0</v>
      </c>
      <c r="P222" s="9" t="n">
        <f aca="false">VALUE(SUBSTITUTE(StorytelA!M222,".",","))</f>
        <v>0</v>
      </c>
      <c r="Q222" s="29"/>
      <c r="R222" s="29" t="n">
        <f aca="false">VALUE(SUBSTITUTE(Woblink!H234,".",","))</f>
        <v>0</v>
      </c>
      <c r="S222" s="9" t="str">
        <f aca="false">SUBSTITUTE(AzymutB!D222,"-","")</f>
        <v/>
      </c>
      <c r="T222" s="9" t="n">
        <f aca="false">VALUE(SUBSTITUTE(AzymutB!O222,".",","))</f>
        <v>0</v>
      </c>
      <c r="U222" s="9" t="str">
        <f aca="false">SUBSTITUTE(Audioteka!Q224,"-","")</f>
        <v/>
      </c>
    </row>
    <row r="223" customFormat="false" ht="15.75" hidden="false" customHeight="false" outlineLevel="0" collapsed="false">
      <c r="A223" s="8" t="str">
        <f aca="false">SUBSTITUTE(Histmag!B223,"-","")</f>
        <v/>
      </c>
      <c r="B223" s="9" t="n">
        <f aca="false">VALUE(SUBSTITUTE(Histmag!D223,".",","))</f>
        <v>0</v>
      </c>
      <c r="C223" s="8" t="str">
        <f aca="false">SUBSTITUTE(Virtualo!G223,"-","")</f>
        <v/>
      </c>
      <c r="D223" s="8" t="str">
        <f aca="false">SUBSTITUTE(Empik!F223,"-","")</f>
        <v/>
      </c>
      <c r="E223" s="8" t="str">
        <f aca="false">SUBSTITUTE(Publio!H223,"-","")</f>
        <v/>
      </c>
      <c r="F223" s="8" t="n">
        <f aca="false">VALUE(SUBSTITUTE(Publio!Q223,".",","))</f>
        <v>0</v>
      </c>
      <c r="G223" s="8" t="str">
        <f aca="false">IFERROR(IF(SEARCH("-", Nexto!B204), SUBSTITUTE(Nexto!B204,"-","")), "")</f>
        <v/>
      </c>
      <c r="H223" s="8" t="n">
        <f aca="false">IFERROR(VALUE(SUBSTITUTE(Nexto!P208,".",",")),0)</f>
        <v>0</v>
      </c>
      <c r="I223" s="9" t="str">
        <f aca="false">SUBSTITUTE(Azymut!D223,"-","")</f>
        <v/>
      </c>
      <c r="J223" s="9" t="n">
        <f aca="false">VALUE(SUBSTITUTE(Azymut!O223,".",","))</f>
        <v>0</v>
      </c>
      <c r="K223" s="9" t="str">
        <f aca="false">SUBSTITUTE(Ebookpoint!E235,"-","")</f>
        <v/>
      </c>
      <c r="L223" s="9" t="str">
        <f aca="false">SUBSTITUTE(Nasbi!E235,"-","")</f>
        <v/>
      </c>
      <c r="M223" s="9" t="n">
        <f aca="false">VALUE(SUBSTITUTE(StorytelE!G223,".",","))</f>
        <v>0</v>
      </c>
      <c r="N223" s="9" t="n">
        <f aca="false">VALUE(SUBSTITUTE(StorytelA!G223,".",","))</f>
        <v>0</v>
      </c>
      <c r="O223" s="9" t="n">
        <f aca="false">VALUE(SUBSTITUTE(StorytelE!M223,".",","))</f>
        <v>0</v>
      </c>
      <c r="P223" s="9" t="n">
        <f aca="false">VALUE(SUBSTITUTE(StorytelA!M223,".",","))</f>
        <v>0</v>
      </c>
      <c r="Q223" s="29"/>
      <c r="R223" s="29" t="n">
        <f aca="false">VALUE(SUBSTITUTE(Woblink!H235,".",","))</f>
        <v>0</v>
      </c>
      <c r="S223" s="9" t="str">
        <f aca="false">SUBSTITUTE(AzymutB!D223,"-","")</f>
        <v/>
      </c>
      <c r="T223" s="9" t="n">
        <f aca="false">VALUE(SUBSTITUTE(AzymutB!O223,".",","))</f>
        <v>0</v>
      </c>
      <c r="U223" s="9" t="str">
        <f aca="false">SUBSTITUTE(Audioteka!Q225,"-","")</f>
        <v/>
      </c>
    </row>
    <row r="224" customFormat="false" ht="15.75" hidden="false" customHeight="false" outlineLevel="0" collapsed="false">
      <c r="A224" s="8" t="str">
        <f aca="false">SUBSTITUTE(Histmag!B224,"-","")</f>
        <v/>
      </c>
      <c r="B224" s="9" t="n">
        <f aca="false">VALUE(SUBSTITUTE(Histmag!D224,".",","))</f>
        <v>0</v>
      </c>
      <c r="C224" s="8" t="str">
        <f aca="false">SUBSTITUTE(Virtualo!G224,"-","")</f>
        <v/>
      </c>
      <c r="D224" s="8" t="str">
        <f aca="false">SUBSTITUTE(Empik!F224,"-","")</f>
        <v/>
      </c>
      <c r="E224" s="8" t="str">
        <f aca="false">SUBSTITUTE(Publio!H224,"-","")</f>
        <v/>
      </c>
      <c r="F224" s="8" t="n">
        <f aca="false">VALUE(SUBSTITUTE(Publio!Q224,".",","))</f>
        <v>0</v>
      </c>
      <c r="G224" s="8" t="str">
        <f aca="false">IFERROR(IF(SEARCH("-", Nexto!B205), SUBSTITUTE(Nexto!B205,"-","")), "")</f>
        <v/>
      </c>
      <c r="H224" s="8" t="n">
        <f aca="false">IFERROR(VALUE(SUBSTITUTE(Nexto!P209,".",",")),0)</f>
        <v>0</v>
      </c>
      <c r="I224" s="9" t="str">
        <f aca="false">SUBSTITUTE(Azymut!D224,"-","")</f>
        <v/>
      </c>
      <c r="J224" s="9" t="n">
        <f aca="false">VALUE(SUBSTITUTE(Azymut!O224,".",","))</f>
        <v>0</v>
      </c>
      <c r="K224" s="9" t="str">
        <f aca="false">SUBSTITUTE(Ebookpoint!E236,"-","")</f>
        <v/>
      </c>
      <c r="L224" s="9" t="str">
        <f aca="false">SUBSTITUTE(Nasbi!E236,"-","")</f>
        <v/>
      </c>
      <c r="M224" s="9" t="n">
        <f aca="false">VALUE(SUBSTITUTE(StorytelE!G224,".",","))</f>
        <v>0</v>
      </c>
      <c r="N224" s="9" t="n">
        <f aca="false">VALUE(SUBSTITUTE(StorytelA!G224,".",","))</f>
        <v>0</v>
      </c>
      <c r="O224" s="9" t="n">
        <f aca="false">VALUE(SUBSTITUTE(StorytelE!M224,".",","))</f>
        <v>0</v>
      </c>
      <c r="P224" s="9" t="n">
        <f aca="false">VALUE(SUBSTITUTE(StorytelA!M224,".",","))</f>
        <v>0</v>
      </c>
      <c r="Q224" s="29"/>
      <c r="R224" s="29" t="n">
        <f aca="false">VALUE(SUBSTITUTE(Woblink!H236,".",","))</f>
        <v>0</v>
      </c>
      <c r="S224" s="9" t="str">
        <f aca="false">SUBSTITUTE(AzymutB!D224,"-","")</f>
        <v/>
      </c>
      <c r="T224" s="9" t="n">
        <f aca="false">VALUE(SUBSTITUTE(AzymutB!O224,".",","))</f>
        <v>0</v>
      </c>
      <c r="U224" s="9" t="str">
        <f aca="false">SUBSTITUTE(Audioteka!Q226,"-","")</f>
        <v/>
      </c>
    </row>
    <row r="225" customFormat="false" ht="15.75" hidden="false" customHeight="false" outlineLevel="0" collapsed="false">
      <c r="A225" s="8" t="str">
        <f aca="false">SUBSTITUTE(Histmag!B225,"-","")</f>
        <v/>
      </c>
      <c r="B225" s="9" t="n">
        <f aca="false">VALUE(SUBSTITUTE(Histmag!D225,".",","))</f>
        <v>0</v>
      </c>
      <c r="C225" s="8" t="str">
        <f aca="false">SUBSTITUTE(Virtualo!G225,"-","")</f>
        <v/>
      </c>
      <c r="D225" s="8" t="str">
        <f aca="false">SUBSTITUTE(Empik!F225,"-","")</f>
        <v/>
      </c>
      <c r="E225" s="8" t="str">
        <f aca="false">SUBSTITUTE(Publio!H225,"-","")</f>
        <v/>
      </c>
      <c r="F225" s="8" t="n">
        <f aca="false">VALUE(SUBSTITUTE(Publio!Q225,".",","))</f>
        <v>0</v>
      </c>
      <c r="G225" s="8" t="str">
        <f aca="false">IFERROR(IF(SEARCH("-", Nexto!B206), SUBSTITUTE(Nexto!B206,"-","")), "")</f>
        <v/>
      </c>
      <c r="H225" s="8" t="n">
        <f aca="false">IFERROR(VALUE(SUBSTITUTE(Nexto!P210,".",",")),0)</f>
        <v>0</v>
      </c>
      <c r="I225" s="9" t="str">
        <f aca="false">SUBSTITUTE(Azymut!D225,"-","")</f>
        <v/>
      </c>
      <c r="J225" s="9" t="n">
        <f aca="false">VALUE(SUBSTITUTE(Azymut!O225,".",","))</f>
        <v>0</v>
      </c>
      <c r="K225" s="9" t="str">
        <f aca="false">SUBSTITUTE(Ebookpoint!E237,"-","")</f>
        <v/>
      </c>
      <c r="L225" s="9" t="str">
        <f aca="false">SUBSTITUTE(Nasbi!E237,"-","")</f>
        <v/>
      </c>
      <c r="M225" s="9" t="n">
        <f aca="false">VALUE(SUBSTITUTE(StorytelE!G225,".",","))</f>
        <v>0</v>
      </c>
      <c r="N225" s="9" t="n">
        <f aca="false">VALUE(SUBSTITUTE(StorytelA!G225,".",","))</f>
        <v>0</v>
      </c>
      <c r="O225" s="9" t="n">
        <f aca="false">VALUE(SUBSTITUTE(StorytelE!M225,".",","))</f>
        <v>0</v>
      </c>
      <c r="P225" s="9" t="n">
        <f aca="false">VALUE(SUBSTITUTE(StorytelA!M225,".",","))</f>
        <v>0</v>
      </c>
      <c r="Q225" s="29"/>
      <c r="R225" s="29" t="n">
        <f aca="false">VALUE(SUBSTITUTE(Woblink!H237,".",","))</f>
        <v>0</v>
      </c>
      <c r="S225" s="9" t="str">
        <f aca="false">SUBSTITUTE(AzymutB!D225,"-","")</f>
        <v/>
      </c>
      <c r="T225" s="9" t="n">
        <f aca="false">VALUE(SUBSTITUTE(AzymutB!O225,".",","))</f>
        <v>0</v>
      </c>
      <c r="U225" s="9" t="str">
        <f aca="false">SUBSTITUTE(Audioteka!Q227,"-","")</f>
        <v/>
      </c>
    </row>
    <row r="226" customFormat="false" ht="15.75" hidden="false" customHeight="false" outlineLevel="0" collapsed="false">
      <c r="A226" s="8" t="str">
        <f aca="false">SUBSTITUTE(Histmag!B226,"-","")</f>
        <v/>
      </c>
      <c r="B226" s="9" t="n">
        <f aca="false">VALUE(SUBSTITUTE(Histmag!D226,".",","))</f>
        <v>0</v>
      </c>
      <c r="C226" s="8" t="str">
        <f aca="false">SUBSTITUTE(Virtualo!G226,"-","")</f>
        <v/>
      </c>
      <c r="D226" s="8" t="str">
        <f aca="false">SUBSTITUTE(Empik!F226,"-","")</f>
        <v/>
      </c>
      <c r="E226" s="8" t="str">
        <f aca="false">SUBSTITUTE(Publio!H226,"-","")</f>
        <v/>
      </c>
      <c r="F226" s="8" t="n">
        <f aca="false">VALUE(SUBSTITUTE(Publio!Q226,".",","))</f>
        <v>0</v>
      </c>
      <c r="G226" s="8" t="str">
        <f aca="false">IFERROR(IF(SEARCH("-", Nexto!B207), SUBSTITUTE(Nexto!B207,"-","")), "")</f>
        <v/>
      </c>
      <c r="H226" s="8" t="n">
        <f aca="false">IFERROR(VALUE(SUBSTITUTE(Nexto!P211,".",",")),0)</f>
        <v>0</v>
      </c>
      <c r="I226" s="9" t="str">
        <f aca="false">SUBSTITUTE(Azymut!D226,"-","")</f>
        <v/>
      </c>
      <c r="J226" s="9" t="n">
        <f aca="false">VALUE(SUBSTITUTE(Azymut!O226,".",","))</f>
        <v>0</v>
      </c>
      <c r="K226" s="9" t="str">
        <f aca="false">SUBSTITUTE(Ebookpoint!E238,"-","")</f>
        <v/>
      </c>
      <c r="L226" s="9" t="str">
        <f aca="false">SUBSTITUTE(Nasbi!E238,"-","")</f>
        <v/>
      </c>
      <c r="M226" s="9" t="n">
        <f aca="false">VALUE(SUBSTITUTE(StorytelE!G226,".",","))</f>
        <v>0</v>
      </c>
      <c r="N226" s="9" t="n">
        <f aca="false">VALUE(SUBSTITUTE(StorytelA!G226,".",","))</f>
        <v>0</v>
      </c>
      <c r="O226" s="9" t="n">
        <f aca="false">VALUE(SUBSTITUTE(StorytelE!M226,".",","))</f>
        <v>0</v>
      </c>
      <c r="P226" s="9" t="n">
        <f aca="false">VALUE(SUBSTITUTE(StorytelA!M226,".",","))</f>
        <v>0</v>
      </c>
      <c r="Q226" s="29"/>
      <c r="R226" s="29" t="n">
        <f aca="false">VALUE(SUBSTITUTE(Woblink!H238,".",","))</f>
        <v>0</v>
      </c>
      <c r="S226" s="9" t="str">
        <f aca="false">SUBSTITUTE(AzymutB!D226,"-","")</f>
        <v/>
      </c>
      <c r="T226" s="9" t="n">
        <f aca="false">VALUE(SUBSTITUTE(AzymutB!O226,".",","))</f>
        <v>0</v>
      </c>
      <c r="U226" s="9" t="str">
        <f aca="false">SUBSTITUTE(Audioteka!Q228,"-","")</f>
        <v/>
      </c>
    </row>
    <row r="227" customFormat="false" ht="15.75" hidden="false" customHeight="false" outlineLevel="0" collapsed="false">
      <c r="A227" s="8" t="str">
        <f aca="false">SUBSTITUTE(Histmag!B227,"-","")</f>
        <v/>
      </c>
      <c r="B227" s="9" t="n">
        <f aca="false">VALUE(SUBSTITUTE(Histmag!D227,".",","))</f>
        <v>0</v>
      </c>
      <c r="C227" s="8" t="str">
        <f aca="false">SUBSTITUTE(Virtualo!G227,"-","")</f>
        <v/>
      </c>
      <c r="D227" s="8" t="str">
        <f aca="false">SUBSTITUTE(Empik!F227,"-","")</f>
        <v/>
      </c>
      <c r="E227" s="8" t="str">
        <f aca="false">SUBSTITUTE(Publio!H227,"-","")</f>
        <v/>
      </c>
      <c r="F227" s="8" t="n">
        <f aca="false">VALUE(SUBSTITUTE(Publio!Q227,".",","))</f>
        <v>0</v>
      </c>
      <c r="G227" s="8" t="str">
        <f aca="false">IFERROR(IF(SEARCH("-", Nexto!B208), SUBSTITUTE(Nexto!B208,"-","")), "")</f>
        <v/>
      </c>
      <c r="H227" s="8" t="n">
        <f aca="false">IFERROR(VALUE(SUBSTITUTE(Nexto!P212,".",",")),0)</f>
        <v>0</v>
      </c>
      <c r="I227" s="9" t="str">
        <f aca="false">SUBSTITUTE(Azymut!D227,"-","")</f>
        <v/>
      </c>
      <c r="J227" s="9" t="n">
        <f aca="false">VALUE(SUBSTITUTE(Azymut!O227,".",","))</f>
        <v>0</v>
      </c>
      <c r="K227" s="9" t="str">
        <f aca="false">SUBSTITUTE(Ebookpoint!E239,"-","")</f>
        <v/>
      </c>
      <c r="L227" s="9" t="str">
        <f aca="false">SUBSTITUTE(Nasbi!E239,"-","")</f>
        <v/>
      </c>
      <c r="M227" s="9" t="n">
        <f aca="false">VALUE(SUBSTITUTE(StorytelE!G227,".",","))</f>
        <v>0</v>
      </c>
      <c r="N227" s="9" t="n">
        <f aca="false">VALUE(SUBSTITUTE(StorytelA!G227,".",","))</f>
        <v>0</v>
      </c>
      <c r="O227" s="9" t="n">
        <f aca="false">VALUE(SUBSTITUTE(StorytelE!M227,".",","))</f>
        <v>0</v>
      </c>
      <c r="P227" s="9" t="n">
        <f aca="false">VALUE(SUBSTITUTE(StorytelA!M227,".",","))</f>
        <v>0</v>
      </c>
      <c r="Q227" s="29"/>
      <c r="R227" s="29" t="n">
        <f aca="false">VALUE(SUBSTITUTE(Woblink!H239,".",","))</f>
        <v>0</v>
      </c>
      <c r="S227" s="9" t="str">
        <f aca="false">SUBSTITUTE(AzymutB!D227,"-","")</f>
        <v/>
      </c>
      <c r="T227" s="9" t="n">
        <f aca="false">VALUE(SUBSTITUTE(AzymutB!O227,".",","))</f>
        <v>0</v>
      </c>
      <c r="U227" s="9" t="str">
        <f aca="false">SUBSTITUTE(Audioteka!Q229,"-","")</f>
        <v/>
      </c>
    </row>
    <row r="228" customFormat="false" ht="15.75" hidden="false" customHeight="false" outlineLevel="0" collapsed="false">
      <c r="A228" s="8" t="str">
        <f aca="false">SUBSTITUTE(Histmag!B228,"-","")</f>
        <v/>
      </c>
      <c r="B228" s="9" t="n">
        <f aca="false">VALUE(SUBSTITUTE(Histmag!D228,".",","))</f>
        <v>0</v>
      </c>
      <c r="C228" s="8" t="str">
        <f aca="false">SUBSTITUTE(Virtualo!G228,"-","")</f>
        <v/>
      </c>
      <c r="D228" s="8" t="str">
        <f aca="false">SUBSTITUTE(Empik!F228,"-","")</f>
        <v/>
      </c>
      <c r="E228" s="8" t="str">
        <f aca="false">SUBSTITUTE(Publio!H228,"-","")</f>
        <v/>
      </c>
      <c r="F228" s="8" t="n">
        <f aca="false">VALUE(SUBSTITUTE(Publio!Q228,".",","))</f>
        <v>0</v>
      </c>
      <c r="G228" s="8" t="str">
        <f aca="false">IFERROR(IF(SEARCH("-", Nexto!B209), SUBSTITUTE(Nexto!B209,"-","")), "")</f>
        <v/>
      </c>
      <c r="H228" s="8" t="n">
        <f aca="false">IFERROR(VALUE(SUBSTITUTE(Nexto!P213,".",",")),0)</f>
        <v>0</v>
      </c>
      <c r="I228" s="9" t="str">
        <f aca="false">SUBSTITUTE(Azymut!D228,"-","")</f>
        <v/>
      </c>
      <c r="J228" s="9" t="n">
        <f aca="false">VALUE(SUBSTITUTE(Azymut!O228,".",","))</f>
        <v>0</v>
      </c>
      <c r="K228" s="9" t="str">
        <f aca="false">SUBSTITUTE(Ebookpoint!E240,"-","")</f>
        <v/>
      </c>
      <c r="L228" s="9" t="str">
        <f aca="false">SUBSTITUTE(Nasbi!E240,"-","")</f>
        <v/>
      </c>
      <c r="M228" s="9" t="n">
        <f aca="false">VALUE(SUBSTITUTE(StorytelE!G228,".",","))</f>
        <v>0</v>
      </c>
      <c r="N228" s="9" t="n">
        <f aca="false">VALUE(SUBSTITUTE(StorytelA!G228,".",","))</f>
        <v>0</v>
      </c>
      <c r="O228" s="9" t="n">
        <f aca="false">VALUE(SUBSTITUTE(StorytelE!M228,".",","))</f>
        <v>0</v>
      </c>
      <c r="P228" s="9" t="n">
        <f aca="false">VALUE(SUBSTITUTE(StorytelA!M228,".",","))</f>
        <v>0</v>
      </c>
      <c r="Q228" s="29"/>
      <c r="R228" s="29" t="n">
        <f aca="false">VALUE(SUBSTITUTE(Woblink!H240,".",","))</f>
        <v>0</v>
      </c>
      <c r="S228" s="9" t="str">
        <f aca="false">SUBSTITUTE(AzymutB!D228,"-","")</f>
        <v/>
      </c>
      <c r="T228" s="9" t="n">
        <f aca="false">VALUE(SUBSTITUTE(AzymutB!O228,".",","))</f>
        <v>0</v>
      </c>
      <c r="U228" s="9" t="str">
        <f aca="false">SUBSTITUTE(Audioteka!Q230,"-","")</f>
        <v/>
      </c>
    </row>
    <row r="229" customFormat="false" ht="15.75" hidden="false" customHeight="false" outlineLevel="0" collapsed="false">
      <c r="A229" s="8" t="str">
        <f aca="false">SUBSTITUTE(Histmag!B229,"-","")</f>
        <v/>
      </c>
      <c r="B229" s="9" t="n">
        <f aca="false">VALUE(SUBSTITUTE(Histmag!D229,".",","))</f>
        <v>0</v>
      </c>
      <c r="C229" s="8" t="str">
        <f aca="false">SUBSTITUTE(Virtualo!G229,"-","")</f>
        <v/>
      </c>
      <c r="D229" s="8" t="str">
        <f aca="false">SUBSTITUTE(Empik!F229,"-","")</f>
        <v/>
      </c>
      <c r="E229" s="8" t="str">
        <f aca="false">SUBSTITUTE(Publio!H229,"-","")</f>
        <v/>
      </c>
      <c r="F229" s="8" t="n">
        <f aca="false">VALUE(SUBSTITUTE(Publio!Q229,".",","))</f>
        <v>0</v>
      </c>
      <c r="G229" s="8" t="str">
        <f aca="false">IFERROR(IF(SEARCH("-", Nexto!B210), SUBSTITUTE(Nexto!B210,"-","")), "")</f>
        <v/>
      </c>
      <c r="H229" s="8" t="n">
        <f aca="false">IFERROR(VALUE(SUBSTITUTE(Nexto!P214,".",",")),0)</f>
        <v>0</v>
      </c>
      <c r="I229" s="9" t="str">
        <f aca="false">SUBSTITUTE(Azymut!D229,"-","")</f>
        <v/>
      </c>
      <c r="J229" s="9" t="n">
        <f aca="false">VALUE(SUBSTITUTE(Azymut!O229,".",","))</f>
        <v>0</v>
      </c>
      <c r="K229" s="9" t="str">
        <f aca="false">SUBSTITUTE(Ebookpoint!E241,"-","")</f>
        <v/>
      </c>
      <c r="L229" s="9" t="str">
        <f aca="false">SUBSTITUTE(Nasbi!E241,"-","")</f>
        <v/>
      </c>
      <c r="M229" s="9" t="n">
        <f aca="false">VALUE(SUBSTITUTE(StorytelE!G229,".",","))</f>
        <v>0</v>
      </c>
      <c r="N229" s="9" t="n">
        <f aca="false">VALUE(SUBSTITUTE(StorytelA!G229,".",","))</f>
        <v>0</v>
      </c>
      <c r="O229" s="9" t="n">
        <f aca="false">VALUE(SUBSTITUTE(StorytelE!M229,".",","))</f>
        <v>0</v>
      </c>
      <c r="P229" s="9" t="n">
        <f aca="false">VALUE(SUBSTITUTE(StorytelA!M229,".",","))</f>
        <v>0</v>
      </c>
      <c r="Q229" s="29"/>
      <c r="R229" s="29" t="n">
        <f aca="false">VALUE(SUBSTITUTE(Woblink!H241,".",","))</f>
        <v>0</v>
      </c>
      <c r="S229" s="9" t="str">
        <f aca="false">SUBSTITUTE(AzymutB!D229,"-","")</f>
        <v/>
      </c>
      <c r="T229" s="9" t="n">
        <f aca="false">VALUE(SUBSTITUTE(AzymutB!O229,".",","))</f>
        <v>0</v>
      </c>
      <c r="U229" s="9" t="str">
        <f aca="false">SUBSTITUTE(Audioteka!Q231,"-","")</f>
        <v/>
      </c>
    </row>
    <row r="230" customFormat="false" ht="15.75" hidden="false" customHeight="false" outlineLevel="0" collapsed="false">
      <c r="A230" s="8" t="str">
        <f aca="false">SUBSTITUTE(Histmag!B230,"-","")</f>
        <v/>
      </c>
      <c r="B230" s="9" t="n">
        <f aca="false">VALUE(SUBSTITUTE(Histmag!D230,".",","))</f>
        <v>0</v>
      </c>
      <c r="C230" s="8" t="str">
        <f aca="false">SUBSTITUTE(Virtualo!G230,"-","")</f>
        <v/>
      </c>
      <c r="D230" s="8" t="str">
        <f aca="false">SUBSTITUTE(Empik!F230,"-","")</f>
        <v/>
      </c>
      <c r="E230" s="8" t="str">
        <f aca="false">SUBSTITUTE(Publio!H230,"-","")</f>
        <v/>
      </c>
      <c r="F230" s="8" t="n">
        <f aca="false">VALUE(SUBSTITUTE(Publio!Q230,".",","))</f>
        <v>0</v>
      </c>
      <c r="G230" s="8" t="str">
        <f aca="false">IFERROR(IF(SEARCH("-", Nexto!B211), SUBSTITUTE(Nexto!B211,"-","")), "")</f>
        <v/>
      </c>
      <c r="H230" s="8" t="n">
        <f aca="false">IFERROR(VALUE(SUBSTITUTE(Nexto!P215,".",",")),0)</f>
        <v>0</v>
      </c>
      <c r="I230" s="9" t="str">
        <f aca="false">SUBSTITUTE(Azymut!D230,"-","")</f>
        <v/>
      </c>
      <c r="J230" s="9" t="n">
        <f aca="false">VALUE(SUBSTITUTE(Azymut!O230,".",","))</f>
        <v>0</v>
      </c>
      <c r="K230" s="9" t="str">
        <f aca="false">SUBSTITUTE(Ebookpoint!E242,"-","")</f>
        <v/>
      </c>
      <c r="L230" s="9" t="str">
        <f aca="false">SUBSTITUTE(Nasbi!E242,"-","")</f>
        <v/>
      </c>
      <c r="M230" s="9" t="n">
        <f aca="false">VALUE(SUBSTITUTE(StorytelE!G230,".",","))</f>
        <v>0</v>
      </c>
      <c r="N230" s="9" t="n">
        <f aca="false">VALUE(SUBSTITUTE(StorytelA!G230,".",","))</f>
        <v>0</v>
      </c>
      <c r="O230" s="9" t="n">
        <f aca="false">VALUE(SUBSTITUTE(StorytelE!M230,".",","))</f>
        <v>0</v>
      </c>
      <c r="P230" s="9" t="n">
        <f aca="false">VALUE(SUBSTITUTE(StorytelA!M230,".",","))</f>
        <v>0</v>
      </c>
      <c r="Q230" s="29"/>
      <c r="R230" s="29" t="n">
        <f aca="false">VALUE(SUBSTITUTE(Woblink!H242,".",","))</f>
        <v>0</v>
      </c>
      <c r="S230" s="9" t="str">
        <f aca="false">SUBSTITUTE(AzymutB!D230,"-","")</f>
        <v/>
      </c>
      <c r="T230" s="9" t="n">
        <f aca="false">VALUE(SUBSTITUTE(AzymutB!O230,".",","))</f>
        <v>0</v>
      </c>
      <c r="U230" s="9" t="str">
        <f aca="false">SUBSTITUTE(Audioteka!Q232,"-","")</f>
        <v/>
      </c>
    </row>
    <row r="231" customFormat="false" ht="15.75" hidden="false" customHeight="false" outlineLevel="0" collapsed="false">
      <c r="A231" s="8" t="str">
        <f aca="false">SUBSTITUTE(Histmag!B231,"-","")</f>
        <v/>
      </c>
      <c r="B231" s="9" t="n">
        <f aca="false">VALUE(SUBSTITUTE(Histmag!D231,".",","))</f>
        <v>0</v>
      </c>
      <c r="C231" s="8" t="str">
        <f aca="false">SUBSTITUTE(Virtualo!G231,"-","")</f>
        <v/>
      </c>
      <c r="D231" s="8" t="str">
        <f aca="false">SUBSTITUTE(Empik!F231,"-","")</f>
        <v/>
      </c>
      <c r="E231" s="8" t="str">
        <f aca="false">SUBSTITUTE(Publio!H231,"-","")</f>
        <v/>
      </c>
      <c r="F231" s="8" t="n">
        <f aca="false">VALUE(SUBSTITUTE(Publio!Q231,".",","))</f>
        <v>0</v>
      </c>
      <c r="G231" s="8" t="str">
        <f aca="false">IFERROR(IF(SEARCH("-", Nexto!B212), SUBSTITUTE(Nexto!B212,"-","")), "")</f>
        <v/>
      </c>
      <c r="H231" s="8" t="n">
        <f aca="false">IFERROR(VALUE(SUBSTITUTE(Nexto!P216,".",",")),0)</f>
        <v>0</v>
      </c>
      <c r="I231" s="9" t="str">
        <f aca="false">SUBSTITUTE(Azymut!D231,"-","")</f>
        <v/>
      </c>
      <c r="J231" s="9" t="n">
        <f aca="false">VALUE(SUBSTITUTE(Azymut!O231,".",","))</f>
        <v>0</v>
      </c>
      <c r="K231" s="9" t="str">
        <f aca="false">SUBSTITUTE(Ebookpoint!E243,"-","")</f>
        <v/>
      </c>
      <c r="L231" s="9" t="str">
        <f aca="false">SUBSTITUTE(Nasbi!E243,"-","")</f>
        <v/>
      </c>
      <c r="M231" s="9" t="n">
        <f aca="false">VALUE(SUBSTITUTE(StorytelE!G231,".",","))</f>
        <v>0</v>
      </c>
      <c r="N231" s="9" t="n">
        <f aca="false">VALUE(SUBSTITUTE(StorytelA!G231,".",","))</f>
        <v>0</v>
      </c>
      <c r="O231" s="9" t="n">
        <f aca="false">VALUE(SUBSTITUTE(StorytelE!M231,".",","))</f>
        <v>0</v>
      </c>
      <c r="P231" s="9" t="n">
        <f aca="false">VALUE(SUBSTITUTE(StorytelA!M231,".",","))</f>
        <v>0</v>
      </c>
      <c r="Q231" s="29"/>
      <c r="R231" s="29" t="n">
        <f aca="false">VALUE(SUBSTITUTE(Woblink!H243,".",","))</f>
        <v>0</v>
      </c>
      <c r="S231" s="9" t="str">
        <f aca="false">SUBSTITUTE(AzymutB!D231,"-","")</f>
        <v/>
      </c>
      <c r="T231" s="9" t="n">
        <f aca="false">VALUE(SUBSTITUTE(AzymutB!O231,".",","))</f>
        <v>0</v>
      </c>
      <c r="U231" s="9" t="str">
        <f aca="false">SUBSTITUTE(Audioteka!Q233,"-","")</f>
        <v/>
      </c>
    </row>
    <row r="232" customFormat="false" ht="15.75" hidden="false" customHeight="false" outlineLevel="0" collapsed="false">
      <c r="A232" s="8" t="str">
        <f aca="false">SUBSTITUTE(Histmag!B232,"-","")</f>
        <v/>
      </c>
      <c r="B232" s="9" t="n">
        <f aca="false">VALUE(SUBSTITUTE(Histmag!D232,".",","))</f>
        <v>0</v>
      </c>
      <c r="C232" s="8" t="str">
        <f aca="false">SUBSTITUTE(Virtualo!G232,"-","")</f>
        <v/>
      </c>
      <c r="D232" s="8" t="str">
        <f aca="false">SUBSTITUTE(Empik!F232,"-","")</f>
        <v/>
      </c>
      <c r="E232" s="8" t="str">
        <f aca="false">SUBSTITUTE(Publio!H232,"-","")</f>
        <v/>
      </c>
      <c r="F232" s="8" t="n">
        <f aca="false">VALUE(SUBSTITUTE(Publio!Q232,".",","))</f>
        <v>0</v>
      </c>
      <c r="G232" s="8" t="str">
        <f aca="false">IFERROR(IF(SEARCH("-", Nexto!B213), SUBSTITUTE(Nexto!B213,"-","")), "")</f>
        <v/>
      </c>
      <c r="H232" s="8" t="n">
        <f aca="false">IFERROR(VALUE(SUBSTITUTE(Nexto!P217,".",",")),0)</f>
        <v>0</v>
      </c>
      <c r="I232" s="9" t="str">
        <f aca="false">SUBSTITUTE(Azymut!D232,"-","")</f>
        <v/>
      </c>
      <c r="J232" s="9" t="n">
        <f aca="false">VALUE(SUBSTITUTE(Azymut!O232,".",","))</f>
        <v>0</v>
      </c>
      <c r="K232" s="9" t="str">
        <f aca="false">SUBSTITUTE(Ebookpoint!E244,"-","")</f>
        <v/>
      </c>
      <c r="L232" s="9" t="str">
        <f aca="false">SUBSTITUTE(Nasbi!E244,"-","")</f>
        <v/>
      </c>
      <c r="M232" s="9" t="n">
        <f aca="false">VALUE(SUBSTITUTE(StorytelE!G232,".",","))</f>
        <v>0</v>
      </c>
      <c r="N232" s="9" t="n">
        <f aca="false">VALUE(SUBSTITUTE(StorytelA!G232,".",","))</f>
        <v>0</v>
      </c>
      <c r="O232" s="9" t="n">
        <f aca="false">VALUE(SUBSTITUTE(StorytelE!M232,".",","))</f>
        <v>0</v>
      </c>
      <c r="P232" s="9" t="n">
        <f aca="false">VALUE(SUBSTITUTE(StorytelA!M232,".",","))</f>
        <v>0</v>
      </c>
      <c r="Q232" s="29"/>
      <c r="R232" s="29" t="n">
        <f aca="false">VALUE(SUBSTITUTE(Woblink!H244,".",","))</f>
        <v>0</v>
      </c>
      <c r="S232" s="9" t="str">
        <f aca="false">SUBSTITUTE(AzymutB!D232,"-","")</f>
        <v/>
      </c>
      <c r="T232" s="9" t="n">
        <f aca="false">VALUE(SUBSTITUTE(AzymutB!O232,".",","))</f>
        <v>0</v>
      </c>
      <c r="U232" s="9" t="str">
        <f aca="false">SUBSTITUTE(Audioteka!Q234,"-","")</f>
        <v/>
      </c>
    </row>
    <row r="233" customFormat="false" ht="15.75" hidden="false" customHeight="false" outlineLevel="0" collapsed="false">
      <c r="A233" s="8" t="str">
        <f aca="false">SUBSTITUTE(Histmag!B233,"-","")</f>
        <v/>
      </c>
      <c r="B233" s="9" t="n">
        <f aca="false">VALUE(SUBSTITUTE(Histmag!D233,".",","))</f>
        <v>0</v>
      </c>
      <c r="C233" s="8" t="str">
        <f aca="false">SUBSTITUTE(Virtualo!G233,"-","")</f>
        <v/>
      </c>
      <c r="D233" s="8" t="str">
        <f aca="false">SUBSTITUTE(Empik!F233,"-","")</f>
        <v/>
      </c>
      <c r="E233" s="8" t="str">
        <f aca="false">SUBSTITUTE(Publio!H233,"-","")</f>
        <v/>
      </c>
      <c r="F233" s="8" t="n">
        <f aca="false">VALUE(SUBSTITUTE(Publio!Q233,".",","))</f>
        <v>0</v>
      </c>
      <c r="G233" s="8" t="str">
        <f aca="false">IFERROR(IF(SEARCH("-", Nexto!B214), SUBSTITUTE(Nexto!B214,"-","")), "")</f>
        <v/>
      </c>
      <c r="H233" s="8" t="n">
        <f aca="false">IFERROR(VALUE(SUBSTITUTE(Nexto!P218,".",",")),0)</f>
        <v>0</v>
      </c>
      <c r="I233" s="9" t="str">
        <f aca="false">SUBSTITUTE(Azymut!D233,"-","")</f>
        <v/>
      </c>
      <c r="J233" s="9" t="n">
        <f aca="false">VALUE(SUBSTITUTE(Azymut!O233,".",","))</f>
        <v>0</v>
      </c>
      <c r="K233" s="9" t="str">
        <f aca="false">SUBSTITUTE(Ebookpoint!E245,"-","")</f>
        <v/>
      </c>
      <c r="L233" s="9" t="str">
        <f aca="false">SUBSTITUTE(Nasbi!E245,"-","")</f>
        <v/>
      </c>
      <c r="M233" s="9" t="n">
        <f aca="false">VALUE(SUBSTITUTE(StorytelE!G233,".",","))</f>
        <v>0</v>
      </c>
      <c r="N233" s="9" t="n">
        <f aca="false">VALUE(SUBSTITUTE(StorytelA!G233,".",","))</f>
        <v>0</v>
      </c>
      <c r="O233" s="9" t="n">
        <f aca="false">VALUE(SUBSTITUTE(StorytelE!M233,".",","))</f>
        <v>0</v>
      </c>
      <c r="P233" s="9" t="n">
        <f aca="false">VALUE(SUBSTITUTE(StorytelA!M233,".",","))</f>
        <v>0</v>
      </c>
      <c r="Q233" s="29"/>
      <c r="R233" s="29" t="n">
        <f aca="false">VALUE(SUBSTITUTE(Woblink!H245,".",","))</f>
        <v>0</v>
      </c>
      <c r="S233" s="9" t="str">
        <f aca="false">SUBSTITUTE(AzymutB!D233,"-","")</f>
        <v/>
      </c>
      <c r="T233" s="9" t="n">
        <f aca="false">VALUE(SUBSTITUTE(AzymutB!O233,".",","))</f>
        <v>0</v>
      </c>
      <c r="U233" s="9" t="str">
        <f aca="false">SUBSTITUTE(Audioteka!Q235,"-","")</f>
        <v/>
      </c>
    </row>
    <row r="234" customFormat="false" ht="15.75" hidden="false" customHeight="false" outlineLevel="0" collapsed="false">
      <c r="A234" s="8" t="str">
        <f aca="false">SUBSTITUTE(Histmag!B234,"-","")</f>
        <v/>
      </c>
      <c r="B234" s="9" t="n">
        <f aca="false">VALUE(SUBSTITUTE(Histmag!D234,".",","))</f>
        <v>0</v>
      </c>
      <c r="C234" s="8" t="str">
        <f aca="false">SUBSTITUTE(Virtualo!G234,"-","")</f>
        <v/>
      </c>
      <c r="D234" s="8" t="str">
        <f aca="false">SUBSTITUTE(Empik!F234,"-","")</f>
        <v/>
      </c>
      <c r="E234" s="8" t="str">
        <f aca="false">SUBSTITUTE(Publio!H234,"-","")</f>
        <v/>
      </c>
      <c r="F234" s="8" t="n">
        <f aca="false">VALUE(SUBSTITUTE(Publio!Q234,".",","))</f>
        <v>0</v>
      </c>
      <c r="G234" s="8" t="str">
        <f aca="false">IFERROR(IF(SEARCH("-", Nexto!B215), SUBSTITUTE(Nexto!B215,"-","")), "")</f>
        <v/>
      </c>
      <c r="H234" s="8" t="n">
        <f aca="false">IFERROR(VALUE(SUBSTITUTE(Nexto!P219,".",",")),0)</f>
        <v>0</v>
      </c>
      <c r="I234" s="9" t="str">
        <f aca="false">SUBSTITUTE(Azymut!D234,"-","")</f>
        <v/>
      </c>
      <c r="J234" s="9" t="n">
        <f aca="false">VALUE(SUBSTITUTE(Azymut!O234,".",","))</f>
        <v>0</v>
      </c>
      <c r="K234" s="9" t="str">
        <f aca="false">SUBSTITUTE(Ebookpoint!E246,"-","")</f>
        <v/>
      </c>
      <c r="L234" s="9" t="str">
        <f aca="false">SUBSTITUTE(Nasbi!E246,"-","")</f>
        <v/>
      </c>
      <c r="M234" s="9" t="n">
        <f aca="false">VALUE(SUBSTITUTE(StorytelE!G234,".",","))</f>
        <v>0</v>
      </c>
      <c r="N234" s="9" t="n">
        <f aca="false">VALUE(SUBSTITUTE(StorytelA!G234,".",","))</f>
        <v>0</v>
      </c>
      <c r="O234" s="9" t="n">
        <f aca="false">VALUE(SUBSTITUTE(StorytelE!M234,".",","))</f>
        <v>0</v>
      </c>
      <c r="P234" s="9" t="n">
        <f aca="false">VALUE(SUBSTITUTE(StorytelA!M234,".",","))</f>
        <v>0</v>
      </c>
      <c r="Q234" s="29"/>
      <c r="R234" s="29" t="n">
        <f aca="false">VALUE(SUBSTITUTE(Woblink!H246,".",","))</f>
        <v>0</v>
      </c>
      <c r="S234" s="9" t="str">
        <f aca="false">SUBSTITUTE(AzymutB!D234,"-","")</f>
        <v/>
      </c>
      <c r="T234" s="9" t="n">
        <f aca="false">VALUE(SUBSTITUTE(AzymutB!O234,".",","))</f>
        <v>0</v>
      </c>
      <c r="U234" s="9" t="str">
        <f aca="false">SUBSTITUTE(Audioteka!Q236,"-","")</f>
        <v/>
      </c>
    </row>
    <row r="235" customFormat="false" ht="15.75" hidden="false" customHeight="false" outlineLevel="0" collapsed="false">
      <c r="A235" s="8" t="str">
        <f aca="false">SUBSTITUTE(Histmag!B235,"-","")</f>
        <v/>
      </c>
      <c r="B235" s="9" t="n">
        <f aca="false">VALUE(SUBSTITUTE(Histmag!D235,".",","))</f>
        <v>0</v>
      </c>
      <c r="C235" s="8" t="str">
        <f aca="false">SUBSTITUTE(Virtualo!G235,"-","")</f>
        <v/>
      </c>
      <c r="D235" s="8" t="str">
        <f aca="false">SUBSTITUTE(Empik!F235,"-","")</f>
        <v/>
      </c>
      <c r="E235" s="8" t="str">
        <f aca="false">SUBSTITUTE(Publio!H235,"-","")</f>
        <v/>
      </c>
      <c r="F235" s="8" t="n">
        <f aca="false">VALUE(SUBSTITUTE(Publio!Q235,".",","))</f>
        <v>0</v>
      </c>
      <c r="G235" s="8" t="str">
        <f aca="false">IFERROR(IF(SEARCH("-", Nexto!B216), SUBSTITUTE(Nexto!B216,"-","")), "")</f>
        <v/>
      </c>
      <c r="H235" s="8" t="n">
        <f aca="false">IFERROR(VALUE(SUBSTITUTE(Nexto!P220,".",",")),0)</f>
        <v>0</v>
      </c>
      <c r="I235" s="9" t="str">
        <f aca="false">SUBSTITUTE(Azymut!D235,"-","")</f>
        <v/>
      </c>
      <c r="J235" s="9" t="n">
        <f aca="false">VALUE(SUBSTITUTE(Azymut!O235,".",","))</f>
        <v>0</v>
      </c>
      <c r="K235" s="9" t="str">
        <f aca="false">SUBSTITUTE(Ebookpoint!E247,"-","")</f>
        <v/>
      </c>
      <c r="L235" s="9" t="str">
        <f aca="false">SUBSTITUTE(Nasbi!E247,"-","")</f>
        <v/>
      </c>
      <c r="M235" s="9" t="n">
        <f aca="false">VALUE(SUBSTITUTE(StorytelE!G235,".",","))</f>
        <v>0</v>
      </c>
      <c r="N235" s="9" t="n">
        <f aca="false">VALUE(SUBSTITUTE(StorytelA!G235,".",","))</f>
        <v>0</v>
      </c>
      <c r="O235" s="9" t="n">
        <f aca="false">VALUE(SUBSTITUTE(StorytelE!M235,".",","))</f>
        <v>0</v>
      </c>
      <c r="P235" s="9" t="n">
        <f aca="false">VALUE(SUBSTITUTE(StorytelA!M235,".",","))</f>
        <v>0</v>
      </c>
      <c r="Q235" s="29"/>
      <c r="R235" s="29" t="n">
        <f aca="false">VALUE(SUBSTITUTE(Woblink!H247,".",","))</f>
        <v>0</v>
      </c>
      <c r="S235" s="9" t="str">
        <f aca="false">SUBSTITUTE(AzymutB!D235,"-","")</f>
        <v/>
      </c>
      <c r="T235" s="9" t="n">
        <f aca="false">VALUE(SUBSTITUTE(AzymutB!O235,".",","))</f>
        <v>0</v>
      </c>
      <c r="U235" s="9" t="str">
        <f aca="false">SUBSTITUTE(Audioteka!Q237,"-","")</f>
        <v/>
      </c>
    </row>
    <row r="236" customFormat="false" ht="15.75" hidden="false" customHeight="false" outlineLevel="0" collapsed="false">
      <c r="A236" s="8" t="str">
        <f aca="false">SUBSTITUTE(Histmag!B236,"-","")</f>
        <v/>
      </c>
      <c r="B236" s="9" t="n">
        <f aca="false">VALUE(SUBSTITUTE(Histmag!D236,".",","))</f>
        <v>0</v>
      </c>
      <c r="C236" s="8" t="str">
        <f aca="false">SUBSTITUTE(Virtualo!G236,"-","")</f>
        <v/>
      </c>
      <c r="D236" s="8" t="str">
        <f aca="false">SUBSTITUTE(Empik!F236,"-","")</f>
        <v/>
      </c>
      <c r="E236" s="8" t="str">
        <f aca="false">SUBSTITUTE(Publio!H236,"-","")</f>
        <v/>
      </c>
      <c r="F236" s="8" t="n">
        <f aca="false">VALUE(SUBSTITUTE(Publio!Q236,".",","))</f>
        <v>0</v>
      </c>
      <c r="G236" s="8" t="str">
        <f aca="false">IFERROR(IF(SEARCH("-", Nexto!B217), SUBSTITUTE(Nexto!B217,"-","")), "")</f>
        <v/>
      </c>
      <c r="H236" s="8" t="n">
        <f aca="false">IFERROR(VALUE(SUBSTITUTE(Nexto!P221,".",",")),0)</f>
        <v>0</v>
      </c>
      <c r="I236" s="9" t="str">
        <f aca="false">SUBSTITUTE(Azymut!D236,"-","")</f>
        <v/>
      </c>
      <c r="J236" s="9" t="n">
        <f aca="false">VALUE(SUBSTITUTE(Azymut!O236,".",","))</f>
        <v>0</v>
      </c>
      <c r="K236" s="9" t="str">
        <f aca="false">SUBSTITUTE(Ebookpoint!E248,"-","")</f>
        <v/>
      </c>
      <c r="L236" s="9" t="str">
        <f aca="false">SUBSTITUTE(Nasbi!E248,"-","")</f>
        <v/>
      </c>
      <c r="M236" s="9" t="n">
        <f aca="false">VALUE(SUBSTITUTE(StorytelE!G236,".",","))</f>
        <v>0</v>
      </c>
      <c r="N236" s="9" t="n">
        <f aca="false">VALUE(SUBSTITUTE(StorytelA!G236,".",","))</f>
        <v>0</v>
      </c>
      <c r="O236" s="9" t="n">
        <f aca="false">VALUE(SUBSTITUTE(StorytelE!M236,".",","))</f>
        <v>0</v>
      </c>
      <c r="P236" s="9" t="n">
        <f aca="false">VALUE(SUBSTITUTE(StorytelA!M236,".",","))</f>
        <v>0</v>
      </c>
      <c r="Q236" s="29"/>
      <c r="R236" s="29" t="n">
        <f aca="false">VALUE(SUBSTITUTE(Woblink!H248,".",","))</f>
        <v>0</v>
      </c>
      <c r="S236" s="9" t="str">
        <f aca="false">SUBSTITUTE(AzymutB!D236,"-","")</f>
        <v/>
      </c>
      <c r="T236" s="9" t="n">
        <f aca="false">VALUE(SUBSTITUTE(AzymutB!O236,".",","))</f>
        <v>0</v>
      </c>
      <c r="U236" s="9" t="str">
        <f aca="false">SUBSTITUTE(Audioteka!Q238,"-","")</f>
        <v/>
      </c>
    </row>
    <row r="237" customFormat="false" ht="15.75" hidden="false" customHeight="false" outlineLevel="0" collapsed="false">
      <c r="A237" s="8" t="str">
        <f aca="false">SUBSTITUTE(Histmag!B237,"-","")</f>
        <v/>
      </c>
      <c r="B237" s="9" t="n">
        <f aca="false">VALUE(SUBSTITUTE(Histmag!D237,".",","))</f>
        <v>0</v>
      </c>
      <c r="C237" s="8" t="str">
        <f aca="false">SUBSTITUTE(Virtualo!G237,"-","")</f>
        <v/>
      </c>
      <c r="D237" s="8" t="str">
        <f aca="false">SUBSTITUTE(Empik!F237,"-","")</f>
        <v/>
      </c>
      <c r="E237" s="8" t="str">
        <f aca="false">SUBSTITUTE(Publio!H237,"-","")</f>
        <v/>
      </c>
      <c r="F237" s="8" t="n">
        <f aca="false">VALUE(SUBSTITUTE(Publio!Q237,".",","))</f>
        <v>0</v>
      </c>
      <c r="G237" s="8" t="str">
        <f aca="false">IFERROR(IF(SEARCH("-", Nexto!B218), SUBSTITUTE(Nexto!B218,"-","")), "")</f>
        <v/>
      </c>
      <c r="H237" s="8" t="n">
        <f aca="false">IFERROR(VALUE(SUBSTITUTE(Nexto!P222,".",",")),0)</f>
        <v>0</v>
      </c>
      <c r="I237" s="9" t="str">
        <f aca="false">SUBSTITUTE(Azymut!D237,"-","")</f>
        <v/>
      </c>
      <c r="J237" s="9" t="n">
        <f aca="false">VALUE(SUBSTITUTE(Azymut!O237,".",","))</f>
        <v>0</v>
      </c>
      <c r="K237" s="9" t="str">
        <f aca="false">SUBSTITUTE(Ebookpoint!E249,"-","")</f>
        <v/>
      </c>
      <c r="L237" s="9" t="str">
        <f aca="false">SUBSTITUTE(Nasbi!E249,"-","")</f>
        <v/>
      </c>
      <c r="M237" s="9" t="n">
        <f aca="false">VALUE(SUBSTITUTE(StorytelE!G237,".",","))</f>
        <v>0</v>
      </c>
      <c r="N237" s="9" t="n">
        <f aca="false">VALUE(SUBSTITUTE(StorytelA!G237,".",","))</f>
        <v>0</v>
      </c>
      <c r="O237" s="9" t="n">
        <f aca="false">VALUE(SUBSTITUTE(StorytelE!M237,".",","))</f>
        <v>0</v>
      </c>
      <c r="P237" s="9" t="n">
        <f aca="false">VALUE(SUBSTITUTE(StorytelA!M237,".",","))</f>
        <v>0</v>
      </c>
      <c r="Q237" s="29"/>
      <c r="R237" s="29" t="n">
        <f aca="false">VALUE(SUBSTITUTE(Woblink!H249,".",","))</f>
        <v>0</v>
      </c>
      <c r="S237" s="9" t="str">
        <f aca="false">SUBSTITUTE(AzymutB!D237,"-","")</f>
        <v/>
      </c>
      <c r="T237" s="9" t="n">
        <f aca="false">VALUE(SUBSTITUTE(AzymutB!O237,".",","))</f>
        <v>0</v>
      </c>
      <c r="U237" s="9" t="str">
        <f aca="false">SUBSTITUTE(Audioteka!Q239,"-","")</f>
        <v/>
      </c>
    </row>
    <row r="238" customFormat="false" ht="15.75" hidden="false" customHeight="false" outlineLevel="0" collapsed="false">
      <c r="A238" s="8" t="str">
        <f aca="false">SUBSTITUTE(Histmag!B238,"-","")</f>
        <v/>
      </c>
      <c r="B238" s="9" t="n">
        <f aca="false">VALUE(SUBSTITUTE(Histmag!D238,".",","))</f>
        <v>0</v>
      </c>
      <c r="C238" s="8" t="str">
        <f aca="false">SUBSTITUTE(Virtualo!G238,"-","")</f>
        <v/>
      </c>
      <c r="D238" s="8" t="str">
        <f aca="false">SUBSTITUTE(Empik!F238,"-","")</f>
        <v/>
      </c>
      <c r="E238" s="8" t="str">
        <f aca="false">SUBSTITUTE(Publio!H238,"-","")</f>
        <v/>
      </c>
      <c r="F238" s="8" t="n">
        <f aca="false">VALUE(SUBSTITUTE(Publio!Q238,".",","))</f>
        <v>0</v>
      </c>
      <c r="G238" s="8" t="str">
        <f aca="false">IFERROR(IF(SEARCH("-", Nexto!B219), SUBSTITUTE(Nexto!B219,"-","")), "")</f>
        <v/>
      </c>
      <c r="H238" s="8" t="n">
        <f aca="false">IFERROR(VALUE(SUBSTITUTE(Nexto!P223,".",",")),0)</f>
        <v>0</v>
      </c>
      <c r="I238" s="9" t="str">
        <f aca="false">SUBSTITUTE(Azymut!D238,"-","")</f>
        <v/>
      </c>
      <c r="J238" s="9" t="n">
        <f aca="false">VALUE(SUBSTITUTE(Azymut!O238,".",","))</f>
        <v>0</v>
      </c>
      <c r="K238" s="9" t="str">
        <f aca="false">SUBSTITUTE(Ebookpoint!E250,"-","")</f>
        <v/>
      </c>
      <c r="L238" s="9" t="str">
        <f aca="false">SUBSTITUTE(Nasbi!E250,"-","")</f>
        <v/>
      </c>
      <c r="M238" s="9" t="n">
        <f aca="false">VALUE(SUBSTITUTE(StorytelE!G238,".",","))</f>
        <v>0</v>
      </c>
      <c r="N238" s="9" t="n">
        <f aca="false">VALUE(SUBSTITUTE(StorytelA!G238,".",","))</f>
        <v>0</v>
      </c>
      <c r="O238" s="9" t="n">
        <f aca="false">VALUE(SUBSTITUTE(StorytelE!M238,".",","))</f>
        <v>0</v>
      </c>
      <c r="P238" s="9" t="n">
        <f aca="false">VALUE(SUBSTITUTE(StorytelA!M238,".",","))</f>
        <v>0</v>
      </c>
      <c r="Q238" s="29"/>
      <c r="R238" s="29" t="n">
        <f aca="false">VALUE(SUBSTITUTE(Woblink!H250,".",","))</f>
        <v>0</v>
      </c>
      <c r="S238" s="9" t="str">
        <f aca="false">SUBSTITUTE(AzymutB!D238,"-","")</f>
        <v/>
      </c>
      <c r="T238" s="9" t="n">
        <f aca="false">VALUE(SUBSTITUTE(AzymutB!O238,".",","))</f>
        <v>0</v>
      </c>
      <c r="U238" s="9" t="str">
        <f aca="false">SUBSTITUTE(Audioteka!Q240,"-","")</f>
        <v/>
      </c>
    </row>
    <row r="239" customFormat="false" ht="15.75" hidden="false" customHeight="false" outlineLevel="0" collapsed="false">
      <c r="A239" s="8" t="str">
        <f aca="false">SUBSTITUTE(Histmag!B239,"-","")</f>
        <v/>
      </c>
      <c r="B239" s="9" t="n">
        <f aca="false">VALUE(SUBSTITUTE(Histmag!D239,".",","))</f>
        <v>0</v>
      </c>
      <c r="C239" s="8" t="str">
        <f aca="false">SUBSTITUTE(Virtualo!G239,"-","")</f>
        <v/>
      </c>
      <c r="D239" s="8" t="str">
        <f aca="false">SUBSTITUTE(Empik!F239,"-","")</f>
        <v/>
      </c>
      <c r="E239" s="8" t="str">
        <f aca="false">SUBSTITUTE(Publio!H239,"-","")</f>
        <v/>
      </c>
      <c r="F239" s="8" t="n">
        <f aca="false">VALUE(SUBSTITUTE(Publio!Q239,".",","))</f>
        <v>0</v>
      </c>
      <c r="G239" s="8" t="str">
        <f aca="false">IFERROR(IF(SEARCH("-", Nexto!B220), SUBSTITUTE(Nexto!B220,"-","")), "")</f>
        <v/>
      </c>
      <c r="H239" s="8" t="n">
        <f aca="false">IFERROR(VALUE(SUBSTITUTE(Nexto!P224,".",",")),0)</f>
        <v>0</v>
      </c>
      <c r="I239" s="9" t="str">
        <f aca="false">SUBSTITUTE(Azymut!D239,"-","")</f>
        <v/>
      </c>
      <c r="J239" s="9" t="n">
        <f aca="false">VALUE(SUBSTITUTE(Azymut!O239,".",","))</f>
        <v>0</v>
      </c>
      <c r="K239" s="9" t="str">
        <f aca="false">SUBSTITUTE(Ebookpoint!E251,"-","")</f>
        <v/>
      </c>
      <c r="L239" s="9" t="str">
        <f aca="false">SUBSTITUTE(Nasbi!E251,"-","")</f>
        <v/>
      </c>
      <c r="M239" s="9" t="n">
        <f aca="false">VALUE(SUBSTITUTE(StorytelE!G239,".",","))</f>
        <v>0</v>
      </c>
      <c r="N239" s="9" t="n">
        <f aca="false">VALUE(SUBSTITUTE(StorytelA!G239,".",","))</f>
        <v>0</v>
      </c>
      <c r="O239" s="9" t="n">
        <f aca="false">VALUE(SUBSTITUTE(StorytelE!M239,".",","))</f>
        <v>0</v>
      </c>
      <c r="P239" s="9" t="n">
        <f aca="false">VALUE(SUBSTITUTE(StorytelA!M239,".",","))</f>
        <v>0</v>
      </c>
      <c r="Q239" s="29"/>
      <c r="R239" s="29" t="n">
        <f aca="false">VALUE(SUBSTITUTE(Woblink!H251,".",","))</f>
        <v>0</v>
      </c>
      <c r="S239" s="9" t="str">
        <f aca="false">SUBSTITUTE(AzymutB!D239,"-","")</f>
        <v/>
      </c>
      <c r="T239" s="9" t="n">
        <f aca="false">VALUE(SUBSTITUTE(AzymutB!O239,".",","))</f>
        <v>0</v>
      </c>
      <c r="U239" s="9" t="str">
        <f aca="false">SUBSTITUTE(Audioteka!Q241,"-","")</f>
        <v/>
      </c>
    </row>
    <row r="240" customFormat="false" ht="15.75" hidden="false" customHeight="false" outlineLevel="0" collapsed="false">
      <c r="A240" s="8" t="str">
        <f aca="false">SUBSTITUTE(Histmag!B240,"-","")</f>
        <v/>
      </c>
      <c r="B240" s="9" t="n">
        <f aca="false">VALUE(SUBSTITUTE(Histmag!D240,".",","))</f>
        <v>0</v>
      </c>
      <c r="C240" s="8" t="str">
        <f aca="false">SUBSTITUTE(Virtualo!G240,"-","")</f>
        <v/>
      </c>
      <c r="D240" s="8" t="str">
        <f aca="false">SUBSTITUTE(Empik!F240,"-","")</f>
        <v/>
      </c>
      <c r="E240" s="8" t="str">
        <f aca="false">SUBSTITUTE(Publio!H240,"-","")</f>
        <v/>
      </c>
      <c r="F240" s="8" t="n">
        <f aca="false">VALUE(SUBSTITUTE(Publio!Q240,".",","))</f>
        <v>0</v>
      </c>
      <c r="G240" s="8" t="str">
        <f aca="false">IFERROR(IF(SEARCH("-", Nexto!B221), SUBSTITUTE(Nexto!B221,"-","")), "")</f>
        <v/>
      </c>
      <c r="H240" s="8" t="n">
        <f aca="false">IFERROR(VALUE(SUBSTITUTE(Nexto!P225,".",",")),0)</f>
        <v>0</v>
      </c>
      <c r="I240" s="9" t="str">
        <f aca="false">SUBSTITUTE(Azymut!D240,"-","")</f>
        <v/>
      </c>
      <c r="J240" s="9" t="n">
        <f aca="false">VALUE(SUBSTITUTE(Azymut!O240,".",","))</f>
        <v>0</v>
      </c>
      <c r="K240" s="9" t="str">
        <f aca="false">SUBSTITUTE(Ebookpoint!E252,"-","")</f>
        <v/>
      </c>
      <c r="L240" s="9" t="str">
        <f aca="false">SUBSTITUTE(Nasbi!E252,"-","")</f>
        <v/>
      </c>
      <c r="M240" s="9" t="n">
        <f aca="false">VALUE(SUBSTITUTE(StorytelE!G240,".",","))</f>
        <v>0</v>
      </c>
      <c r="N240" s="9" t="n">
        <f aca="false">VALUE(SUBSTITUTE(StorytelA!G240,".",","))</f>
        <v>0</v>
      </c>
      <c r="O240" s="9" t="n">
        <f aca="false">VALUE(SUBSTITUTE(StorytelE!M240,".",","))</f>
        <v>0</v>
      </c>
      <c r="P240" s="9" t="n">
        <f aca="false">VALUE(SUBSTITUTE(StorytelA!M240,".",","))</f>
        <v>0</v>
      </c>
      <c r="Q240" s="29"/>
      <c r="R240" s="29" t="n">
        <f aca="false">VALUE(SUBSTITUTE(Woblink!H252,".",","))</f>
        <v>0</v>
      </c>
      <c r="S240" s="9" t="str">
        <f aca="false">SUBSTITUTE(AzymutB!D240,"-","")</f>
        <v/>
      </c>
      <c r="T240" s="9" t="n">
        <f aca="false">VALUE(SUBSTITUTE(AzymutB!O240,".",","))</f>
        <v>0</v>
      </c>
      <c r="U240" s="9" t="str">
        <f aca="false">SUBSTITUTE(Audioteka!Q242,"-","")</f>
        <v/>
      </c>
    </row>
    <row r="241" customFormat="false" ht="15.75" hidden="false" customHeight="false" outlineLevel="0" collapsed="false">
      <c r="A241" s="8" t="str">
        <f aca="false">SUBSTITUTE(Histmag!B241,"-","")</f>
        <v/>
      </c>
      <c r="B241" s="9" t="n">
        <f aca="false">VALUE(SUBSTITUTE(Histmag!D241,".",","))</f>
        <v>0</v>
      </c>
      <c r="C241" s="8" t="str">
        <f aca="false">SUBSTITUTE(Virtualo!G241,"-","")</f>
        <v/>
      </c>
      <c r="D241" s="8" t="str">
        <f aca="false">SUBSTITUTE(Empik!F241,"-","")</f>
        <v/>
      </c>
      <c r="E241" s="8" t="str">
        <f aca="false">SUBSTITUTE(Publio!H241,"-","")</f>
        <v/>
      </c>
      <c r="F241" s="8" t="n">
        <f aca="false">VALUE(SUBSTITUTE(Publio!Q241,".",","))</f>
        <v>0</v>
      </c>
      <c r="G241" s="8" t="str">
        <f aca="false">IFERROR(IF(SEARCH("-", Nexto!B222), SUBSTITUTE(Nexto!B222,"-","")), "")</f>
        <v/>
      </c>
      <c r="H241" s="8" t="n">
        <f aca="false">IFERROR(VALUE(SUBSTITUTE(Nexto!P226,".",",")),0)</f>
        <v>0</v>
      </c>
      <c r="I241" s="9" t="str">
        <f aca="false">SUBSTITUTE(Azymut!D241,"-","")</f>
        <v/>
      </c>
      <c r="J241" s="9" t="n">
        <f aca="false">VALUE(SUBSTITUTE(Azymut!O241,".",","))</f>
        <v>0</v>
      </c>
      <c r="K241" s="9" t="str">
        <f aca="false">SUBSTITUTE(Ebookpoint!E253,"-","")</f>
        <v/>
      </c>
      <c r="L241" s="9" t="str">
        <f aca="false">SUBSTITUTE(Nasbi!E253,"-","")</f>
        <v/>
      </c>
      <c r="M241" s="9" t="n">
        <f aca="false">VALUE(SUBSTITUTE(StorytelE!G241,".",","))</f>
        <v>0</v>
      </c>
      <c r="N241" s="9" t="n">
        <f aca="false">VALUE(SUBSTITUTE(StorytelA!G241,".",","))</f>
        <v>0</v>
      </c>
      <c r="O241" s="9" t="n">
        <f aca="false">VALUE(SUBSTITUTE(StorytelE!M241,".",","))</f>
        <v>0</v>
      </c>
      <c r="P241" s="9" t="n">
        <f aca="false">VALUE(SUBSTITUTE(StorytelA!M241,".",","))</f>
        <v>0</v>
      </c>
      <c r="Q241" s="29"/>
      <c r="R241" s="29" t="n">
        <f aca="false">VALUE(SUBSTITUTE(Woblink!H253,".",","))</f>
        <v>0</v>
      </c>
      <c r="S241" s="9" t="str">
        <f aca="false">SUBSTITUTE(AzymutB!D241,"-","")</f>
        <v/>
      </c>
      <c r="T241" s="9" t="n">
        <f aca="false">VALUE(SUBSTITUTE(AzymutB!O241,".",","))</f>
        <v>0</v>
      </c>
      <c r="U241" s="9" t="str">
        <f aca="false">SUBSTITUTE(Audioteka!Q243,"-","")</f>
        <v/>
      </c>
    </row>
    <row r="242" customFormat="false" ht="15.75" hidden="false" customHeight="false" outlineLevel="0" collapsed="false">
      <c r="A242" s="8" t="str">
        <f aca="false">SUBSTITUTE(Histmag!B242,"-","")</f>
        <v/>
      </c>
      <c r="B242" s="9" t="n">
        <f aca="false">VALUE(SUBSTITUTE(Histmag!D242,".",","))</f>
        <v>0</v>
      </c>
      <c r="C242" s="8" t="str">
        <f aca="false">SUBSTITUTE(Virtualo!G242,"-","")</f>
        <v/>
      </c>
      <c r="D242" s="8" t="str">
        <f aca="false">SUBSTITUTE(Empik!F242,"-","")</f>
        <v/>
      </c>
      <c r="E242" s="8" t="str">
        <f aca="false">SUBSTITUTE(Publio!H242,"-","")</f>
        <v/>
      </c>
      <c r="F242" s="8" t="n">
        <f aca="false">VALUE(SUBSTITUTE(Publio!Q242,".",","))</f>
        <v>0</v>
      </c>
      <c r="G242" s="8" t="str">
        <f aca="false">IFERROR(IF(SEARCH("-", Nexto!B223), SUBSTITUTE(Nexto!B223,"-","")), "")</f>
        <v/>
      </c>
      <c r="H242" s="8" t="n">
        <f aca="false">IFERROR(VALUE(SUBSTITUTE(Nexto!P227,".",",")),0)</f>
        <v>0</v>
      </c>
      <c r="I242" s="9" t="str">
        <f aca="false">SUBSTITUTE(Azymut!D242,"-","")</f>
        <v/>
      </c>
      <c r="J242" s="9" t="n">
        <f aca="false">VALUE(SUBSTITUTE(Azymut!O242,".",","))</f>
        <v>0</v>
      </c>
      <c r="K242" s="9" t="str">
        <f aca="false">SUBSTITUTE(Ebookpoint!E254,"-","")</f>
        <v/>
      </c>
      <c r="L242" s="9" t="str">
        <f aca="false">SUBSTITUTE(Nasbi!E254,"-","")</f>
        <v/>
      </c>
      <c r="M242" s="9" t="n">
        <f aca="false">VALUE(SUBSTITUTE(StorytelE!G242,".",","))</f>
        <v>0</v>
      </c>
      <c r="N242" s="9" t="n">
        <f aca="false">VALUE(SUBSTITUTE(StorytelA!G242,".",","))</f>
        <v>0</v>
      </c>
      <c r="O242" s="9" t="n">
        <f aca="false">VALUE(SUBSTITUTE(StorytelE!M242,".",","))</f>
        <v>0</v>
      </c>
      <c r="P242" s="9" t="n">
        <f aca="false">VALUE(SUBSTITUTE(StorytelA!M242,".",","))</f>
        <v>0</v>
      </c>
      <c r="Q242" s="29"/>
      <c r="R242" s="29" t="n">
        <f aca="false">VALUE(SUBSTITUTE(Woblink!H254,".",","))</f>
        <v>0</v>
      </c>
      <c r="S242" s="9" t="str">
        <f aca="false">SUBSTITUTE(AzymutB!D242,"-","")</f>
        <v/>
      </c>
      <c r="T242" s="9" t="n">
        <f aca="false">VALUE(SUBSTITUTE(AzymutB!O242,".",","))</f>
        <v>0</v>
      </c>
      <c r="U242" s="9" t="str">
        <f aca="false">SUBSTITUTE(Audioteka!Q244,"-","")</f>
        <v/>
      </c>
    </row>
    <row r="243" customFormat="false" ht="15.75" hidden="false" customHeight="false" outlineLevel="0" collapsed="false">
      <c r="A243" s="8" t="str">
        <f aca="false">SUBSTITUTE(Histmag!B243,"-","")</f>
        <v/>
      </c>
      <c r="B243" s="9" t="n">
        <f aca="false">VALUE(SUBSTITUTE(Histmag!D243,".",","))</f>
        <v>0</v>
      </c>
      <c r="C243" s="8" t="str">
        <f aca="false">SUBSTITUTE(Virtualo!G243,"-","")</f>
        <v/>
      </c>
      <c r="D243" s="8" t="str">
        <f aca="false">SUBSTITUTE(Empik!F243,"-","")</f>
        <v/>
      </c>
      <c r="E243" s="8" t="str">
        <f aca="false">SUBSTITUTE(Publio!H243,"-","")</f>
        <v/>
      </c>
      <c r="F243" s="8" t="n">
        <f aca="false">VALUE(SUBSTITUTE(Publio!Q243,".",","))</f>
        <v>0</v>
      </c>
      <c r="G243" s="8" t="str">
        <f aca="false">IFERROR(IF(SEARCH("-", Nexto!B224), SUBSTITUTE(Nexto!B224,"-","")), "")</f>
        <v/>
      </c>
      <c r="H243" s="8" t="n">
        <f aca="false">IFERROR(VALUE(SUBSTITUTE(Nexto!P228,".",",")),0)</f>
        <v>0</v>
      </c>
      <c r="I243" s="9" t="str">
        <f aca="false">SUBSTITUTE(Azymut!D243,"-","")</f>
        <v/>
      </c>
      <c r="J243" s="9" t="n">
        <f aca="false">VALUE(SUBSTITUTE(Azymut!O243,".",","))</f>
        <v>0</v>
      </c>
      <c r="K243" s="9" t="str">
        <f aca="false">SUBSTITUTE(Ebookpoint!E255,"-","")</f>
        <v/>
      </c>
      <c r="L243" s="9" t="str">
        <f aca="false">SUBSTITUTE(Nasbi!E255,"-","")</f>
        <v/>
      </c>
      <c r="M243" s="9" t="n">
        <f aca="false">VALUE(SUBSTITUTE(StorytelE!G243,".",","))</f>
        <v>0</v>
      </c>
      <c r="N243" s="9" t="n">
        <f aca="false">VALUE(SUBSTITUTE(StorytelA!G243,".",","))</f>
        <v>0</v>
      </c>
      <c r="O243" s="9" t="n">
        <f aca="false">VALUE(SUBSTITUTE(StorytelE!M243,".",","))</f>
        <v>0</v>
      </c>
      <c r="P243" s="9" t="n">
        <f aca="false">VALUE(SUBSTITUTE(StorytelA!M243,".",","))</f>
        <v>0</v>
      </c>
      <c r="Q243" s="29"/>
      <c r="R243" s="29" t="n">
        <f aca="false">VALUE(SUBSTITUTE(Woblink!H255,".",","))</f>
        <v>0</v>
      </c>
      <c r="S243" s="9" t="str">
        <f aca="false">SUBSTITUTE(AzymutB!D243,"-","")</f>
        <v/>
      </c>
      <c r="T243" s="9" t="n">
        <f aca="false">VALUE(SUBSTITUTE(AzymutB!O243,".",","))</f>
        <v>0</v>
      </c>
      <c r="U243" s="9" t="str">
        <f aca="false">SUBSTITUTE(Audioteka!Q245,"-","")</f>
        <v/>
      </c>
    </row>
    <row r="244" customFormat="false" ht="15.75" hidden="false" customHeight="false" outlineLevel="0" collapsed="false">
      <c r="A244" s="8" t="str">
        <f aca="false">SUBSTITUTE(Histmag!B244,"-","")</f>
        <v/>
      </c>
      <c r="B244" s="9" t="n">
        <f aca="false">VALUE(SUBSTITUTE(Histmag!D244,".",","))</f>
        <v>0</v>
      </c>
      <c r="C244" s="8" t="str">
        <f aca="false">SUBSTITUTE(Virtualo!G244,"-","")</f>
        <v/>
      </c>
      <c r="D244" s="8" t="str">
        <f aca="false">SUBSTITUTE(Empik!F244,"-","")</f>
        <v/>
      </c>
      <c r="E244" s="8" t="str">
        <f aca="false">SUBSTITUTE(Publio!H244,"-","")</f>
        <v/>
      </c>
      <c r="F244" s="8" t="n">
        <f aca="false">VALUE(SUBSTITUTE(Publio!Q244,".",","))</f>
        <v>0</v>
      </c>
      <c r="G244" s="8" t="str">
        <f aca="false">IFERROR(IF(SEARCH("-", Nexto!B225), SUBSTITUTE(Nexto!B225,"-","")), "")</f>
        <v/>
      </c>
      <c r="H244" s="8" t="n">
        <f aca="false">IFERROR(VALUE(SUBSTITUTE(Nexto!P229,".",",")),0)</f>
        <v>0</v>
      </c>
      <c r="I244" s="9" t="str">
        <f aca="false">SUBSTITUTE(Azymut!D244,"-","")</f>
        <v/>
      </c>
      <c r="J244" s="9" t="n">
        <f aca="false">VALUE(SUBSTITUTE(Azymut!O244,".",","))</f>
        <v>0</v>
      </c>
      <c r="K244" s="9" t="str">
        <f aca="false">SUBSTITUTE(Ebookpoint!E256,"-","")</f>
        <v/>
      </c>
      <c r="L244" s="9" t="str">
        <f aca="false">SUBSTITUTE(Nasbi!E256,"-","")</f>
        <v/>
      </c>
      <c r="M244" s="9" t="n">
        <f aca="false">VALUE(SUBSTITUTE(StorytelE!G244,".",","))</f>
        <v>0</v>
      </c>
      <c r="N244" s="9" t="n">
        <f aca="false">VALUE(SUBSTITUTE(StorytelA!G244,".",","))</f>
        <v>0</v>
      </c>
      <c r="O244" s="9" t="n">
        <f aca="false">VALUE(SUBSTITUTE(StorytelE!M244,".",","))</f>
        <v>0</v>
      </c>
      <c r="P244" s="9" t="n">
        <f aca="false">VALUE(SUBSTITUTE(StorytelA!M244,".",","))</f>
        <v>0</v>
      </c>
      <c r="Q244" s="29"/>
      <c r="R244" s="29" t="n">
        <f aca="false">VALUE(SUBSTITUTE(Woblink!H256,".",","))</f>
        <v>0</v>
      </c>
      <c r="S244" s="9" t="str">
        <f aca="false">SUBSTITUTE(AzymutB!D244,"-","")</f>
        <v/>
      </c>
      <c r="T244" s="9" t="n">
        <f aca="false">VALUE(SUBSTITUTE(AzymutB!O244,".",","))</f>
        <v>0</v>
      </c>
      <c r="U244" s="9" t="str">
        <f aca="false">SUBSTITUTE(Audioteka!Q246,"-","")</f>
        <v/>
      </c>
    </row>
    <row r="245" customFormat="false" ht="15.75" hidden="false" customHeight="false" outlineLevel="0" collapsed="false">
      <c r="A245" s="8" t="str">
        <f aca="false">SUBSTITUTE(Histmag!B245,"-","")</f>
        <v/>
      </c>
      <c r="B245" s="9" t="n">
        <f aca="false">VALUE(SUBSTITUTE(Histmag!D245,".",","))</f>
        <v>0</v>
      </c>
      <c r="C245" s="8" t="str">
        <f aca="false">SUBSTITUTE(Virtualo!G245,"-","")</f>
        <v/>
      </c>
      <c r="D245" s="8" t="str">
        <f aca="false">SUBSTITUTE(Empik!F245,"-","")</f>
        <v/>
      </c>
      <c r="E245" s="8" t="str">
        <f aca="false">SUBSTITUTE(Publio!H245,"-","")</f>
        <v/>
      </c>
      <c r="F245" s="8" t="n">
        <f aca="false">VALUE(SUBSTITUTE(Publio!Q245,".",","))</f>
        <v>0</v>
      </c>
      <c r="G245" s="8" t="str">
        <f aca="false">IFERROR(IF(SEARCH("-", Nexto!B226), SUBSTITUTE(Nexto!B226,"-","")), "")</f>
        <v/>
      </c>
      <c r="H245" s="8" t="n">
        <f aca="false">IFERROR(VALUE(SUBSTITUTE(Nexto!P230,".",",")),0)</f>
        <v>0</v>
      </c>
      <c r="I245" s="9" t="str">
        <f aca="false">SUBSTITUTE(Azymut!D245,"-","")</f>
        <v/>
      </c>
      <c r="J245" s="9" t="n">
        <f aca="false">VALUE(SUBSTITUTE(Azymut!O245,".",","))</f>
        <v>0</v>
      </c>
      <c r="K245" s="9" t="str">
        <f aca="false">SUBSTITUTE(Ebookpoint!E257,"-","")</f>
        <v/>
      </c>
      <c r="L245" s="9" t="str">
        <f aca="false">SUBSTITUTE(Nasbi!E257,"-","")</f>
        <v/>
      </c>
      <c r="M245" s="9" t="n">
        <f aca="false">VALUE(SUBSTITUTE(StorytelE!G245,".",","))</f>
        <v>0</v>
      </c>
      <c r="N245" s="9" t="n">
        <f aca="false">VALUE(SUBSTITUTE(StorytelA!G245,".",","))</f>
        <v>0</v>
      </c>
      <c r="O245" s="9" t="n">
        <f aca="false">VALUE(SUBSTITUTE(StorytelE!M245,".",","))</f>
        <v>0</v>
      </c>
      <c r="P245" s="9" t="n">
        <f aca="false">VALUE(SUBSTITUTE(StorytelA!M245,".",","))</f>
        <v>0</v>
      </c>
      <c r="Q245" s="29"/>
      <c r="R245" s="29" t="n">
        <f aca="false">VALUE(SUBSTITUTE(Woblink!H257,".",","))</f>
        <v>0</v>
      </c>
      <c r="S245" s="9" t="str">
        <f aca="false">SUBSTITUTE(AzymutB!D245,"-","")</f>
        <v/>
      </c>
      <c r="T245" s="9" t="n">
        <f aca="false">VALUE(SUBSTITUTE(AzymutB!O245,".",","))</f>
        <v>0</v>
      </c>
      <c r="U245" s="9" t="str">
        <f aca="false">SUBSTITUTE(Audioteka!Q247,"-","")</f>
        <v/>
      </c>
    </row>
    <row r="246" customFormat="false" ht="15.75" hidden="false" customHeight="false" outlineLevel="0" collapsed="false">
      <c r="A246" s="8" t="str">
        <f aca="false">SUBSTITUTE(Histmag!B246,"-","")</f>
        <v/>
      </c>
      <c r="B246" s="9" t="n">
        <f aca="false">VALUE(SUBSTITUTE(Histmag!D246,".",","))</f>
        <v>0</v>
      </c>
      <c r="C246" s="8" t="str">
        <f aca="false">SUBSTITUTE(Virtualo!G246,"-","")</f>
        <v/>
      </c>
      <c r="D246" s="8" t="str">
        <f aca="false">SUBSTITUTE(Empik!F246,"-","")</f>
        <v/>
      </c>
      <c r="E246" s="8" t="str">
        <f aca="false">SUBSTITUTE(Publio!H246,"-","")</f>
        <v/>
      </c>
      <c r="F246" s="8" t="n">
        <f aca="false">VALUE(SUBSTITUTE(Publio!Q246,".",","))</f>
        <v>0</v>
      </c>
      <c r="G246" s="8" t="str">
        <f aca="false">IFERROR(IF(SEARCH("-", Nexto!B227), SUBSTITUTE(Nexto!B227,"-","")), "")</f>
        <v/>
      </c>
      <c r="H246" s="8" t="n">
        <f aca="false">IFERROR(VALUE(SUBSTITUTE(Nexto!P231,".",",")),0)</f>
        <v>0</v>
      </c>
      <c r="I246" s="9" t="str">
        <f aca="false">SUBSTITUTE(Azymut!D246,"-","")</f>
        <v/>
      </c>
      <c r="J246" s="9" t="n">
        <f aca="false">VALUE(SUBSTITUTE(Azymut!O246,".",","))</f>
        <v>0</v>
      </c>
      <c r="K246" s="9" t="str">
        <f aca="false">SUBSTITUTE(Ebookpoint!E258,"-","")</f>
        <v/>
      </c>
      <c r="L246" s="9" t="str">
        <f aca="false">SUBSTITUTE(Nasbi!E258,"-","")</f>
        <v/>
      </c>
      <c r="M246" s="9" t="n">
        <f aca="false">VALUE(SUBSTITUTE(StorytelE!G246,".",","))</f>
        <v>0</v>
      </c>
      <c r="N246" s="9" t="n">
        <f aca="false">VALUE(SUBSTITUTE(StorytelA!G246,".",","))</f>
        <v>0</v>
      </c>
      <c r="O246" s="9" t="n">
        <f aca="false">VALUE(SUBSTITUTE(StorytelE!M246,".",","))</f>
        <v>0</v>
      </c>
      <c r="P246" s="9" t="n">
        <f aca="false">VALUE(SUBSTITUTE(StorytelA!M246,".",","))</f>
        <v>0</v>
      </c>
      <c r="Q246" s="29"/>
      <c r="R246" s="29" t="n">
        <f aca="false">VALUE(SUBSTITUTE(Woblink!H258,".",","))</f>
        <v>0</v>
      </c>
      <c r="S246" s="9" t="str">
        <f aca="false">SUBSTITUTE(AzymutB!D246,"-","")</f>
        <v/>
      </c>
      <c r="T246" s="9" t="n">
        <f aca="false">VALUE(SUBSTITUTE(AzymutB!O246,".",","))</f>
        <v>0</v>
      </c>
      <c r="U246" s="9" t="str">
        <f aca="false">SUBSTITUTE(Audioteka!Q248,"-","")</f>
        <v/>
      </c>
    </row>
    <row r="247" customFormat="false" ht="15.75" hidden="false" customHeight="false" outlineLevel="0" collapsed="false">
      <c r="A247" s="8" t="str">
        <f aca="false">SUBSTITUTE(Histmag!B247,"-","")</f>
        <v/>
      </c>
      <c r="B247" s="9" t="n">
        <f aca="false">VALUE(SUBSTITUTE(Histmag!D247,".",","))</f>
        <v>0</v>
      </c>
      <c r="C247" s="8" t="str">
        <f aca="false">SUBSTITUTE(Virtualo!G247,"-","")</f>
        <v/>
      </c>
      <c r="D247" s="8" t="str">
        <f aca="false">SUBSTITUTE(Empik!F247,"-","")</f>
        <v/>
      </c>
      <c r="E247" s="8" t="str">
        <f aca="false">SUBSTITUTE(Publio!H247,"-","")</f>
        <v/>
      </c>
      <c r="F247" s="8" t="n">
        <f aca="false">VALUE(SUBSTITUTE(Publio!Q247,".",","))</f>
        <v>0</v>
      </c>
      <c r="G247" s="8" t="str">
        <f aca="false">IFERROR(IF(SEARCH("-", Nexto!B228), SUBSTITUTE(Nexto!B228,"-","")), "")</f>
        <v/>
      </c>
      <c r="H247" s="8" t="n">
        <f aca="false">IFERROR(VALUE(SUBSTITUTE(Nexto!P232,".",",")),0)</f>
        <v>0</v>
      </c>
      <c r="I247" s="9" t="str">
        <f aca="false">SUBSTITUTE(Azymut!D247,"-","")</f>
        <v/>
      </c>
      <c r="J247" s="9" t="n">
        <f aca="false">VALUE(SUBSTITUTE(Azymut!O247,".",","))</f>
        <v>0</v>
      </c>
      <c r="K247" s="9" t="str">
        <f aca="false">SUBSTITUTE(Ebookpoint!E259,"-","")</f>
        <v/>
      </c>
      <c r="L247" s="9" t="str">
        <f aca="false">SUBSTITUTE(Nasbi!E259,"-","")</f>
        <v/>
      </c>
      <c r="M247" s="9" t="n">
        <f aca="false">VALUE(SUBSTITUTE(StorytelE!G247,".",","))</f>
        <v>0</v>
      </c>
      <c r="N247" s="9" t="n">
        <f aca="false">VALUE(SUBSTITUTE(StorytelA!G247,".",","))</f>
        <v>0</v>
      </c>
      <c r="O247" s="9" t="n">
        <f aca="false">VALUE(SUBSTITUTE(StorytelE!M247,".",","))</f>
        <v>0</v>
      </c>
      <c r="P247" s="9" t="n">
        <f aca="false">VALUE(SUBSTITUTE(StorytelA!M247,".",","))</f>
        <v>0</v>
      </c>
      <c r="Q247" s="29"/>
      <c r="R247" s="29" t="n">
        <f aca="false">VALUE(SUBSTITUTE(Woblink!H259,".",","))</f>
        <v>0</v>
      </c>
      <c r="S247" s="9" t="str">
        <f aca="false">SUBSTITUTE(AzymutB!D247,"-","")</f>
        <v/>
      </c>
      <c r="T247" s="9" t="n">
        <f aca="false">VALUE(SUBSTITUTE(AzymutB!O247,".",","))</f>
        <v>0</v>
      </c>
      <c r="U247" s="9" t="str">
        <f aca="false">SUBSTITUTE(Audioteka!Q249,"-","")</f>
        <v/>
      </c>
    </row>
    <row r="248" customFormat="false" ht="15.75" hidden="false" customHeight="false" outlineLevel="0" collapsed="false">
      <c r="A248" s="8" t="str">
        <f aca="false">SUBSTITUTE(Histmag!B248,"-","")</f>
        <v/>
      </c>
      <c r="B248" s="9" t="n">
        <f aca="false">VALUE(SUBSTITUTE(Histmag!D248,".",","))</f>
        <v>0</v>
      </c>
      <c r="C248" s="8" t="str">
        <f aca="false">SUBSTITUTE(Virtualo!G248,"-","")</f>
        <v/>
      </c>
      <c r="D248" s="8" t="str">
        <f aca="false">SUBSTITUTE(Empik!F248,"-","")</f>
        <v/>
      </c>
      <c r="E248" s="8" t="str">
        <f aca="false">SUBSTITUTE(Publio!H248,"-","")</f>
        <v/>
      </c>
      <c r="F248" s="8" t="n">
        <f aca="false">VALUE(SUBSTITUTE(Publio!Q248,".",","))</f>
        <v>0</v>
      </c>
      <c r="G248" s="8" t="str">
        <f aca="false">IFERROR(IF(SEARCH("-", Nexto!B229), SUBSTITUTE(Nexto!B229,"-","")), "")</f>
        <v/>
      </c>
      <c r="H248" s="8" t="n">
        <f aca="false">IFERROR(VALUE(SUBSTITUTE(Nexto!P233,".",",")),0)</f>
        <v>0</v>
      </c>
      <c r="I248" s="9" t="str">
        <f aca="false">SUBSTITUTE(Azymut!D248,"-","")</f>
        <v/>
      </c>
      <c r="J248" s="9" t="n">
        <f aca="false">VALUE(SUBSTITUTE(Azymut!O248,".",","))</f>
        <v>0</v>
      </c>
      <c r="K248" s="9" t="str">
        <f aca="false">SUBSTITUTE(Ebookpoint!E260,"-","")</f>
        <v/>
      </c>
      <c r="L248" s="9" t="str">
        <f aca="false">SUBSTITUTE(Nasbi!E260,"-","")</f>
        <v/>
      </c>
      <c r="M248" s="9" t="n">
        <f aca="false">VALUE(SUBSTITUTE(StorytelE!G248,".",","))</f>
        <v>0</v>
      </c>
      <c r="N248" s="9" t="n">
        <f aca="false">VALUE(SUBSTITUTE(StorytelA!G248,".",","))</f>
        <v>0</v>
      </c>
      <c r="O248" s="9" t="n">
        <f aca="false">VALUE(SUBSTITUTE(StorytelE!M248,".",","))</f>
        <v>0</v>
      </c>
      <c r="P248" s="9" t="n">
        <f aca="false">VALUE(SUBSTITUTE(StorytelA!M248,".",","))</f>
        <v>0</v>
      </c>
      <c r="Q248" s="29"/>
      <c r="R248" s="29" t="n">
        <f aca="false">VALUE(SUBSTITUTE(Woblink!H260,".",","))</f>
        <v>0</v>
      </c>
      <c r="S248" s="9" t="str">
        <f aca="false">SUBSTITUTE(AzymutB!D248,"-","")</f>
        <v/>
      </c>
      <c r="T248" s="9" t="n">
        <f aca="false">VALUE(SUBSTITUTE(AzymutB!O248,".",","))</f>
        <v>0</v>
      </c>
      <c r="U248" s="9" t="str">
        <f aca="false">SUBSTITUTE(Audioteka!Q250,"-","")</f>
        <v/>
      </c>
    </row>
    <row r="249" customFormat="false" ht="15.75" hidden="false" customHeight="false" outlineLevel="0" collapsed="false">
      <c r="A249" s="8" t="str">
        <f aca="false">SUBSTITUTE(Histmag!B249,"-","")</f>
        <v/>
      </c>
      <c r="B249" s="9" t="n">
        <f aca="false">VALUE(SUBSTITUTE(Histmag!D249,".",","))</f>
        <v>0</v>
      </c>
      <c r="C249" s="8" t="str">
        <f aca="false">SUBSTITUTE(Virtualo!G249,"-","")</f>
        <v/>
      </c>
      <c r="D249" s="8" t="str">
        <f aca="false">SUBSTITUTE(Empik!F249,"-","")</f>
        <v/>
      </c>
      <c r="E249" s="8" t="str">
        <f aca="false">SUBSTITUTE(Publio!H249,"-","")</f>
        <v/>
      </c>
      <c r="F249" s="8" t="n">
        <f aca="false">VALUE(SUBSTITUTE(Publio!Q249,".",","))</f>
        <v>0</v>
      </c>
      <c r="G249" s="8" t="str">
        <f aca="false">IFERROR(IF(SEARCH("-", Nexto!B230), SUBSTITUTE(Nexto!B230,"-","")), "")</f>
        <v/>
      </c>
      <c r="H249" s="8" t="n">
        <f aca="false">IFERROR(VALUE(SUBSTITUTE(Nexto!P234,".",",")),0)</f>
        <v>0</v>
      </c>
      <c r="I249" s="9" t="str">
        <f aca="false">SUBSTITUTE(Azymut!D249,"-","")</f>
        <v/>
      </c>
      <c r="J249" s="9" t="n">
        <f aca="false">VALUE(SUBSTITUTE(Azymut!O249,".",","))</f>
        <v>0</v>
      </c>
      <c r="K249" s="9" t="str">
        <f aca="false">SUBSTITUTE(Ebookpoint!E261,"-","")</f>
        <v/>
      </c>
      <c r="L249" s="9" t="str">
        <f aca="false">SUBSTITUTE(Nasbi!E261,"-","")</f>
        <v/>
      </c>
      <c r="M249" s="9" t="n">
        <f aca="false">VALUE(SUBSTITUTE(StorytelE!G249,".",","))</f>
        <v>0</v>
      </c>
      <c r="N249" s="9" t="n">
        <f aca="false">VALUE(SUBSTITUTE(StorytelA!G249,".",","))</f>
        <v>0</v>
      </c>
      <c r="O249" s="9" t="n">
        <f aca="false">VALUE(SUBSTITUTE(StorytelE!M249,".",","))</f>
        <v>0</v>
      </c>
      <c r="P249" s="9" t="n">
        <f aca="false">VALUE(SUBSTITUTE(StorytelA!M249,".",","))</f>
        <v>0</v>
      </c>
      <c r="Q249" s="29"/>
      <c r="R249" s="29" t="n">
        <f aca="false">VALUE(SUBSTITUTE(Woblink!H261,".",","))</f>
        <v>0</v>
      </c>
      <c r="S249" s="9" t="str">
        <f aca="false">SUBSTITUTE(AzymutB!D249,"-","")</f>
        <v/>
      </c>
      <c r="T249" s="9" t="n">
        <f aca="false">VALUE(SUBSTITUTE(AzymutB!O249,".",","))</f>
        <v>0</v>
      </c>
      <c r="U249" s="9" t="str">
        <f aca="false">SUBSTITUTE(Audioteka!Q251,"-","")</f>
        <v/>
      </c>
    </row>
    <row r="250" customFormat="false" ht="15.75" hidden="false" customHeight="false" outlineLevel="0" collapsed="false">
      <c r="A250" s="8" t="str">
        <f aca="false">SUBSTITUTE(Histmag!B250,"-","")</f>
        <v/>
      </c>
      <c r="B250" s="9" t="n">
        <f aca="false">VALUE(SUBSTITUTE(Histmag!D250,".",","))</f>
        <v>0</v>
      </c>
      <c r="C250" s="8" t="str">
        <f aca="false">SUBSTITUTE(Virtualo!G250,"-","")</f>
        <v/>
      </c>
      <c r="D250" s="8" t="str">
        <f aca="false">SUBSTITUTE(Empik!F250,"-","")</f>
        <v/>
      </c>
      <c r="E250" s="8" t="str">
        <f aca="false">SUBSTITUTE(Publio!H250,"-","")</f>
        <v/>
      </c>
      <c r="F250" s="8" t="n">
        <f aca="false">VALUE(SUBSTITUTE(Publio!Q250,".",","))</f>
        <v>0</v>
      </c>
      <c r="G250" s="8" t="str">
        <f aca="false">IFERROR(IF(SEARCH("-", Nexto!B231), SUBSTITUTE(Nexto!B231,"-","")), "")</f>
        <v/>
      </c>
      <c r="H250" s="8" t="n">
        <f aca="false">IFERROR(VALUE(SUBSTITUTE(Nexto!P235,".",",")),0)</f>
        <v>0</v>
      </c>
      <c r="I250" s="9" t="str">
        <f aca="false">SUBSTITUTE(Azymut!D250,"-","")</f>
        <v/>
      </c>
      <c r="J250" s="9" t="n">
        <f aca="false">VALUE(SUBSTITUTE(Azymut!O250,".",","))</f>
        <v>0</v>
      </c>
      <c r="K250" s="9" t="str">
        <f aca="false">SUBSTITUTE(Ebookpoint!E262,"-","")</f>
        <v/>
      </c>
      <c r="L250" s="9" t="str">
        <f aca="false">SUBSTITUTE(Nasbi!E262,"-","")</f>
        <v/>
      </c>
      <c r="M250" s="9" t="n">
        <f aca="false">VALUE(SUBSTITUTE(StorytelE!G250,".",","))</f>
        <v>0</v>
      </c>
      <c r="N250" s="9" t="n">
        <f aca="false">VALUE(SUBSTITUTE(StorytelA!G250,".",","))</f>
        <v>0</v>
      </c>
      <c r="O250" s="9" t="n">
        <f aca="false">VALUE(SUBSTITUTE(StorytelE!M250,".",","))</f>
        <v>0</v>
      </c>
      <c r="P250" s="9" t="n">
        <f aca="false">VALUE(SUBSTITUTE(StorytelA!M250,".",","))</f>
        <v>0</v>
      </c>
      <c r="Q250" s="29"/>
      <c r="R250" s="29" t="n">
        <f aca="false">VALUE(SUBSTITUTE(Woblink!H262,".",","))</f>
        <v>0</v>
      </c>
      <c r="S250" s="9" t="str">
        <f aca="false">SUBSTITUTE(AzymutB!D250,"-","")</f>
        <v/>
      </c>
      <c r="T250" s="9" t="n">
        <f aca="false">VALUE(SUBSTITUTE(AzymutB!O250,".",","))</f>
        <v>0</v>
      </c>
      <c r="U250" s="9" t="str">
        <f aca="false">SUBSTITUTE(Audioteka!Q252,"-","")</f>
        <v/>
      </c>
    </row>
    <row r="251" customFormat="false" ht="15.75" hidden="false" customHeight="false" outlineLevel="0" collapsed="false">
      <c r="A251" s="8" t="str">
        <f aca="false">SUBSTITUTE(Histmag!B251,"-","")</f>
        <v/>
      </c>
      <c r="B251" s="9" t="n">
        <f aca="false">VALUE(SUBSTITUTE(Histmag!D251,".",","))</f>
        <v>0</v>
      </c>
      <c r="C251" s="8" t="str">
        <f aca="false">SUBSTITUTE(Virtualo!G251,"-","")</f>
        <v/>
      </c>
      <c r="D251" s="8" t="str">
        <f aca="false">SUBSTITUTE(Empik!F251,"-","")</f>
        <v/>
      </c>
      <c r="E251" s="8" t="str">
        <f aca="false">SUBSTITUTE(Publio!H251,"-","")</f>
        <v/>
      </c>
      <c r="F251" s="8" t="n">
        <f aca="false">VALUE(SUBSTITUTE(Publio!Q251,".",","))</f>
        <v>0</v>
      </c>
      <c r="G251" s="8" t="str">
        <f aca="false">IFERROR(IF(SEARCH("-", Nexto!B232), SUBSTITUTE(Nexto!B232,"-","")), "")</f>
        <v/>
      </c>
      <c r="H251" s="8" t="n">
        <f aca="false">IFERROR(VALUE(SUBSTITUTE(Nexto!P236,".",",")),0)</f>
        <v>0</v>
      </c>
      <c r="I251" s="9" t="str">
        <f aca="false">SUBSTITUTE(Azymut!D251,"-","")</f>
        <v/>
      </c>
      <c r="J251" s="9" t="n">
        <f aca="false">VALUE(SUBSTITUTE(Azymut!O251,".",","))</f>
        <v>0</v>
      </c>
      <c r="K251" s="9" t="str">
        <f aca="false">SUBSTITUTE(Ebookpoint!E263,"-","")</f>
        <v/>
      </c>
      <c r="L251" s="9" t="str">
        <f aca="false">SUBSTITUTE(Nasbi!E263,"-","")</f>
        <v/>
      </c>
      <c r="M251" s="9" t="n">
        <f aca="false">VALUE(SUBSTITUTE(StorytelE!G251,".",","))</f>
        <v>0</v>
      </c>
      <c r="N251" s="9" t="n">
        <f aca="false">VALUE(SUBSTITUTE(StorytelA!G251,".",","))</f>
        <v>0</v>
      </c>
      <c r="O251" s="9" t="n">
        <f aca="false">VALUE(SUBSTITUTE(StorytelE!M251,".",","))</f>
        <v>0</v>
      </c>
      <c r="P251" s="9" t="n">
        <f aca="false">VALUE(SUBSTITUTE(StorytelA!M251,".",","))</f>
        <v>0</v>
      </c>
      <c r="Q251" s="29"/>
      <c r="R251" s="29" t="n">
        <f aca="false">VALUE(SUBSTITUTE(Woblink!H263,".",","))</f>
        <v>0</v>
      </c>
      <c r="S251" s="9" t="str">
        <f aca="false">SUBSTITUTE(AzymutB!D251,"-","")</f>
        <v/>
      </c>
      <c r="T251" s="9" t="n">
        <f aca="false">VALUE(SUBSTITUTE(AzymutB!O251,".",","))</f>
        <v>0</v>
      </c>
      <c r="U251" s="9" t="str">
        <f aca="false">SUBSTITUTE(Audioteka!Q253,"-","")</f>
        <v/>
      </c>
    </row>
    <row r="252" customFormat="false" ht="15.75" hidden="false" customHeight="false" outlineLevel="0" collapsed="false">
      <c r="A252" s="8" t="str">
        <f aca="false">SUBSTITUTE(Histmag!B252,"-","")</f>
        <v/>
      </c>
      <c r="B252" s="9" t="n">
        <f aca="false">VALUE(SUBSTITUTE(Histmag!D252,".",","))</f>
        <v>0</v>
      </c>
      <c r="C252" s="8" t="str">
        <f aca="false">SUBSTITUTE(Virtualo!G252,"-","")</f>
        <v/>
      </c>
      <c r="D252" s="8" t="str">
        <f aca="false">SUBSTITUTE(Empik!F252,"-","")</f>
        <v/>
      </c>
      <c r="E252" s="8" t="str">
        <f aca="false">SUBSTITUTE(Publio!H252,"-","")</f>
        <v/>
      </c>
      <c r="F252" s="8" t="n">
        <f aca="false">VALUE(SUBSTITUTE(Publio!Q252,".",","))</f>
        <v>0</v>
      </c>
      <c r="G252" s="8" t="str">
        <f aca="false">IFERROR(IF(SEARCH("-", Nexto!B233), SUBSTITUTE(Nexto!B233,"-","")), "")</f>
        <v/>
      </c>
      <c r="H252" s="8" t="n">
        <f aca="false">IFERROR(VALUE(SUBSTITUTE(Nexto!P237,".",",")),0)</f>
        <v>0</v>
      </c>
      <c r="I252" s="9" t="str">
        <f aca="false">SUBSTITUTE(Azymut!D252,"-","")</f>
        <v/>
      </c>
      <c r="J252" s="9" t="n">
        <f aca="false">VALUE(SUBSTITUTE(Azymut!O252,".",","))</f>
        <v>0</v>
      </c>
      <c r="K252" s="9" t="str">
        <f aca="false">SUBSTITUTE(Ebookpoint!E264,"-","")</f>
        <v/>
      </c>
      <c r="L252" s="9" t="str">
        <f aca="false">SUBSTITUTE(Nasbi!E264,"-","")</f>
        <v/>
      </c>
      <c r="M252" s="9" t="n">
        <f aca="false">VALUE(SUBSTITUTE(StorytelE!G252,".",","))</f>
        <v>0</v>
      </c>
      <c r="N252" s="9" t="n">
        <f aca="false">VALUE(SUBSTITUTE(StorytelA!G252,".",","))</f>
        <v>0</v>
      </c>
      <c r="O252" s="9" t="n">
        <f aca="false">VALUE(SUBSTITUTE(StorytelE!M252,".",","))</f>
        <v>0</v>
      </c>
      <c r="P252" s="9" t="n">
        <f aca="false">VALUE(SUBSTITUTE(StorytelA!M252,".",","))</f>
        <v>0</v>
      </c>
      <c r="Q252" s="29"/>
      <c r="R252" s="29" t="n">
        <f aca="false">VALUE(SUBSTITUTE(Woblink!H264,".",","))</f>
        <v>0</v>
      </c>
      <c r="S252" s="9" t="str">
        <f aca="false">SUBSTITUTE(AzymutB!D252,"-","")</f>
        <v/>
      </c>
      <c r="T252" s="9" t="n">
        <f aca="false">VALUE(SUBSTITUTE(AzymutB!O252,".",","))</f>
        <v>0</v>
      </c>
      <c r="U252" s="9" t="str">
        <f aca="false">SUBSTITUTE(Audioteka!Q254,"-","")</f>
        <v/>
      </c>
    </row>
    <row r="253" customFormat="false" ht="15.75" hidden="false" customHeight="false" outlineLevel="0" collapsed="false">
      <c r="A253" s="8" t="str">
        <f aca="false">SUBSTITUTE(Histmag!B253,"-","")</f>
        <v/>
      </c>
      <c r="B253" s="9" t="n">
        <f aca="false">VALUE(SUBSTITUTE(Histmag!D253,".",","))</f>
        <v>0</v>
      </c>
      <c r="C253" s="8" t="str">
        <f aca="false">SUBSTITUTE(Virtualo!G253,"-","")</f>
        <v/>
      </c>
      <c r="D253" s="8" t="str">
        <f aca="false">SUBSTITUTE(Empik!F253,"-","")</f>
        <v/>
      </c>
      <c r="E253" s="8" t="str">
        <f aca="false">SUBSTITUTE(Publio!H253,"-","")</f>
        <v/>
      </c>
      <c r="F253" s="8" t="n">
        <f aca="false">VALUE(SUBSTITUTE(Publio!Q253,".",","))</f>
        <v>0</v>
      </c>
      <c r="G253" s="8" t="str">
        <f aca="false">IFERROR(IF(SEARCH("-", Nexto!B234), SUBSTITUTE(Nexto!B234,"-","")), "")</f>
        <v/>
      </c>
      <c r="H253" s="8" t="n">
        <f aca="false">IFERROR(VALUE(SUBSTITUTE(Nexto!P238,".",",")),0)</f>
        <v>0</v>
      </c>
      <c r="I253" s="9" t="str">
        <f aca="false">SUBSTITUTE(Azymut!D253,"-","")</f>
        <v/>
      </c>
      <c r="J253" s="9" t="n">
        <f aca="false">VALUE(SUBSTITUTE(Azymut!O253,".",","))</f>
        <v>0</v>
      </c>
      <c r="K253" s="9" t="str">
        <f aca="false">SUBSTITUTE(Ebookpoint!E265,"-","")</f>
        <v/>
      </c>
      <c r="L253" s="9" t="str">
        <f aca="false">SUBSTITUTE(Nasbi!E265,"-","")</f>
        <v/>
      </c>
      <c r="M253" s="9" t="n">
        <f aca="false">VALUE(SUBSTITUTE(StorytelE!G253,".",","))</f>
        <v>0</v>
      </c>
      <c r="N253" s="9" t="n">
        <f aca="false">VALUE(SUBSTITUTE(StorytelA!G253,".",","))</f>
        <v>0</v>
      </c>
      <c r="O253" s="9" t="n">
        <f aca="false">VALUE(SUBSTITUTE(StorytelE!M253,".",","))</f>
        <v>0</v>
      </c>
      <c r="P253" s="9" t="n">
        <f aca="false">VALUE(SUBSTITUTE(StorytelA!M253,".",","))</f>
        <v>0</v>
      </c>
      <c r="Q253" s="29"/>
      <c r="R253" s="29" t="n">
        <f aca="false">VALUE(SUBSTITUTE(Woblink!H265,".",","))</f>
        <v>0</v>
      </c>
      <c r="S253" s="9" t="str">
        <f aca="false">SUBSTITUTE(AzymutB!D253,"-","")</f>
        <v/>
      </c>
      <c r="T253" s="9" t="n">
        <f aca="false">VALUE(SUBSTITUTE(AzymutB!O253,".",","))</f>
        <v>0</v>
      </c>
      <c r="U253" s="9" t="str">
        <f aca="false">SUBSTITUTE(Audioteka!Q255,"-","")</f>
        <v/>
      </c>
    </row>
    <row r="254" customFormat="false" ht="15.75" hidden="false" customHeight="false" outlineLevel="0" collapsed="false">
      <c r="A254" s="8" t="str">
        <f aca="false">SUBSTITUTE(Histmag!B254,"-","")</f>
        <v/>
      </c>
      <c r="B254" s="9" t="n">
        <f aca="false">VALUE(SUBSTITUTE(Histmag!D254,".",","))</f>
        <v>0</v>
      </c>
      <c r="C254" s="8" t="str">
        <f aca="false">SUBSTITUTE(Virtualo!G254,"-","")</f>
        <v/>
      </c>
      <c r="D254" s="8" t="str">
        <f aca="false">SUBSTITUTE(Empik!F254,"-","")</f>
        <v/>
      </c>
      <c r="E254" s="8" t="str">
        <f aca="false">SUBSTITUTE(Publio!H254,"-","")</f>
        <v/>
      </c>
      <c r="F254" s="8" t="n">
        <f aca="false">VALUE(SUBSTITUTE(Publio!Q254,".",","))</f>
        <v>0</v>
      </c>
      <c r="G254" s="8" t="str">
        <f aca="false">IFERROR(IF(SEARCH("-", Nexto!B235), SUBSTITUTE(Nexto!B235,"-","")), "")</f>
        <v/>
      </c>
      <c r="H254" s="8" t="n">
        <f aca="false">IFERROR(VALUE(SUBSTITUTE(Nexto!P239,".",",")),0)</f>
        <v>0</v>
      </c>
      <c r="I254" s="9" t="str">
        <f aca="false">SUBSTITUTE(Azymut!D254,"-","")</f>
        <v/>
      </c>
      <c r="J254" s="9" t="n">
        <f aca="false">VALUE(SUBSTITUTE(Azymut!O254,".",","))</f>
        <v>0</v>
      </c>
      <c r="K254" s="9" t="str">
        <f aca="false">SUBSTITUTE(Ebookpoint!E266,"-","")</f>
        <v/>
      </c>
      <c r="L254" s="9" t="str">
        <f aca="false">SUBSTITUTE(Nasbi!E266,"-","")</f>
        <v/>
      </c>
      <c r="M254" s="9" t="n">
        <f aca="false">VALUE(SUBSTITUTE(StorytelE!G254,".",","))</f>
        <v>0</v>
      </c>
      <c r="N254" s="9" t="n">
        <f aca="false">VALUE(SUBSTITUTE(StorytelA!G254,".",","))</f>
        <v>0</v>
      </c>
      <c r="O254" s="9" t="n">
        <f aca="false">VALUE(SUBSTITUTE(StorytelE!M254,".",","))</f>
        <v>0</v>
      </c>
      <c r="P254" s="9" t="n">
        <f aca="false">VALUE(SUBSTITUTE(StorytelA!M254,".",","))</f>
        <v>0</v>
      </c>
      <c r="Q254" s="29"/>
      <c r="R254" s="29" t="n">
        <f aca="false">VALUE(SUBSTITUTE(Woblink!H266,".",","))</f>
        <v>0</v>
      </c>
      <c r="S254" s="9" t="str">
        <f aca="false">SUBSTITUTE(AzymutB!D254,"-","")</f>
        <v/>
      </c>
      <c r="T254" s="9" t="n">
        <f aca="false">VALUE(SUBSTITUTE(AzymutB!O254,".",","))</f>
        <v>0</v>
      </c>
      <c r="U254" s="9" t="str">
        <f aca="false">SUBSTITUTE(Audioteka!Q256,"-","")</f>
        <v/>
      </c>
    </row>
    <row r="255" customFormat="false" ht="15.75" hidden="false" customHeight="false" outlineLevel="0" collapsed="false">
      <c r="A255" s="8" t="str">
        <f aca="false">SUBSTITUTE(Histmag!B255,"-","")</f>
        <v/>
      </c>
      <c r="B255" s="9" t="n">
        <f aca="false">VALUE(SUBSTITUTE(Histmag!D255,".",","))</f>
        <v>0</v>
      </c>
      <c r="C255" s="8" t="str">
        <f aca="false">SUBSTITUTE(Virtualo!G255,"-","")</f>
        <v/>
      </c>
      <c r="D255" s="8" t="str">
        <f aca="false">SUBSTITUTE(Empik!F255,"-","")</f>
        <v/>
      </c>
      <c r="E255" s="8" t="str">
        <f aca="false">SUBSTITUTE(Publio!H255,"-","")</f>
        <v/>
      </c>
      <c r="F255" s="8" t="n">
        <f aca="false">VALUE(SUBSTITUTE(Publio!Q255,".",","))</f>
        <v>0</v>
      </c>
      <c r="G255" s="8" t="str">
        <f aca="false">IFERROR(IF(SEARCH("-", Nexto!B236), SUBSTITUTE(Nexto!B236,"-","")), "")</f>
        <v/>
      </c>
      <c r="H255" s="8" t="n">
        <f aca="false">IFERROR(VALUE(SUBSTITUTE(Nexto!P240,".",",")),0)</f>
        <v>0</v>
      </c>
      <c r="I255" s="9" t="str">
        <f aca="false">SUBSTITUTE(Azymut!D255,"-","")</f>
        <v/>
      </c>
      <c r="J255" s="9" t="n">
        <f aca="false">VALUE(SUBSTITUTE(Azymut!O255,".",","))</f>
        <v>0</v>
      </c>
      <c r="K255" s="9" t="str">
        <f aca="false">SUBSTITUTE(Ebookpoint!E267,"-","")</f>
        <v/>
      </c>
      <c r="L255" s="9" t="str">
        <f aca="false">SUBSTITUTE(Nasbi!E267,"-","")</f>
        <v/>
      </c>
      <c r="M255" s="9" t="n">
        <f aca="false">VALUE(SUBSTITUTE(StorytelE!G255,".",","))</f>
        <v>0</v>
      </c>
      <c r="N255" s="9" t="n">
        <f aca="false">VALUE(SUBSTITUTE(StorytelA!G255,".",","))</f>
        <v>0</v>
      </c>
      <c r="O255" s="9" t="n">
        <f aca="false">VALUE(SUBSTITUTE(StorytelE!M255,".",","))</f>
        <v>0</v>
      </c>
      <c r="P255" s="9" t="n">
        <f aca="false">VALUE(SUBSTITUTE(StorytelA!M255,".",","))</f>
        <v>0</v>
      </c>
      <c r="Q255" s="29"/>
      <c r="R255" s="29" t="n">
        <f aca="false">VALUE(SUBSTITUTE(Woblink!H267,".",","))</f>
        <v>0</v>
      </c>
      <c r="S255" s="9" t="str">
        <f aca="false">SUBSTITUTE(AzymutB!D255,"-","")</f>
        <v/>
      </c>
      <c r="T255" s="9" t="n">
        <f aca="false">VALUE(SUBSTITUTE(AzymutB!O255,".",","))</f>
        <v>0</v>
      </c>
      <c r="U255" s="9" t="str">
        <f aca="false">SUBSTITUTE(Audioteka!Q257,"-","")</f>
        <v/>
      </c>
    </row>
    <row r="256" customFormat="false" ht="15.75" hidden="false" customHeight="false" outlineLevel="0" collapsed="false">
      <c r="A256" s="8" t="str">
        <f aca="false">SUBSTITUTE(Histmag!B256,"-","")</f>
        <v/>
      </c>
      <c r="B256" s="9" t="n">
        <f aca="false">VALUE(SUBSTITUTE(Histmag!D256,".",","))</f>
        <v>0</v>
      </c>
      <c r="C256" s="8" t="str">
        <f aca="false">SUBSTITUTE(Virtualo!G256,"-","")</f>
        <v/>
      </c>
      <c r="D256" s="8" t="str">
        <f aca="false">SUBSTITUTE(Empik!F256,"-","")</f>
        <v/>
      </c>
      <c r="E256" s="8" t="str">
        <f aca="false">SUBSTITUTE(Publio!H256,"-","")</f>
        <v/>
      </c>
      <c r="F256" s="8" t="n">
        <f aca="false">VALUE(SUBSTITUTE(Publio!Q256,".",","))</f>
        <v>0</v>
      </c>
      <c r="G256" s="8" t="str">
        <f aca="false">IFERROR(IF(SEARCH("-", Nexto!B237), SUBSTITUTE(Nexto!B237,"-","")), "")</f>
        <v/>
      </c>
      <c r="H256" s="8" t="n">
        <f aca="false">IFERROR(VALUE(SUBSTITUTE(Nexto!P241,".",",")),0)</f>
        <v>0</v>
      </c>
      <c r="I256" s="9" t="str">
        <f aca="false">SUBSTITUTE(Azymut!D256,"-","")</f>
        <v/>
      </c>
      <c r="J256" s="9" t="n">
        <f aca="false">VALUE(SUBSTITUTE(Azymut!O256,".",","))</f>
        <v>0</v>
      </c>
      <c r="K256" s="9" t="str">
        <f aca="false">SUBSTITUTE(Ebookpoint!E268,"-","")</f>
        <v/>
      </c>
      <c r="L256" s="9" t="str">
        <f aca="false">SUBSTITUTE(Nasbi!E268,"-","")</f>
        <v/>
      </c>
      <c r="M256" s="9" t="n">
        <f aca="false">VALUE(SUBSTITUTE(StorytelE!G256,".",","))</f>
        <v>0</v>
      </c>
      <c r="N256" s="9" t="n">
        <f aca="false">VALUE(SUBSTITUTE(StorytelA!G256,".",","))</f>
        <v>0</v>
      </c>
      <c r="O256" s="9" t="n">
        <f aca="false">VALUE(SUBSTITUTE(StorytelE!M256,".",","))</f>
        <v>0</v>
      </c>
      <c r="P256" s="9" t="n">
        <f aca="false">VALUE(SUBSTITUTE(StorytelA!M256,".",","))</f>
        <v>0</v>
      </c>
      <c r="Q256" s="29"/>
      <c r="R256" s="29" t="n">
        <f aca="false">VALUE(SUBSTITUTE(Woblink!H268,".",","))</f>
        <v>0</v>
      </c>
      <c r="S256" s="9" t="str">
        <f aca="false">SUBSTITUTE(AzymutB!D256,"-","")</f>
        <v/>
      </c>
      <c r="T256" s="9" t="n">
        <f aca="false">VALUE(SUBSTITUTE(AzymutB!O256,".",","))</f>
        <v>0</v>
      </c>
      <c r="U256" s="9" t="str">
        <f aca="false">SUBSTITUTE(Audioteka!Q258,"-","")</f>
        <v/>
      </c>
    </row>
    <row r="257" customFormat="false" ht="15.75" hidden="false" customHeight="false" outlineLevel="0" collapsed="false">
      <c r="A257" s="8" t="str">
        <f aca="false">SUBSTITUTE(Histmag!B257,"-","")</f>
        <v/>
      </c>
      <c r="B257" s="9" t="n">
        <f aca="false">VALUE(SUBSTITUTE(Histmag!D257,".",","))</f>
        <v>0</v>
      </c>
      <c r="C257" s="8" t="str">
        <f aca="false">SUBSTITUTE(Virtualo!G257,"-","")</f>
        <v/>
      </c>
      <c r="D257" s="8" t="str">
        <f aca="false">SUBSTITUTE(Empik!F257,"-","")</f>
        <v/>
      </c>
      <c r="E257" s="8" t="str">
        <f aca="false">SUBSTITUTE(Publio!H257,"-","")</f>
        <v/>
      </c>
      <c r="F257" s="8" t="n">
        <f aca="false">VALUE(SUBSTITUTE(Publio!Q257,".",","))</f>
        <v>0</v>
      </c>
      <c r="G257" s="8" t="str">
        <f aca="false">IFERROR(IF(SEARCH("-", Nexto!B238), SUBSTITUTE(Nexto!B238,"-","")), "")</f>
        <v/>
      </c>
      <c r="H257" s="8" t="n">
        <f aca="false">IFERROR(VALUE(SUBSTITUTE(Nexto!P242,".",",")),0)</f>
        <v>0</v>
      </c>
      <c r="I257" s="9" t="str">
        <f aca="false">SUBSTITUTE(Azymut!D257,"-","")</f>
        <v/>
      </c>
      <c r="J257" s="9" t="n">
        <f aca="false">VALUE(SUBSTITUTE(Azymut!O257,".",","))</f>
        <v>0</v>
      </c>
      <c r="K257" s="9" t="str">
        <f aca="false">SUBSTITUTE(Ebookpoint!E269,"-","")</f>
        <v/>
      </c>
      <c r="L257" s="9" t="str">
        <f aca="false">SUBSTITUTE(Nasbi!E269,"-","")</f>
        <v/>
      </c>
      <c r="M257" s="9" t="n">
        <f aca="false">VALUE(SUBSTITUTE(StorytelE!G257,".",","))</f>
        <v>0</v>
      </c>
      <c r="N257" s="9" t="n">
        <f aca="false">VALUE(SUBSTITUTE(StorytelA!G257,".",","))</f>
        <v>0</v>
      </c>
      <c r="O257" s="9" t="n">
        <f aca="false">VALUE(SUBSTITUTE(StorytelE!M257,".",","))</f>
        <v>0</v>
      </c>
      <c r="P257" s="9" t="n">
        <f aca="false">VALUE(SUBSTITUTE(StorytelA!M257,".",","))</f>
        <v>0</v>
      </c>
      <c r="Q257" s="29"/>
      <c r="R257" s="29" t="n">
        <f aca="false">VALUE(SUBSTITUTE(Woblink!H269,".",","))</f>
        <v>0</v>
      </c>
      <c r="S257" s="9" t="str">
        <f aca="false">SUBSTITUTE(AzymutB!D257,"-","")</f>
        <v/>
      </c>
      <c r="T257" s="9" t="n">
        <f aca="false">VALUE(SUBSTITUTE(AzymutB!O257,".",","))</f>
        <v>0</v>
      </c>
      <c r="U257" s="9" t="str">
        <f aca="false">SUBSTITUTE(Audioteka!Q259,"-","")</f>
        <v/>
      </c>
    </row>
    <row r="258" customFormat="false" ht="15.75" hidden="false" customHeight="false" outlineLevel="0" collapsed="false">
      <c r="A258" s="8" t="str">
        <f aca="false">SUBSTITUTE(Histmag!B258,"-","")</f>
        <v/>
      </c>
      <c r="B258" s="9" t="n">
        <f aca="false">VALUE(SUBSTITUTE(Histmag!D258,".",","))</f>
        <v>0</v>
      </c>
      <c r="C258" s="8" t="str">
        <f aca="false">SUBSTITUTE(Virtualo!G258,"-","")</f>
        <v/>
      </c>
      <c r="D258" s="8" t="str">
        <f aca="false">SUBSTITUTE(Empik!F258,"-","")</f>
        <v/>
      </c>
      <c r="E258" s="8" t="str">
        <f aca="false">SUBSTITUTE(Publio!H258,"-","")</f>
        <v/>
      </c>
      <c r="F258" s="8" t="n">
        <f aca="false">VALUE(SUBSTITUTE(Publio!Q258,".",","))</f>
        <v>0</v>
      </c>
      <c r="G258" s="8" t="str">
        <f aca="false">IFERROR(IF(SEARCH("-", Nexto!B239), SUBSTITUTE(Nexto!B239,"-","")), "")</f>
        <v/>
      </c>
      <c r="H258" s="8" t="n">
        <f aca="false">IFERROR(VALUE(SUBSTITUTE(Nexto!P243,".",",")),0)</f>
        <v>0</v>
      </c>
      <c r="I258" s="9" t="str">
        <f aca="false">SUBSTITUTE(Azymut!D258,"-","")</f>
        <v/>
      </c>
      <c r="J258" s="9" t="n">
        <f aca="false">VALUE(SUBSTITUTE(Azymut!O258,".",","))</f>
        <v>0</v>
      </c>
      <c r="K258" s="9" t="str">
        <f aca="false">SUBSTITUTE(Ebookpoint!E270,"-","")</f>
        <v/>
      </c>
      <c r="L258" s="9" t="str">
        <f aca="false">SUBSTITUTE(Nasbi!E270,"-","")</f>
        <v/>
      </c>
      <c r="M258" s="9" t="n">
        <f aca="false">VALUE(SUBSTITUTE(StorytelE!G258,".",","))</f>
        <v>0</v>
      </c>
      <c r="N258" s="9" t="n">
        <f aca="false">VALUE(SUBSTITUTE(StorytelA!G258,".",","))</f>
        <v>0</v>
      </c>
      <c r="O258" s="9" t="n">
        <f aca="false">VALUE(SUBSTITUTE(StorytelE!M258,".",","))</f>
        <v>0</v>
      </c>
      <c r="P258" s="9" t="n">
        <f aca="false">VALUE(SUBSTITUTE(StorytelA!M258,".",","))</f>
        <v>0</v>
      </c>
      <c r="Q258" s="29"/>
      <c r="R258" s="29" t="n">
        <f aca="false">VALUE(SUBSTITUTE(Woblink!H270,".",","))</f>
        <v>0</v>
      </c>
      <c r="S258" s="9" t="str">
        <f aca="false">SUBSTITUTE(AzymutB!D258,"-","")</f>
        <v/>
      </c>
      <c r="T258" s="9" t="n">
        <f aca="false">VALUE(SUBSTITUTE(AzymutB!O258,".",","))</f>
        <v>0</v>
      </c>
      <c r="U258" s="9" t="str">
        <f aca="false">SUBSTITUTE(Audioteka!Q260,"-","")</f>
        <v/>
      </c>
    </row>
    <row r="259" customFormat="false" ht="15.75" hidden="false" customHeight="false" outlineLevel="0" collapsed="false">
      <c r="A259" s="8" t="str">
        <f aca="false">SUBSTITUTE(Histmag!B259,"-","")</f>
        <v/>
      </c>
      <c r="B259" s="9" t="n">
        <f aca="false">VALUE(SUBSTITUTE(Histmag!D259,".",","))</f>
        <v>0</v>
      </c>
      <c r="C259" s="8" t="str">
        <f aca="false">SUBSTITUTE(Virtualo!G259,"-","")</f>
        <v/>
      </c>
      <c r="D259" s="8" t="str">
        <f aca="false">SUBSTITUTE(Empik!F259,"-","")</f>
        <v/>
      </c>
      <c r="E259" s="8" t="str">
        <f aca="false">SUBSTITUTE(Publio!H259,"-","")</f>
        <v/>
      </c>
      <c r="F259" s="8" t="n">
        <f aca="false">VALUE(SUBSTITUTE(Publio!Q259,".",","))</f>
        <v>0</v>
      </c>
      <c r="G259" s="8" t="str">
        <f aca="false">IFERROR(IF(SEARCH("-", Nexto!B240), SUBSTITUTE(Nexto!B240,"-","")), "")</f>
        <v/>
      </c>
      <c r="H259" s="8" t="n">
        <f aca="false">IFERROR(VALUE(SUBSTITUTE(Nexto!P244,".",",")),0)</f>
        <v>0</v>
      </c>
      <c r="I259" s="9" t="str">
        <f aca="false">SUBSTITUTE(Azymut!D259,"-","")</f>
        <v/>
      </c>
      <c r="J259" s="9" t="n">
        <f aca="false">VALUE(SUBSTITUTE(Azymut!O259,".",","))</f>
        <v>0</v>
      </c>
      <c r="K259" s="9" t="str">
        <f aca="false">SUBSTITUTE(Ebookpoint!E271,"-","")</f>
        <v/>
      </c>
      <c r="L259" s="9" t="str">
        <f aca="false">SUBSTITUTE(Nasbi!E271,"-","")</f>
        <v/>
      </c>
      <c r="M259" s="9" t="n">
        <f aca="false">VALUE(SUBSTITUTE(StorytelE!G259,".",","))</f>
        <v>0</v>
      </c>
      <c r="N259" s="9" t="n">
        <f aca="false">VALUE(SUBSTITUTE(StorytelA!G259,".",","))</f>
        <v>0</v>
      </c>
      <c r="O259" s="9" t="n">
        <f aca="false">VALUE(SUBSTITUTE(StorytelE!M259,".",","))</f>
        <v>0</v>
      </c>
      <c r="P259" s="9" t="n">
        <f aca="false">VALUE(SUBSTITUTE(StorytelA!M259,".",","))</f>
        <v>0</v>
      </c>
      <c r="Q259" s="29"/>
      <c r="R259" s="29" t="n">
        <f aca="false">VALUE(SUBSTITUTE(Woblink!H271,".",","))</f>
        <v>0</v>
      </c>
      <c r="S259" s="9" t="str">
        <f aca="false">SUBSTITUTE(AzymutB!D259,"-","")</f>
        <v/>
      </c>
      <c r="T259" s="9" t="n">
        <f aca="false">VALUE(SUBSTITUTE(AzymutB!O259,".",","))</f>
        <v>0</v>
      </c>
      <c r="U259" s="9" t="str">
        <f aca="false">SUBSTITUTE(Audioteka!Q261,"-","")</f>
        <v/>
      </c>
    </row>
    <row r="260" customFormat="false" ht="15.75" hidden="false" customHeight="false" outlineLevel="0" collapsed="false">
      <c r="A260" s="8" t="str">
        <f aca="false">SUBSTITUTE(Histmag!B260,"-","")</f>
        <v/>
      </c>
      <c r="B260" s="9" t="n">
        <f aca="false">VALUE(SUBSTITUTE(Histmag!D260,".",","))</f>
        <v>0</v>
      </c>
      <c r="C260" s="8" t="str">
        <f aca="false">SUBSTITUTE(Virtualo!G260,"-","")</f>
        <v/>
      </c>
      <c r="D260" s="8" t="str">
        <f aca="false">SUBSTITUTE(Empik!F260,"-","")</f>
        <v/>
      </c>
      <c r="E260" s="8" t="str">
        <f aca="false">SUBSTITUTE(Publio!H260,"-","")</f>
        <v/>
      </c>
      <c r="F260" s="8" t="n">
        <f aca="false">VALUE(SUBSTITUTE(Publio!Q260,".",","))</f>
        <v>0</v>
      </c>
      <c r="G260" s="8" t="str">
        <f aca="false">IFERROR(IF(SEARCH("-", Nexto!B241), SUBSTITUTE(Nexto!B241,"-","")), "")</f>
        <v/>
      </c>
      <c r="H260" s="8" t="n">
        <f aca="false">IFERROR(VALUE(SUBSTITUTE(Nexto!P245,".",",")),0)</f>
        <v>0</v>
      </c>
      <c r="I260" s="9" t="str">
        <f aca="false">SUBSTITUTE(Azymut!D260,"-","")</f>
        <v/>
      </c>
      <c r="J260" s="9" t="n">
        <f aca="false">VALUE(SUBSTITUTE(Azymut!O260,".",","))</f>
        <v>0</v>
      </c>
      <c r="K260" s="9" t="str">
        <f aca="false">SUBSTITUTE(Ebookpoint!E272,"-","")</f>
        <v/>
      </c>
      <c r="L260" s="9" t="str">
        <f aca="false">SUBSTITUTE(Nasbi!E272,"-","")</f>
        <v/>
      </c>
      <c r="M260" s="9" t="n">
        <f aca="false">VALUE(SUBSTITUTE(StorytelE!G260,".",","))</f>
        <v>0</v>
      </c>
      <c r="N260" s="9" t="n">
        <f aca="false">VALUE(SUBSTITUTE(StorytelA!G260,".",","))</f>
        <v>0</v>
      </c>
      <c r="O260" s="9" t="n">
        <f aca="false">VALUE(SUBSTITUTE(StorytelE!M260,".",","))</f>
        <v>0</v>
      </c>
      <c r="P260" s="9" t="n">
        <f aca="false">VALUE(SUBSTITUTE(StorytelA!M260,".",","))</f>
        <v>0</v>
      </c>
      <c r="Q260" s="29"/>
      <c r="R260" s="29" t="n">
        <f aca="false">VALUE(SUBSTITUTE(Woblink!H272,".",","))</f>
        <v>0</v>
      </c>
      <c r="S260" s="9" t="str">
        <f aca="false">SUBSTITUTE(AzymutB!D260,"-","")</f>
        <v/>
      </c>
      <c r="T260" s="9" t="n">
        <f aca="false">VALUE(SUBSTITUTE(AzymutB!O260,".",","))</f>
        <v>0</v>
      </c>
      <c r="U260" s="9" t="str">
        <f aca="false">SUBSTITUTE(Audioteka!Q262,"-","")</f>
        <v/>
      </c>
    </row>
    <row r="261" customFormat="false" ht="15.75" hidden="false" customHeight="false" outlineLevel="0" collapsed="false">
      <c r="A261" s="8" t="str">
        <f aca="false">SUBSTITUTE(Histmag!B261,"-","")</f>
        <v/>
      </c>
      <c r="B261" s="9" t="n">
        <f aca="false">VALUE(SUBSTITUTE(Histmag!D261,".",","))</f>
        <v>0</v>
      </c>
      <c r="C261" s="8" t="str">
        <f aca="false">SUBSTITUTE(Virtualo!G261,"-","")</f>
        <v/>
      </c>
      <c r="D261" s="8" t="str">
        <f aca="false">SUBSTITUTE(Empik!F261,"-","")</f>
        <v/>
      </c>
      <c r="E261" s="8" t="str">
        <f aca="false">SUBSTITUTE(Publio!H261,"-","")</f>
        <v/>
      </c>
      <c r="F261" s="8" t="n">
        <f aca="false">VALUE(SUBSTITUTE(Publio!Q261,".",","))</f>
        <v>0</v>
      </c>
      <c r="G261" s="8" t="str">
        <f aca="false">IFERROR(IF(SEARCH("-", Nexto!B242), SUBSTITUTE(Nexto!B242,"-","")), "")</f>
        <v/>
      </c>
      <c r="H261" s="8" t="n">
        <f aca="false">IFERROR(VALUE(SUBSTITUTE(Nexto!P246,".",",")),0)</f>
        <v>0</v>
      </c>
      <c r="I261" s="9" t="str">
        <f aca="false">SUBSTITUTE(Azymut!D261,"-","")</f>
        <v/>
      </c>
      <c r="J261" s="9" t="n">
        <f aca="false">VALUE(SUBSTITUTE(Azymut!O261,".",","))</f>
        <v>0</v>
      </c>
      <c r="K261" s="9" t="str">
        <f aca="false">SUBSTITUTE(Ebookpoint!E273,"-","")</f>
        <v/>
      </c>
      <c r="L261" s="9" t="str">
        <f aca="false">SUBSTITUTE(Nasbi!E273,"-","")</f>
        <v/>
      </c>
      <c r="M261" s="9" t="n">
        <f aca="false">VALUE(SUBSTITUTE(StorytelE!G261,".",","))</f>
        <v>0</v>
      </c>
      <c r="N261" s="9" t="n">
        <f aca="false">VALUE(SUBSTITUTE(StorytelA!G261,".",","))</f>
        <v>0</v>
      </c>
      <c r="O261" s="9" t="n">
        <f aca="false">VALUE(SUBSTITUTE(StorytelE!M261,".",","))</f>
        <v>0</v>
      </c>
      <c r="P261" s="9" t="n">
        <f aca="false">VALUE(SUBSTITUTE(StorytelA!M261,".",","))</f>
        <v>0</v>
      </c>
      <c r="Q261" s="29"/>
      <c r="R261" s="29" t="n">
        <f aca="false">VALUE(SUBSTITUTE(Woblink!H273,".",","))</f>
        <v>0</v>
      </c>
      <c r="S261" s="9" t="str">
        <f aca="false">SUBSTITUTE(AzymutB!D261,"-","")</f>
        <v/>
      </c>
      <c r="T261" s="9" t="n">
        <f aca="false">VALUE(SUBSTITUTE(AzymutB!O261,".",","))</f>
        <v>0</v>
      </c>
      <c r="U261" s="9" t="str">
        <f aca="false">SUBSTITUTE(Audioteka!Q263,"-","")</f>
        <v/>
      </c>
    </row>
    <row r="262" customFormat="false" ht="15.75" hidden="false" customHeight="false" outlineLevel="0" collapsed="false">
      <c r="A262" s="8" t="str">
        <f aca="false">SUBSTITUTE(Histmag!B262,"-","")</f>
        <v/>
      </c>
      <c r="B262" s="9" t="n">
        <f aca="false">VALUE(SUBSTITUTE(Histmag!D262,".",","))</f>
        <v>0</v>
      </c>
      <c r="C262" s="8" t="str">
        <f aca="false">SUBSTITUTE(Virtualo!G262,"-","")</f>
        <v/>
      </c>
      <c r="D262" s="8" t="str">
        <f aca="false">SUBSTITUTE(Empik!F262,"-","")</f>
        <v/>
      </c>
      <c r="E262" s="8" t="str">
        <f aca="false">SUBSTITUTE(Publio!H262,"-","")</f>
        <v/>
      </c>
      <c r="F262" s="8" t="n">
        <f aca="false">VALUE(SUBSTITUTE(Publio!Q262,".",","))</f>
        <v>0</v>
      </c>
      <c r="G262" s="8" t="str">
        <f aca="false">IFERROR(IF(SEARCH("-", Nexto!B243), SUBSTITUTE(Nexto!B243,"-","")), "")</f>
        <v/>
      </c>
      <c r="H262" s="8" t="n">
        <f aca="false">IFERROR(VALUE(SUBSTITUTE(Nexto!P247,".",",")),0)</f>
        <v>0</v>
      </c>
      <c r="I262" s="9" t="str">
        <f aca="false">SUBSTITUTE(Azymut!D262,"-","")</f>
        <v/>
      </c>
      <c r="J262" s="9" t="n">
        <f aca="false">VALUE(SUBSTITUTE(Azymut!O262,".",","))</f>
        <v>0</v>
      </c>
      <c r="K262" s="9" t="str">
        <f aca="false">SUBSTITUTE(Ebookpoint!E274,"-","")</f>
        <v/>
      </c>
      <c r="L262" s="9" t="str">
        <f aca="false">SUBSTITUTE(Nasbi!E274,"-","")</f>
        <v/>
      </c>
      <c r="M262" s="9" t="n">
        <f aca="false">VALUE(SUBSTITUTE(StorytelE!G262,".",","))</f>
        <v>0</v>
      </c>
      <c r="N262" s="9" t="n">
        <f aca="false">VALUE(SUBSTITUTE(StorytelA!G262,".",","))</f>
        <v>0</v>
      </c>
      <c r="O262" s="9" t="n">
        <f aca="false">VALUE(SUBSTITUTE(StorytelE!M262,".",","))</f>
        <v>0</v>
      </c>
      <c r="P262" s="9" t="n">
        <f aca="false">VALUE(SUBSTITUTE(StorytelA!M262,".",","))</f>
        <v>0</v>
      </c>
      <c r="Q262" s="29"/>
      <c r="R262" s="29" t="n">
        <f aca="false">VALUE(SUBSTITUTE(Woblink!H274,".",","))</f>
        <v>0</v>
      </c>
      <c r="S262" s="9" t="str">
        <f aca="false">SUBSTITUTE(AzymutB!D262,"-","")</f>
        <v/>
      </c>
      <c r="T262" s="9" t="n">
        <f aca="false">VALUE(SUBSTITUTE(AzymutB!O262,".",","))</f>
        <v>0</v>
      </c>
      <c r="U262" s="9" t="str">
        <f aca="false">SUBSTITUTE(Audioteka!Q264,"-","")</f>
        <v/>
      </c>
    </row>
    <row r="263" customFormat="false" ht="15.75" hidden="false" customHeight="false" outlineLevel="0" collapsed="false">
      <c r="A263" s="8" t="str">
        <f aca="false">SUBSTITUTE(Histmag!B263,"-","")</f>
        <v/>
      </c>
      <c r="B263" s="9" t="n">
        <f aca="false">VALUE(SUBSTITUTE(Histmag!D263,".",","))</f>
        <v>0</v>
      </c>
      <c r="C263" s="8" t="str">
        <f aca="false">SUBSTITUTE(Virtualo!G263,"-","")</f>
        <v/>
      </c>
      <c r="D263" s="8" t="str">
        <f aca="false">SUBSTITUTE(Empik!F263,"-","")</f>
        <v/>
      </c>
      <c r="E263" s="8" t="str">
        <f aca="false">SUBSTITUTE(Publio!H263,"-","")</f>
        <v/>
      </c>
      <c r="F263" s="8" t="n">
        <f aca="false">VALUE(SUBSTITUTE(Publio!Q263,".",","))</f>
        <v>0</v>
      </c>
      <c r="G263" s="8" t="str">
        <f aca="false">IFERROR(IF(SEARCH("-", Nexto!B244), SUBSTITUTE(Nexto!B244,"-","")), "")</f>
        <v/>
      </c>
      <c r="H263" s="8" t="n">
        <f aca="false">IFERROR(VALUE(SUBSTITUTE(Nexto!P248,".",",")),0)</f>
        <v>0</v>
      </c>
      <c r="I263" s="9" t="str">
        <f aca="false">SUBSTITUTE(Azymut!D263,"-","")</f>
        <v/>
      </c>
      <c r="J263" s="9" t="n">
        <f aca="false">VALUE(SUBSTITUTE(Azymut!O263,".",","))</f>
        <v>0</v>
      </c>
      <c r="K263" s="9" t="str">
        <f aca="false">SUBSTITUTE(Ebookpoint!E275,"-","")</f>
        <v/>
      </c>
      <c r="L263" s="9" t="str">
        <f aca="false">SUBSTITUTE(Nasbi!E275,"-","")</f>
        <v/>
      </c>
      <c r="M263" s="9" t="n">
        <f aca="false">VALUE(SUBSTITUTE(StorytelE!G263,".",","))</f>
        <v>0</v>
      </c>
      <c r="N263" s="9" t="n">
        <f aca="false">VALUE(SUBSTITUTE(StorytelA!G263,".",","))</f>
        <v>0</v>
      </c>
      <c r="O263" s="9" t="n">
        <f aca="false">VALUE(SUBSTITUTE(StorytelE!M263,".",","))</f>
        <v>0</v>
      </c>
      <c r="P263" s="9" t="n">
        <f aca="false">VALUE(SUBSTITUTE(StorytelA!M263,".",","))</f>
        <v>0</v>
      </c>
      <c r="Q263" s="29"/>
      <c r="R263" s="29" t="n">
        <f aca="false">VALUE(SUBSTITUTE(Woblink!H275,".",","))</f>
        <v>0</v>
      </c>
      <c r="S263" s="9" t="str">
        <f aca="false">SUBSTITUTE(AzymutB!D263,"-","")</f>
        <v/>
      </c>
      <c r="T263" s="9" t="n">
        <f aca="false">VALUE(SUBSTITUTE(AzymutB!O263,".",","))</f>
        <v>0</v>
      </c>
      <c r="U263" s="9" t="str">
        <f aca="false">SUBSTITUTE(Audioteka!Q265,"-","")</f>
        <v/>
      </c>
    </row>
    <row r="264" customFormat="false" ht="15.75" hidden="false" customHeight="false" outlineLevel="0" collapsed="false">
      <c r="A264" s="8" t="str">
        <f aca="false">SUBSTITUTE(Histmag!B264,"-","")</f>
        <v/>
      </c>
      <c r="B264" s="9" t="n">
        <f aca="false">VALUE(SUBSTITUTE(Histmag!D264,".",","))</f>
        <v>0</v>
      </c>
      <c r="C264" s="8" t="str">
        <f aca="false">SUBSTITUTE(Virtualo!G264,"-","")</f>
        <v/>
      </c>
      <c r="D264" s="8" t="str">
        <f aca="false">SUBSTITUTE(Empik!F264,"-","")</f>
        <v/>
      </c>
      <c r="E264" s="8" t="str">
        <f aca="false">SUBSTITUTE(Publio!H264,"-","")</f>
        <v/>
      </c>
      <c r="F264" s="8" t="n">
        <f aca="false">VALUE(SUBSTITUTE(Publio!Q264,".",","))</f>
        <v>0</v>
      </c>
      <c r="G264" s="8" t="str">
        <f aca="false">IFERROR(IF(SEARCH("-", Nexto!B245), SUBSTITUTE(Nexto!B245,"-","")), "")</f>
        <v/>
      </c>
      <c r="H264" s="8" t="n">
        <f aca="false">IFERROR(VALUE(SUBSTITUTE(Nexto!P249,".",",")),0)</f>
        <v>0</v>
      </c>
      <c r="I264" s="9" t="str">
        <f aca="false">SUBSTITUTE(Azymut!D264,"-","")</f>
        <v/>
      </c>
      <c r="J264" s="9" t="n">
        <f aca="false">VALUE(SUBSTITUTE(Azymut!O264,".",","))</f>
        <v>0</v>
      </c>
      <c r="K264" s="9" t="str">
        <f aca="false">SUBSTITUTE(Ebookpoint!E276,"-","")</f>
        <v/>
      </c>
      <c r="L264" s="9" t="str">
        <f aca="false">SUBSTITUTE(Nasbi!E276,"-","")</f>
        <v/>
      </c>
      <c r="M264" s="9" t="n">
        <f aca="false">VALUE(SUBSTITUTE(StorytelE!G264,".",","))</f>
        <v>0</v>
      </c>
      <c r="N264" s="9" t="n">
        <f aca="false">VALUE(SUBSTITUTE(StorytelA!G264,".",","))</f>
        <v>0</v>
      </c>
      <c r="O264" s="9" t="n">
        <f aca="false">VALUE(SUBSTITUTE(StorytelE!M264,".",","))</f>
        <v>0</v>
      </c>
      <c r="P264" s="9" t="n">
        <f aca="false">VALUE(SUBSTITUTE(StorytelA!M264,".",","))</f>
        <v>0</v>
      </c>
      <c r="Q264" s="29"/>
      <c r="R264" s="29" t="n">
        <f aca="false">VALUE(SUBSTITUTE(Woblink!H276,".",","))</f>
        <v>0</v>
      </c>
      <c r="S264" s="9" t="str">
        <f aca="false">SUBSTITUTE(AzymutB!D264,"-","")</f>
        <v/>
      </c>
      <c r="T264" s="9" t="n">
        <f aca="false">VALUE(SUBSTITUTE(AzymutB!O264,".",","))</f>
        <v>0</v>
      </c>
      <c r="U264" s="9" t="str">
        <f aca="false">SUBSTITUTE(Audioteka!Q266,"-","")</f>
        <v/>
      </c>
    </row>
    <row r="265" customFormat="false" ht="15.75" hidden="false" customHeight="false" outlineLevel="0" collapsed="false">
      <c r="A265" s="8" t="str">
        <f aca="false">SUBSTITUTE(Histmag!B265,"-","")</f>
        <v/>
      </c>
      <c r="B265" s="9" t="n">
        <f aca="false">VALUE(SUBSTITUTE(Histmag!D265,".",","))</f>
        <v>0</v>
      </c>
      <c r="C265" s="8" t="str">
        <f aca="false">SUBSTITUTE(Virtualo!G265,"-","")</f>
        <v/>
      </c>
      <c r="D265" s="8" t="str">
        <f aca="false">SUBSTITUTE(Empik!F265,"-","")</f>
        <v/>
      </c>
      <c r="E265" s="8" t="str">
        <f aca="false">SUBSTITUTE(Publio!H265,"-","")</f>
        <v/>
      </c>
      <c r="F265" s="8" t="n">
        <f aca="false">VALUE(SUBSTITUTE(Publio!Q265,".",","))</f>
        <v>0</v>
      </c>
      <c r="G265" s="8" t="str">
        <f aca="false">IFERROR(IF(SEARCH("-", Nexto!B246), SUBSTITUTE(Nexto!B246,"-","")), "")</f>
        <v/>
      </c>
      <c r="H265" s="8" t="n">
        <f aca="false">IFERROR(VALUE(SUBSTITUTE(Nexto!P250,".",",")),0)</f>
        <v>0</v>
      </c>
      <c r="I265" s="9" t="str">
        <f aca="false">SUBSTITUTE(Azymut!D265,"-","")</f>
        <v/>
      </c>
      <c r="J265" s="9" t="n">
        <f aca="false">VALUE(SUBSTITUTE(Azymut!O265,".",","))</f>
        <v>0</v>
      </c>
      <c r="K265" s="9" t="str">
        <f aca="false">SUBSTITUTE(Ebookpoint!E277,"-","")</f>
        <v/>
      </c>
      <c r="L265" s="9" t="str">
        <f aca="false">SUBSTITUTE(Nasbi!E277,"-","")</f>
        <v/>
      </c>
      <c r="M265" s="9" t="n">
        <f aca="false">VALUE(SUBSTITUTE(StorytelE!G265,".",","))</f>
        <v>0</v>
      </c>
      <c r="N265" s="9" t="n">
        <f aca="false">VALUE(SUBSTITUTE(StorytelA!G265,".",","))</f>
        <v>0</v>
      </c>
      <c r="O265" s="9" t="n">
        <f aca="false">VALUE(SUBSTITUTE(StorytelE!M265,".",","))</f>
        <v>0</v>
      </c>
      <c r="P265" s="9" t="n">
        <f aca="false">VALUE(SUBSTITUTE(StorytelA!M265,".",","))</f>
        <v>0</v>
      </c>
      <c r="Q265" s="29"/>
      <c r="R265" s="29" t="n">
        <f aca="false">VALUE(SUBSTITUTE(Woblink!H277,".",","))</f>
        <v>0</v>
      </c>
      <c r="S265" s="9" t="str">
        <f aca="false">SUBSTITUTE(AzymutB!D265,"-","")</f>
        <v/>
      </c>
      <c r="T265" s="9" t="n">
        <f aca="false">VALUE(SUBSTITUTE(AzymutB!O265,".",","))</f>
        <v>0</v>
      </c>
      <c r="U265" s="9" t="str">
        <f aca="false">SUBSTITUTE(Audioteka!Q267,"-","")</f>
        <v/>
      </c>
    </row>
    <row r="266" customFormat="false" ht="15.75" hidden="false" customHeight="false" outlineLevel="0" collapsed="false">
      <c r="A266" s="8" t="str">
        <f aca="false">SUBSTITUTE(Histmag!B266,"-","")</f>
        <v/>
      </c>
      <c r="B266" s="9" t="n">
        <f aca="false">VALUE(SUBSTITUTE(Histmag!D266,".",","))</f>
        <v>0</v>
      </c>
      <c r="C266" s="8" t="str">
        <f aca="false">SUBSTITUTE(Virtualo!G266,"-","")</f>
        <v/>
      </c>
      <c r="D266" s="8" t="str">
        <f aca="false">SUBSTITUTE(Empik!F266,"-","")</f>
        <v/>
      </c>
      <c r="E266" s="8" t="str">
        <f aca="false">SUBSTITUTE(Publio!H266,"-","")</f>
        <v/>
      </c>
      <c r="F266" s="8" t="n">
        <f aca="false">VALUE(SUBSTITUTE(Publio!Q266,".",","))</f>
        <v>0</v>
      </c>
      <c r="G266" s="8" t="str">
        <f aca="false">IFERROR(IF(SEARCH("-", Nexto!B247), SUBSTITUTE(Nexto!B247,"-","")), "")</f>
        <v/>
      </c>
      <c r="H266" s="8" t="n">
        <f aca="false">IFERROR(VALUE(SUBSTITUTE(Nexto!P251,".",",")),0)</f>
        <v>0</v>
      </c>
      <c r="I266" s="9" t="str">
        <f aca="false">SUBSTITUTE(Azymut!D266,"-","")</f>
        <v/>
      </c>
      <c r="J266" s="9" t="n">
        <f aca="false">VALUE(SUBSTITUTE(Azymut!O266,".",","))</f>
        <v>0</v>
      </c>
      <c r="K266" s="9" t="str">
        <f aca="false">SUBSTITUTE(Ebookpoint!E278,"-","")</f>
        <v/>
      </c>
      <c r="L266" s="9" t="str">
        <f aca="false">SUBSTITUTE(Nasbi!E278,"-","")</f>
        <v/>
      </c>
      <c r="M266" s="9" t="n">
        <f aca="false">VALUE(SUBSTITUTE(StorytelE!G266,".",","))</f>
        <v>0</v>
      </c>
      <c r="N266" s="9" t="n">
        <f aca="false">VALUE(SUBSTITUTE(StorytelA!G266,".",","))</f>
        <v>0</v>
      </c>
      <c r="O266" s="9" t="n">
        <f aca="false">VALUE(SUBSTITUTE(StorytelE!M266,".",","))</f>
        <v>0</v>
      </c>
      <c r="P266" s="9" t="n">
        <f aca="false">VALUE(SUBSTITUTE(StorytelA!M266,".",","))</f>
        <v>0</v>
      </c>
      <c r="Q266" s="29"/>
      <c r="R266" s="29" t="n">
        <f aca="false">VALUE(SUBSTITUTE(Woblink!H278,".",","))</f>
        <v>0</v>
      </c>
      <c r="S266" s="9" t="str">
        <f aca="false">SUBSTITUTE(AzymutB!D266,"-","")</f>
        <v/>
      </c>
      <c r="T266" s="9" t="n">
        <f aca="false">VALUE(SUBSTITUTE(AzymutB!O266,".",","))</f>
        <v>0</v>
      </c>
      <c r="U266" s="9" t="str">
        <f aca="false">SUBSTITUTE(Audioteka!Q268,"-","")</f>
        <v/>
      </c>
    </row>
    <row r="267" customFormat="false" ht="15.75" hidden="false" customHeight="false" outlineLevel="0" collapsed="false">
      <c r="A267" s="8" t="str">
        <f aca="false">SUBSTITUTE(Histmag!B267,"-","")</f>
        <v/>
      </c>
      <c r="B267" s="9" t="n">
        <f aca="false">VALUE(SUBSTITUTE(Histmag!D267,".",","))</f>
        <v>0</v>
      </c>
      <c r="C267" s="8" t="str">
        <f aca="false">SUBSTITUTE(Virtualo!G267,"-","")</f>
        <v/>
      </c>
      <c r="D267" s="8" t="str">
        <f aca="false">SUBSTITUTE(Empik!F267,"-","")</f>
        <v/>
      </c>
      <c r="E267" s="8" t="str">
        <f aca="false">SUBSTITUTE(Publio!H267,"-","")</f>
        <v/>
      </c>
      <c r="F267" s="8" t="n">
        <f aca="false">VALUE(SUBSTITUTE(Publio!Q267,".",","))</f>
        <v>0</v>
      </c>
      <c r="G267" s="8" t="str">
        <f aca="false">IFERROR(IF(SEARCH("-", Nexto!B248), SUBSTITUTE(Nexto!B248,"-","")), "")</f>
        <v/>
      </c>
      <c r="H267" s="8" t="n">
        <f aca="false">IFERROR(VALUE(SUBSTITUTE(Nexto!P252,".",",")),0)</f>
        <v>0</v>
      </c>
      <c r="I267" s="9" t="str">
        <f aca="false">SUBSTITUTE(Azymut!D267,"-","")</f>
        <v/>
      </c>
      <c r="J267" s="9" t="n">
        <f aca="false">VALUE(SUBSTITUTE(Azymut!O267,".",","))</f>
        <v>0</v>
      </c>
      <c r="K267" s="9" t="str">
        <f aca="false">SUBSTITUTE(Ebookpoint!E279,"-","")</f>
        <v/>
      </c>
      <c r="L267" s="9" t="str">
        <f aca="false">SUBSTITUTE(Nasbi!E279,"-","")</f>
        <v/>
      </c>
      <c r="M267" s="9" t="n">
        <f aca="false">VALUE(SUBSTITUTE(StorytelE!G267,".",","))</f>
        <v>0</v>
      </c>
      <c r="N267" s="9" t="n">
        <f aca="false">VALUE(SUBSTITUTE(StorytelA!G267,".",","))</f>
        <v>0</v>
      </c>
      <c r="O267" s="9" t="n">
        <f aca="false">VALUE(SUBSTITUTE(StorytelE!M267,".",","))</f>
        <v>0</v>
      </c>
      <c r="P267" s="9" t="n">
        <f aca="false">VALUE(SUBSTITUTE(StorytelA!M267,".",","))</f>
        <v>0</v>
      </c>
      <c r="Q267" s="29"/>
      <c r="R267" s="29" t="n">
        <f aca="false">VALUE(SUBSTITUTE(Woblink!H279,".",","))</f>
        <v>0</v>
      </c>
      <c r="S267" s="9" t="str">
        <f aca="false">SUBSTITUTE(AzymutB!D267,"-","")</f>
        <v/>
      </c>
      <c r="T267" s="9" t="n">
        <f aca="false">VALUE(SUBSTITUTE(AzymutB!O267,".",","))</f>
        <v>0</v>
      </c>
      <c r="U267" s="9" t="str">
        <f aca="false">SUBSTITUTE(Audioteka!Q269,"-","")</f>
        <v/>
      </c>
    </row>
    <row r="268" customFormat="false" ht="15.75" hidden="false" customHeight="false" outlineLevel="0" collapsed="false">
      <c r="A268" s="8" t="str">
        <f aca="false">SUBSTITUTE(Histmag!B268,"-","")</f>
        <v/>
      </c>
      <c r="B268" s="9" t="n">
        <f aca="false">VALUE(SUBSTITUTE(Histmag!D268,".",","))</f>
        <v>0</v>
      </c>
      <c r="C268" s="8" t="str">
        <f aca="false">SUBSTITUTE(Virtualo!G268,"-","")</f>
        <v/>
      </c>
      <c r="D268" s="8" t="str">
        <f aca="false">SUBSTITUTE(Empik!F268,"-","")</f>
        <v/>
      </c>
      <c r="E268" s="8" t="str">
        <f aca="false">SUBSTITUTE(Publio!H268,"-","")</f>
        <v/>
      </c>
      <c r="F268" s="8" t="n">
        <f aca="false">VALUE(SUBSTITUTE(Publio!Q268,".",","))</f>
        <v>0</v>
      </c>
      <c r="G268" s="8" t="str">
        <f aca="false">IFERROR(IF(SEARCH("-", Nexto!B249), SUBSTITUTE(Nexto!B249,"-","")), "")</f>
        <v/>
      </c>
      <c r="H268" s="8" t="n">
        <f aca="false">IFERROR(VALUE(SUBSTITUTE(Nexto!P253,".",",")),0)</f>
        <v>0</v>
      </c>
      <c r="I268" s="9" t="str">
        <f aca="false">SUBSTITUTE(Azymut!D268,"-","")</f>
        <v/>
      </c>
      <c r="J268" s="9" t="n">
        <f aca="false">VALUE(SUBSTITUTE(Azymut!O268,".",","))</f>
        <v>0</v>
      </c>
      <c r="K268" s="9" t="str">
        <f aca="false">SUBSTITUTE(Ebookpoint!E280,"-","")</f>
        <v/>
      </c>
      <c r="L268" s="9" t="str">
        <f aca="false">SUBSTITUTE(Nasbi!E280,"-","")</f>
        <v/>
      </c>
      <c r="M268" s="9" t="n">
        <f aca="false">VALUE(SUBSTITUTE(StorytelE!G268,".",","))</f>
        <v>0</v>
      </c>
      <c r="N268" s="9" t="n">
        <f aca="false">VALUE(SUBSTITUTE(StorytelA!G268,".",","))</f>
        <v>0</v>
      </c>
      <c r="O268" s="9" t="n">
        <f aca="false">VALUE(SUBSTITUTE(StorytelE!M268,".",","))</f>
        <v>0</v>
      </c>
      <c r="P268" s="9" t="n">
        <f aca="false">VALUE(SUBSTITUTE(StorytelA!M268,".",","))</f>
        <v>0</v>
      </c>
      <c r="Q268" s="29"/>
      <c r="R268" s="29" t="n">
        <f aca="false">VALUE(SUBSTITUTE(Woblink!H280,".",","))</f>
        <v>0</v>
      </c>
      <c r="S268" s="9" t="str">
        <f aca="false">SUBSTITUTE(AzymutB!D268,"-","")</f>
        <v/>
      </c>
      <c r="T268" s="9" t="n">
        <f aca="false">VALUE(SUBSTITUTE(AzymutB!O268,".",","))</f>
        <v>0</v>
      </c>
      <c r="U268" s="9" t="str">
        <f aca="false">SUBSTITUTE(Audioteka!Q270,"-","")</f>
        <v/>
      </c>
    </row>
    <row r="269" customFormat="false" ht="15.75" hidden="false" customHeight="false" outlineLevel="0" collapsed="false">
      <c r="A269" s="8" t="str">
        <f aca="false">SUBSTITUTE(Histmag!B269,"-","")</f>
        <v/>
      </c>
      <c r="B269" s="9" t="n">
        <f aca="false">VALUE(SUBSTITUTE(Histmag!D269,".",","))</f>
        <v>0</v>
      </c>
      <c r="C269" s="8" t="str">
        <f aca="false">SUBSTITUTE(Virtualo!G269,"-","")</f>
        <v/>
      </c>
      <c r="D269" s="8" t="str">
        <f aca="false">SUBSTITUTE(Empik!F269,"-","")</f>
        <v/>
      </c>
      <c r="E269" s="8" t="str">
        <f aca="false">SUBSTITUTE(Publio!H269,"-","")</f>
        <v/>
      </c>
      <c r="F269" s="8" t="n">
        <f aca="false">VALUE(SUBSTITUTE(Publio!Q269,".",","))</f>
        <v>0</v>
      </c>
      <c r="G269" s="8" t="str">
        <f aca="false">IFERROR(IF(SEARCH("-", Nexto!B250), SUBSTITUTE(Nexto!B250,"-","")), "")</f>
        <v/>
      </c>
      <c r="H269" s="8" t="n">
        <f aca="false">IFERROR(VALUE(SUBSTITUTE(Nexto!P254,".",",")),0)</f>
        <v>0</v>
      </c>
      <c r="I269" s="9" t="str">
        <f aca="false">SUBSTITUTE(Azymut!D269,"-","")</f>
        <v/>
      </c>
      <c r="J269" s="9" t="n">
        <f aca="false">VALUE(SUBSTITUTE(Azymut!O269,".",","))</f>
        <v>0</v>
      </c>
      <c r="K269" s="9" t="str">
        <f aca="false">SUBSTITUTE(Ebookpoint!E281,"-","")</f>
        <v/>
      </c>
      <c r="L269" s="9" t="str">
        <f aca="false">SUBSTITUTE(Nasbi!E281,"-","")</f>
        <v/>
      </c>
      <c r="M269" s="9" t="n">
        <f aca="false">VALUE(SUBSTITUTE(StorytelE!G269,".",","))</f>
        <v>0</v>
      </c>
      <c r="N269" s="9" t="n">
        <f aca="false">VALUE(SUBSTITUTE(StorytelA!G269,".",","))</f>
        <v>0</v>
      </c>
      <c r="O269" s="9" t="n">
        <f aca="false">VALUE(SUBSTITUTE(StorytelE!M269,".",","))</f>
        <v>0</v>
      </c>
      <c r="P269" s="9" t="n">
        <f aca="false">VALUE(SUBSTITUTE(StorytelA!M269,".",","))</f>
        <v>0</v>
      </c>
      <c r="Q269" s="29"/>
      <c r="R269" s="29" t="n">
        <f aca="false">VALUE(SUBSTITUTE(Woblink!H281,".",","))</f>
        <v>0</v>
      </c>
      <c r="S269" s="9" t="str">
        <f aca="false">SUBSTITUTE(AzymutB!D269,"-","")</f>
        <v/>
      </c>
      <c r="T269" s="9" t="n">
        <f aca="false">VALUE(SUBSTITUTE(AzymutB!O269,".",","))</f>
        <v>0</v>
      </c>
      <c r="U269" s="9" t="str">
        <f aca="false">SUBSTITUTE(Audioteka!Q271,"-","")</f>
        <v/>
      </c>
    </row>
    <row r="270" customFormat="false" ht="15.75" hidden="false" customHeight="false" outlineLevel="0" collapsed="false">
      <c r="A270" s="8" t="str">
        <f aca="false">SUBSTITUTE(Histmag!B270,"-","")</f>
        <v/>
      </c>
      <c r="B270" s="9" t="n">
        <f aca="false">VALUE(SUBSTITUTE(Histmag!D270,".",","))</f>
        <v>0</v>
      </c>
      <c r="C270" s="8" t="str">
        <f aca="false">SUBSTITUTE(Virtualo!G270,"-","")</f>
        <v/>
      </c>
      <c r="D270" s="8" t="str">
        <f aca="false">SUBSTITUTE(Empik!F270,"-","")</f>
        <v/>
      </c>
      <c r="E270" s="8" t="str">
        <f aca="false">SUBSTITUTE(Publio!H270,"-","")</f>
        <v/>
      </c>
      <c r="F270" s="8" t="n">
        <f aca="false">VALUE(SUBSTITUTE(Publio!Q270,".",","))</f>
        <v>0</v>
      </c>
      <c r="G270" s="8" t="str">
        <f aca="false">IFERROR(IF(SEARCH("-", Nexto!B251), SUBSTITUTE(Nexto!B251,"-","")), "")</f>
        <v/>
      </c>
      <c r="H270" s="8" t="n">
        <f aca="false">IFERROR(VALUE(SUBSTITUTE(Nexto!P255,".",",")),0)</f>
        <v>0</v>
      </c>
      <c r="I270" s="9" t="str">
        <f aca="false">SUBSTITUTE(Azymut!D270,"-","")</f>
        <v/>
      </c>
      <c r="J270" s="9" t="n">
        <f aca="false">VALUE(SUBSTITUTE(Azymut!O270,".",","))</f>
        <v>0</v>
      </c>
      <c r="K270" s="9" t="str">
        <f aca="false">SUBSTITUTE(Ebookpoint!E282,"-","")</f>
        <v/>
      </c>
      <c r="L270" s="9" t="str">
        <f aca="false">SUBSTITUTE(Nasbi!E282,"-","")</f>
        <v/>
      </c>
      <c r="M270" s="9" t="n">
        <f aca="false">VALUE(SUBSTITUTE(StorytelE!G270,".",","))</f>
        <v>0</v>
      </c>
      <c r="N270" s="9" t="n">
        <f aca="false">VALUE(SUBSTITUTE(StorytelA!G270,".",","))</f>
        <v>0</v>
      </c>
      <c r="O270" s="9" t="n">
        <f aca="false">VALUE(SUBSTITUTE(StorytelE!M270,".",","))</f>
        <v>0</v>
      </c>
      <c r="P270" s="9" t="n">
        <f aca="false">VALUE(SUBSTITUTE(StorytelA!M270,".",","))</f>
        <v>0</v>
      </c>
      <c r="Q270" s="29"/>
      <c r="R270" s="29" t="n">
        <f aca="false">VALUE(SUBSTITUTE(Woblink!H282,".",","))</f>
        <v>0</v>
      </c>
      <c r="S270" s="9" t="str">
        <f aca="false">SUBSTITUTE(AzymutB!D270,"-","")</f>
        <v/>
      </c>
      <c r="T270" s="9" t="n">
        <f aca="false">VALUE(SUBSTITUTE(AzymutB!O270,".",","))</f>
        <v>0</v>
      </c>
      <c r="U270" s="9" t="str">
        <f aca="false">SUBSTITUTE(Audioteka!Q272,"-","")</f>
        <v/>
      </c>
    </row>
    <row r="271" customFormat="false" ht="15.75" hidden="false" customHeight="false" outlineLevel="0" collapsed="false">
      <c r="A271" s="8" t="str">
        <f aca="false">SUBSTITUTE(Histmag!B271,"-","")</f>
        <v/>
      </c>
      <c r="B271" s="9" t="n">
        <f aca="false">VALUE(SUBSTITUTE(Histmag!D271,".",","))</f>
        <v>0</v>
      </c>
      <c r="C271" s="8" t="str">
        <f aca="false">SUBSTITUTE(Virtualo!G271,"-","")</f>
        <v/>
      </c>
      <c r="D271" s="8" t="str">
        <f aca="false">SUBSTITUTE(Empik!F271,"-","")</f>
        <v/>
      </c>
      <c r="E271" s="8" t="str">
        <f aca="false">SUBSTITUTE(Publio!H271,"-","")</f>
        <v/>
      </c>
      <c r="F271" s="8" t="n">
        <f aca="false">VALUE(SUBSTITUTE(Publio!Q271,".",","))</f>
        <v>0</v>
      </c>
      <c r="G271" s="8" t="str">
        <f aca="false">IFERROR(IF(SEARCH("-", Nexto!B252), SUBSTITUTE(Nexto!B252,"-","")), "")</f>
        <v/>
      </c>
      <c r="H271" s="8" t="n">
        <f aca="false">IFERROR(VALUE(SUBSTITUTE(Nexto!P256,".",",")),0)</f>
        <v>0</v>
      </c>
      <c r="I271" s="9" t="str">
        <f aca="false">SUBSTITUTE(Azymut!D271,"-","")</f>
        <v/>
      </c>
      <c r="J271" s="9" t="n">
        <f aca="false">VALUE(SUBSTITUTE(Azymut!O271,".",","))</f>
        <v>0</v>
      </c>
      <c r="K271" s="9" t="str">
        <f aca="false">SUBSTITUTE(Ebookpoint!E283,"-","")</f>
        <v/>
      </c>
      <c r="L271" s="9" t="str">
        <f aca="false">SUBSTITUTE(Nasbi!E283,"-","")</f>
        <v/>
      </c>
      <c r="M271" s="9" t="n">
        <f aca="false">VALUE(SUBSTITUTE(StorytelE!G271,".",","))</f>
        <v>0</v>
      </c>
      <c r="N271" s="9" t="n">
        <f aca="false">VALUE(SUBSTITUTE(StorytelA!G271,".",","))</f>
        <v>0</v>
      </c>
      <c r="O271" s="9" t="n">
        <f aca="false">VALUE(SUBSTITUTE(StorytelE!M271,".",","))</f>
        <v>0</v>
      </c>
      <c r="P271" s="9" t="n">
        <f aca="false">VALUE(SUBSTITUTE(StorytelA!M271,".",","))</f>
        <v>0</v>
      </c>
      <c r="Q271" s="29"/>
      <c r="R271" s="29" t="n">
        <f aca="false">VALUE(SUBSTITUTE(Woblink!H283,".",","))</f>
        <v>0</v>
      </c>
      <c r="S271" s="9" t="str">
        <f aca="false">SUBSTITUTE(AzymutB!D271,"-","")</f>
        <v/>
      </c>
      <c r="T271" s="9" t="n">
        <f aca="false">VALUE(SUBSTITUTE(AzymutB!O271,".",","))</f>
        <v>0</v>
      </c>
      <c r="U271" s="9" t="str">
        <f aca="false">SUBSTITUTE(Audioteka!Q273,"-","")</f>
        <v/>
      </c>
    </row>
    <row r="272" customFormat="false" ht="15.75" hidden="false" customHeight="false" outlineLevel="0" collapsed="false">
      <c r="A272" s="8" t="str">
        <f aca="false">SUBSTITUTE(Histmag!B272,"-","")</f>
        <v/>
      </c>
      <c r="B272" s="9" t="n">
        <f aca="false">VALUE(SUBSTITUTE(Histmag!D272,".",","))</f>
        <v>0</v>
      </c>
      <c r="C272" s="8" t="str">
        <f aca="false">SUBSTITUTE(Virtualo!G272,"-","")</f>
        <v/>
      </c>
      <c r="D272" s="8" t="str">
        <f aca="false">SUBSTITUTE(Empik!F272,"-","")</f>
        <v/>
      </c>
      <c r="E272" s="8" t="str">
        <f aca="false">SUBSTITUTE(Publio!H272,"-","")</f>
        <v/>
      </c>
      <c r="F272" s="8" t="n">
        <f aca="false">VALUE(SUBSTITUTE(Publio!Q272,".",","))</f>
        <v>0</v>
      </c>
      <c r="G272" s="8" t="str">
        <f aca="false">IFERROR(IF(SEARCH("-", Nexto!B253), SUBSTITUTE(Nexto!B253,"-","")), "")</f>
        <v/>
      </c>
      <c r="H272" s="8" t="n">
        <f aca="false">IFERROR(VALUE(SUBSTITUTE(Nexto!P257,".",",")),0)</f>
        <v>0</v>
      </c>
      <c r="I272" s="9" t="str">
        <f aca="false">SUBSTITUTE(Azymut!D272,"-","")</f>
        <v/>
      </c>
      <c r="J272" s="9" t="n">
        <f aca="false">VALUE(SUBSTITUTE(Azymut!O272,".",","))</f>
        <v>0</v>
      </c>
      <c r="K272" s="9" t="str">
        <f aca="false">SUBSTITUTE(Ebookpoint!E284,"-","")</f>
        <v/>
      </c>
      <c r="L272" s="9" t="str">
        <f aca="false">SUBSTITUTE(Nasbi!E284,"-","")</f>
        <v/>
      </c>
      <c r="M272" s="9" t="n">
        <f aca="false">VALUE(SUBSTITUTE(StorytelE!G272,".",","))</f>
        <v>0</v>
      </c>
      <c r="N272" s="9" t="n">
        <f aca="false">VALUE(SUBSTITUTE(StorytelA!G272,".",","))</f>
        <v>0</v>
      </c>
      <c r="O272" s="9" t="n">
        <f aca="false">VALUE(SUBSTITUTE(StorytelE!M272,".",","))</f>
        <v>0</v>
      </c>
      <c r="P272" s="9" t="n">
        <f aca="false">VALUE(SUBSTITUTE(StorytelA!M272,".",","))</f>
        <v>0</v>
      </c>
      <c r="Q272" s="29"/>
      <c r="R272" s="29" t="n">
        <f aca="false">VALUE(SUBSTITUTE(Woblink!H284,".",","))</f>
        <v>0</v>
      </c>
      <c r="S272" s="9" t="str">
        <f aca="false">SUBSTITUTE(AzymutB!D272,"-","")</f>
        <v/>
      </c>
      <c r="T272" s="9" t="n">
        <f aca="false">VALUE(SUBSTITUTE(AzymutB!O272,".",","))</f>
        <v>0</v>
      </c>
      <c r="U272" s="9" t="str">
        <f aca="false">SUBSTITUTE(Audioteka!Q274,"-","")</f>
        <v/>
      </c>
    </row>
    <row r="273" customFormat="false" ht="15.75" hidden="false" customHeight="false" outlineLevel="0" collapsed="false">
      <c r="A273" s="8" t="str">
        <f aca="false">SUBSTITUTE(Histmag!B273,"-","")</f>
        <v/>
      </c>
      <c r="B273" s="9" t="n">
        <f aca="false">VALUE(SUBSTITUTE(Histmag!D273,".",","))</f>
        <v>0</v>
      </c>
      <c r="C273" s="8" t="str">
        <f aca="false">SUBSTITUTE(Virtualo!G273,"-","")</f>
        <v/>
      </c>
      <c r="D273" s="8" t="str">
        <f aca="false">SUBSTITUTE(Empik!F273,"-","")</f>
        <v/>
      </c>
      <c r="E273" s="8" t="str">
        <f aca="false">SUBSTITUTE(Publio!H273,"-","")</f>
        <v/>
      </c>
      <c r="F273" s="8" t="n">
        <f aca="false">VALUE(SUBSTITUTE(Publio!Q273,".",","))</f>
        <v>0</v>
      </c>
      <c r="G273" s="8" t="str">
        <f aca="false">IFERROR(IF(SEARCH("-", Nexto!B254), SUBSTITUTE(Nexto!B254,"-","")), "")</f>
        <v/>
      </c>
      <c r="H273" s="8" t="n">
        <f aca="false">IFERROR(VALUE(SUBSTITUTE(Nexto!P258,".",",")),0)</f>
        <v>0</v>
      </c>
      <c r="I273" s="9" t="str">
        <f aca="false">SUBSTITUTE(Azymut!D273,"-","")</f>
        <v/>
      </c>
      <c r="J273" s="9" t="n">
        <f aca="false">VALUE(SUBSTITUTE(Azymut!O273,".",","))</f>
        <v>0</v>
      </c>
      <c r="K273" s="9" t="str">
        <f aca="false">SUBSTITUTE(Ebookpoint!E285,"-","")</f>
        <v/>
      </c>
      <c r="L273" s="9" t="str">
        <f aca="false">SUBSTITUTE(Nasbi!E285,"-","")</f>
        <v/>
      </c>
      <c r="M273" s="9" t="n">
        <f aca="false">VALUE(SUBSTITUTE(StorytelE!G273,".",","))</f>
        <v>0</v>
      </c>
      <c r="N273" s="9" t="n">
        <f aca="false">VALUE(SUBSTITUTE(StorytelA!G273,".",","))</f>
        <v>0</v>
      </c>
      <c r="O273" s="9" t="n">
        <f aca="false">VALUE(SUBSTITUTE(StorytelE!M273,".",","))</f>
        <v>0</v>
      </c>
      <c r="P273" s="9" t="n">
        <f aca="false">VALUE(SUBSTITUTE(StorytelA!M273,".",","))</f>
        <v>0</v>
      </c>
      <c r="Q273" s="29"/>
      <c r="R273" s="29" t="n">
        <f aca="false">VALUE(SUBSTITUTE(Woblink!H285,".",","))</f>
        <v>0</v>
      </c>
      <c r="S273" s="9" t="str">
        <f aca="false">SUBSTITUTE(AzymutB!D273,"-","")</f>
        <v/>
      </c>
      <c r="T273" s="9" t="n">
        <f aca="false">VALUE(SUBSTITUTE(AzymutB!O273,".",","))</f>
        <v>0</v>
      </c>
      <c r="U273" s="9" t="str">
        <f aca="false">SUBSTITUTE(Audioteka!Q275,"-","")</f>
        <v/>
      </c>
    </row>
    <row r="274" customFormat="false" ht="15.75" hidden="false" customHeight="false" outlineLevel="0" collapsed="false">
      <c r="A274" s="8" t="str">
        <f aca="false">SUBSTITUTE(Histmag!B274,"-","")</f>
        <v/>
      </c>
      <c r="B274" s="9" t="n">
        <f aca="false">VALUE(SUBSTITUTE(Histmag!D274,".",","))</f>
        <v>0</v>
      </c>
      <c r="C274" s="8" t="str">
        <f aca="false">SUBSTITUTE(Virtualo!G274,"-","")</f>
        <v/>
      </c>
      <c r="D274" s="8" t="str">
        <f aca="false">SUBSTITUTE(Empik!F274,"-","")</f>
        <v/>
      </c>
      <c r="E274" s="8" t="str">
        <f aca="false">SUBSTITUTE(Publio!H274,"-","")</f>
        <v/>
      </c>
      <c r="F274" s="8" t="n">
        <f aca="false">VALUE(SUBSTITUTE(Publio!Q274,".",","))</f>
        <v>0</v>
      </c>
      <c r="G274" s="8" t="str">
        <f aca="false">IFERROR(IF(SEARCH("-", Nexto!B255), SUBSTITUTE(Nexto!B255,"-","")), "")</f>
        <v/>
      </c>
      <c r="H274" s="8" t="n">
        <f aca="false">IFERROR(VALUE(SUBSTITUTE(Nexto!P259,".",",")),0)</f>
        <v>0</v>
      </c>
      <c r="I274" s="9" t="str">
        <f aca="false">SUBSTITUTE(Azymut!D274,"-","")</f>
        <v/>
      </c>
      <c r="J274" s="9" t="n">
        <f aca="false">VALUE(SUBSTITUTE(Azymut!O274,".",","))</f>
        <v>0</v>
      </c>
      <c r="K274" s="9" t="str">
        <f aca="false">SUBSTITUTE(Ebookpoint!E286,"-","")</f>
        <v/>
      </c>
      <c r="L274" s="9" t="str">
        <f aca="false">SUBSTITUTE(Nasbi!E286,"-","")</f>
        <v/>
      </c>
      <c r="M274" s="9" t="n">
        <f aca="false">VALUE(SUBSTITUTE(StorytelE!G274,".",","))</f>
        <v>0</v>
      </c>
      <c r="N274" s="9" t="n">
        <f aca="false">VALUE(SUBSTITUTE(StorytelA!G274,".",","))</f>
        <v>0</v>
      </c>
      <c r="O274" s="9" t="n">
        <f aca="false">VALUE(SUBSTITUTE(StorytelE!M274,".",","))</f>
        <v>0</v>
      </c>
      <c r="P274" s="9" t="n">
        <f aca="false">VALUE(SUBSTITUTE(StorytelA!M274,".",","))</f>
        <v>0</v>
      </c>
      <c r="Q274" s="29"/>
      <c r="R274" s="29" t="n">
        <f aca="false">VALUE(SUBSTITUTE(Woblink!H286,".",","))</f>
        <v>0</v>
      </c>
      <c r="S274" s="9" t="str">
        <f aca="false">SUBSTITUTE(AzymutB!D274,"-","")</f>
        <v/>
      </c>
      <c r="T274" s="9" t="n">
        <f aca="false">VALUE(SUBSTITUTE(AzymutB!O274,".",","))</f>
        <v>0</v>
      </c>
      <c r="U274" s="9" t="str">
        <f aca="false">SUBSTITUTE(Audioteka!Q276,"-","")</f>
        <v/>
      </c>
    </row>
    <row r="275" customFormat="false" ht="15.75" hidden="false" customHeight="false" outlineLevel="0" collapsed="false">
      <c r="A275" s="8" t="str">
        <f aca="false">SUBSTITUTE(Histmag!B275,"-","")</f>
        <v/>
      </c>
      <c r="B275" s="9" t="n">
        <f aca="false">VALUE(SUBSTITUTE(Histmag!D275,".",","))</f>
        <v>0</v>
      </c>
      <c r="C275" s="8" t="str">
        <f aca="false">SUBSTITUTE(Virtualo!G275,"-","")</f>
        <v/>
      </c>
      <c r="D275" s="8" t="str">
        <f aca="false">SUBSTITUTE(Empik!F275,"-","")</f>
        <v/>
      </c>
      <c r="E275" s="8" t="str">
        <f aca="false">SUBSTITUTE(Publio!H275,"-","")</f>
        <v/>
      </c>
      <c r="F275" s="8" t="n">
        <f aca="false">VALUE(SUBSTITUTE(Publio!Q275,".",","))</f>
        <v>0</v>
      </c>
      <c r="G275" s="8" t="str">
        <f aca="false">IFERROR(IF(SEARCH("-", Nexto!B256), SUBSTITUTE(Nexto!B256,"-","")), "")</f>
        <v/>
      </c>
      <c r="H275" s="8" t="n">
        <f aca="false">IFERROR(VALUE(SUBSTITUTE(Nexto!P260,".",",")),0)</f>
        <v>0</v>
      </c>
      <c r="I275" s="9" t="str">
        <f aca="false">SUBSTITUTE(Azymut!D275,"-","")</f>
        <v/>
      </c>
      <c r="J275" s="9" t="n">
        <f aca="false">VALUE(SUBSTITUTE(Azymut!O275,".",","))</f>
        <v>0</v>
      </c>
      <c r="K275" s="9" t="str">
        <f aca="false">SUBSTITUTE(Ebookpoint!E287,"-","")</f>
        <v/>
      </c>
      <c r="L275" s="9" t="str">
        <f aca="false">SUBSTITUTE(Nasbi!E287,"-","")</f>
        <v/>
      </c>
      <c r="M275" s="9" t="n">
        <f aca="false">VALUE(SUBSTITUTE(StorytelE!G275,".",","))</f>
        <v>0</v>
      </c>
      <c r="N275" s="9" t="n">
        <f aca="false">VALUE(SUBSTITUTE(StorytelA!G275,".",","))</f>
        <v>0</v>
      </c>
      <c r="O275" s="9" t="n">
        <f aca="false">VALUE(SUBSTITUTE(StorytelE!M275,".",","))</f>
        <v>0</v>
      </c>
      <c r="P275" s="9" t="n">
        <f aca="false">VALUE(SUBSTITUTE(StorytelA!M275,".",","))</f>
        <v>0</v>
      </c>
      <c r="Q275" s="29"/>
      <c r="R275" s="29" t="n">
        <f aca="false">VALUE(SUBSTITUTE(Woblink!H287,".",","))</f>
        <v>0</v>
      </c>
      <c r="S275" s="9" t="str">
        <f aca="false">SUBSTITUTE(AzymutB!D275,"-","")</f>
        <v/>
      </c>
      <c r="T275" s="9" t="n">
        <f aca="false">VALUE(SUBSTITUTE(AzymutB!O275,".",","))</f>
        <v>0</v>
      </c>
      <c r="U275" s="9" t="str">
        <f aca="false">SUBSTITUTE(Audioteka!Q277,"-","")</f>
        <v/>
      </c>
    </row>
    <row r="276" customFormat="false" ht="15.75" hidden="false" customHeight="false" outlineLevel="0" collapsed="false">
      <c r="A276" s="8" t="str">
        <f aca="false">SUBSTITUTE(Histmag!B276,"-","")</f>
        <v/>
      </c>
      <c r="B276" s="9" t="n">
        <f aca="false">VALUE(SUBSTITUTE(Histmag!D276,".",","))</f>
        <v>0</v>
      </c>
      <c r="C276" s="8" t="str">
        <f aca="false">SUBSTITUTE(Virtualo!G276,"-","")</f>
        <v/>
      </c>
      <c r="D276" s="8" t="str">
        <f aca="false">SUBSTITUTE(Empik!F276,"-","")</f>
        <v/>
      </c>
      <c r="E276" s="8" t="str">
        <f aca="false">SUBSTITUTE(Publio!H276,"-","")</f>
        <v/>
      </c>
      <c r="F276" s="8" t="n">
        <f aca="false">VALUE(SUBSTITUTE(Publio!Q276,".",","))</f>
        <v>0</v>
      </c>
      <c r="G276" s="8" t="str">
        <f aca="false">IFERROR(IF(SEARCH("-", Nexto!B257), SUBSTITUTE(Nexto!B257,"-","")), "")</f>
        <v/>
      </c>
      <c r="H276" s="8" t="n">
        <f aca="false">IFERROR(VALUE(SUBSTITUTE(Nexto!P261,".",",")),0)</f>
        <v>0</v>
      </c>
      <c r="I276" s="9" t="str">
        <f aca="false">SUBSTITUTE(Azymut!D276,"-","")</f>
        <v/>
      </c>
      <c r="J276" s="9" t="n">
        <f aca="false">VALUE(SUBSTITUTE(Azymut!O276,".",","))</f>
        <v>0</v>
      </c>
      <c r="K276" s="9" t="str">
        <f aca="false">SUBSTITUTE(Ebookpoint!E288,"-","")</f>
        <v/>
      </c>
      <c r="L276" s="9" t="str">
        <f aca="false">SUBSTITUTE(Nasbi!E288,"-","")</f>
        <v/>
      </c>
      <c r="M276" s="9" t="n">
        <f aca="false">VALUE(SUBSTITUTE(StorytelE!G276,".",","))</f>
        <v>0</v>
      </c>
      <c r="N276" s="9" t="n">
        <f aca="false">VALUE(SUBSTITUTE(StorytelA!G276,".",","))</f>
        <v>0</v>
      </c>
      <c r="O276" s="9" t="n">
        <f aca="false">VALUE(SUBSTITUTE(StorytelE!M276,".",","))</f>
        <v>0</v>
      </c>
      <c r="P276" s="9" t="n">
        <f aca="false">VALUE(SUBSTITUTE(StorytelA!M276,".",","))</f>
        <v>0</v>
      </c>
      <c r="Q276" s="29"/>
      <c r="R276" s="29" t="n">
        <f aca="false">VALUE(SUBSTITUTE(Woblink!H288,".",","))</f>
        <v>0</v>
      </c>
      <c r="S276" s="9" t="str">
        <f aca="false">SUBSTITUTE(AzymutB!D276,"-","")</f>
        <v/>
      </c>
      <c r="T276" s="9" t="n">
        <f aca="false">VALUE(SUBSTITUTE(AzymutB!O276,".",","))</f>
        <v>0</v>
      </c>
      <c r="U276" s="9" t="str">
        <f aca="false">SUBSTITUTE(Audioteka!Q278,"-","")</f>
        <v/>
      </c>
    </row>
    <row r="277" customFormat="false" ht="15.75" hidden="false" customHeight="false" outlineLevel="0" collapsed="false">
      <c r="A277" s="8" t="str">
        <f aca="false">SUBSTITUTE(Histmag!B277,"-","")</f>
        <v/>
      </c>
      <c r="B277" s="9" t="n">
        <f aca="false">VALUE(SUBSTITUTE(Histmag!D277,".",","))</f>
        <v>0</v>
      </c>
      <c r="C277" s="8" t="str">
        <f aca="false">SUBSTITUTE(Virtualo!G277,"-","")</f>
        <v/>
      </c>
      <c r="D277" s="8" t="str">
        <f aca="false">SUBSTITUTE(Empik!F277,"-","")</f>
        <v/>
      </c>
      <c r="E277" s="8" t="str">
        <f aca="false">SUBSTITUTE(Publio!H277,"-","")</f>
        <v/>
      </c>
      <c r="F277" s="8" t="n">
        <f aca="false">VALUE(SUBSTITUTE(Publio!Q277,".",","))</f>
        <v>0</v>
      </c>
      <c r="G277" s="8" t="str">
        <f aca="false">IFERROR(IF(SEARCH("-", Nexto!B258), SUBSTITUTE(Nexto!B258,"-","")), "")</f>
        <v/>
      </c>
      <c r="H277" s="8" t="n">
        <f aca="false">IFERROR(VALUE(SUBSTITUTE(Nexto!P262,".",",")),0)</f>
        <v>0</v>
      </c>
      <c r="I277" s="9" t="str">
        <f aca="false">SUBSTITUTE(Azymut!D277,"-","")</f>
        <v/>
      </c>
      <c r="J277" s="9" t="n">
        <f aca="false">VALUE(SUBSTITUTE(Azymut!O277,".",","))</f>
        <v>0</v>
      </c>
      <c r="K277" s="9" t="str">
        <f aca="false">SUBSTITUTE(Ebookpoint!E289,"-","")</f>
        <v/>
      </c>
      <c r="L277" s="9" t="str">
        <f aca="false">SUBSTITUTE(Nasbi!E289,"-","")</f>
        <v/>
      </c>
      <c r="M277" s="9" t="n">
        <f aca="false">VALUE(SUBSTITUTE(StorytelE!G277,".",","))</f>
        <v>0</v>
      </c>
      <c r="N277" s="9" t="n">
        <f aca="false">VALUE(SUBSTITUTE(StorytelA!G277,".",","))</f>
        <v>0</v>
      </c>
      <c r="O277" s="9" t="n">
        <f aca="false">VALUE(SUBSTITUTE(StorytelE!M277,".",","))</f>
        <v>0</v>
      </c>
      <c r="P277" s="9" t="n">
        <f aca="false">VALUE(SUBSTITUTE(StorytelA!M277,".",","))</f>
        <v>0</v>
      </c>
      <c r="Q277" s="29"/>
      <c r="R277" s="29" t="n">
        <f aca="false">VALUE(SUBSTITUTE(Woblink!H289,".",","))</f>
        <v>0</v>
      </c>
      <c r="S277" s="9" t="str">
        <f aca="false">SUBSTITUTE(AzymutB!D277,"-","")</f>
        <v/>
      </c>
      <c r="T277" s="9" t="n">
        <f aca="false">VALUE(SUBSTITUTE(AzymutB!O277,".",","))</f>
        <v>0</v>
      </c>
      <c r="U277" s="9" t="str">
        <f aca="false">SUBSTITUTE(Audioteka!Q279,"-","")</f>
        <v/>
      </c>
    </row>
    <row r="278" customFormat="false" ht="15.75" hidden="false" customHeight="false" outlineLevel="0" collapsed="false">
      <c r="A278" s="8" t="str">
        <f aca="false">SUBSTITUTE(Histmag!B278,"-","")</f>
        <v/>
      </c>
      <c r="B278" s="9" t="n">
        <f aca="false">VALUE(SUBSTITUTE(Histmag!D278,".",","))</f>
        <v>0</v>
      </c>
      <c r="C278" s="8" t="str">
        <f aca="false">SUBSTITUTE(Virtualo!G278,"-","")</f>
        <v/>
      </c>
      <c r="D278" s="8" t="str">
        <f aca="false">SUBSTITUTE(Empik!F278,"-","")</f>
        <v/>
      </c>
      <c r="E278" s="8" t="str">
        <f aca="false">SUBSTITUTE(Publio!H278,"-","")</f>
        <v/>
      </c>
      <c r="F278" s="8" t="n">
        <f aca="false">VALUE(SUBSTITUTE(Publio!Q278,".",","))</f>
        <v>0</v>
      </c>
      <c r="G278" s="8" t="str">
        <f aca="false">IFERROR(IF(SEARCH("-", Nexto!B259), SUBSTITUTE(Nexto!B259,"-","")), "")</f>
        <v/>
      </c>
      <c r="H278" s="8" t="n">
        <f aca="false">IFERROR(VALUE(SUBSTITUTE(Nexto!P263,".",",")),0)</f>
        <v>0</v>
      </c>
      <c r="I278" s="9" t="str">
        <f aca="false">SUBSTITUTE(Azymut!D278,"-","")</f>
        <v/>
      </c>
      <c r="J278" s="9" t="n">
        <f aca="false">VALUE(SUBSTITUTE(Azymut!O278,".",","))</f>
        <v>0</v>
      </c>
      <c r="K278" s="9" t="str">
        <f aca="false">SUBSTITUTE(Ebookpoint!E290,"-","")</f>
        <v/>
      </c>
      <c r="L278" s="9" t="str">
        <f aca="false">SUBSTITUTE(Nasbi!E290,"-","")</f>
        <v/>
      </c>
      <c r="M278" s="9" t="n">
        <f aca="false">VALUE(SUBSTITUTE(StorytelE!G278,".",","))</f>
        <v>0</v>
      </c>
      <c r="N278" s="9" t="n">
        <f aca="false">VALUE(SUBSTITUTE(StorytelA!G278,".",","))</f>
        <v>0</v>
      </c>
      <c r="O278" s="9" t="n">
        <f aca="false">VALUE(SUBSTITUTE(StorytelE!M278,".",","))</f>
        <v>0</v>
      </c>
      <c r="P278" s="9" t="n">
        <f aca="false">VALUE(SUBSTITUTE(StorytelA!M278,".",","))</f>
        <v>0</v>
      </c>
      <c r="Q278" s="29"/>
      <c r="R278" s="29" t="n">
        <f aca="false">VALUE(SUBSTITUTE(Woblink!H290,".",","))</f>
        <v>0</v>
      </c>
      <c r="S278" s="9" t="str">
        <f aca="false">SUBSTITUTE(AzymutB!D278,"-","")</f>
        <v/>
      </c>
      <c r="T278" s="9" t="n">
        <f aca="false">VALUE(SUBSTITUTE(AzymutB!O278,".",","))</f>
        <v>0</v>
      </c>
      <c r="U278" s="9" t="str">
        <f aca="false">SUBSTITUTE(Audioteka!Q280,"-","")</f>
        <v/>
      </c>
    </row>
    <row r="279" customFormat="false" ht="15.75" hidden="false" customHeight="false" outlineLevel="0" collapsed="false">
      <c r="A279" s="8" t="str">
        <f aca="false">SUBSTITUTE(Histmag!B279,"-","")</f>
        <v/>
      </c>
      <c r="B279" s="9" t="n">
        <f aca="false">VALUE(SUBSTITUTE(Histmag!D279,".",","))</f>
        <v>0</v>
      </c>
      <c r="C279" s="8" t="str">
        <f aca="false">SUBSTITUTE(Virtualo!G279,"-","")</f>
        <v/>
      </c>
      <c r="D279" s="8" t="str">
        <f aca="false">SUBSTITUTE(Empik!F279,"-","")</f>
        <v/>
      </c>
      <c r="E279" s="8" t="str">
        <f aca="false">SUBSTITUTE(Publio!H279,"-","")</f>
        <v/>
      </c>
      <c r="F279" s="8" t="n">
        <f aca="false">VALUE(SUBSTITUTE(Publio!Q279,".",","))</f>
        <v>0</v>
      </c>
      <c r="G279" s="8" t="str">
        <f aca="false">IFERROR(IF(SEARCH("-", Nexto!B260), SUBSTITUTE(Nexto!B260,"-","")), "")</f>
        <v/>
      </c>
      <c r="H279" s="8" t="n">
        <f aca="false">IFERROR(VALUE(SUBSTITUTE(Nexto!P264,".",",")),0)</f>
        <v>0</v>
      </c>
      <c r="I279" s="9" t="str">
        <f aca="false">SUBSTITUTE(Azymut!D279,"-","")</f>
        <v/>
      </c>
      <c r="J279" s="9" t="n">
        <f aca="false">VALUE(SUBSTITUTE(Azymut!O279,".",","))</f>
        <v>0</v>
      </c>
      <c r="K279" s="9" t="str">
        <f aca="false">SUBSTITUTE(Ebookpoint!E291,"-","")</f>
        <v/>
      </c>
      <c r="L279" s="9" t="str">
        <f aca="false">SUBSTITUTE(Nasbi!E291,"-","")</f>
        <v/>
      </c>
      <c r="M279" s="9" t="n">
        <f aca="false">VALUE(SUBSTITUTE(StorytelE!G279,".",","))</f>
        <v>0</v>
      </c>
      <c r="N279" s="9" t="n">
        <f aca="false">VALUE(SUBSTITUTE(StorytelA!G279,".",","))</f>
        <v>0</v>
      </c>
      <c r="O279" s="9" t="n">
        <f aca="false">VALUE(SUBSTITUTE(StorytelE!M279,".",","))</f>
        <v>0</v>
      </c>
      <c r="P279" s="9" t="n">
        <f aca="false">VALUE(SUBSTITUTE(StorytelA!M279,".",","))</f>
        <v>0</v>
      </c>
      <c r="Q279" s="29"/>
      <c r="R279" s="29" t="n">
        <f aca="false">VALUE(SUBSTITUTE(Woblink!H291,".",","))</f>
        <v>0</v>
      </c>
      <c r="S279" s="9" t="str">
        <f aca="false">SUBSTITUTE(AzymutB!D279,"-","")</f>
        <v/>
      </c>
      <c r="T279" s="9" t="n">
        <f aca="false">VALUE(SUBSTITUTE(AzymutB!O279,".",","))</f>
        <v>0</v>
      </c>
      <c r="U279" s="9" t="str">
        <f aca="false">SUBSTITUTE(Audioteka!Q281,"-","")</f>
        <v/>
      </c>
    </row>
    <row r="280" customFormat="false" ht="15.75" hidden="false" customHeight="false" outlineLevel="0" collapsed="false">
      <c r="A280" s="8" t="str">
        <f aca="false">SUBSTITUTE(Histmag!B280,"-","")</f>
        <v/>
      </c>
      <c r="B280" s="9" t="n">
        <f aca="false">VALUE(SUBSTITUTE(Histmag!D280,".",","))</f>
        <v>0</v>
      </c>
      <c r="C280" s="8" t="str">
        <f aca="false">SUBSTITUTE(Virtualo!G280,"-","")</f>
        <v/>
      </c>
      <c r="D280" s="8" t="str">
        <f aca="false">SUBSTITUTE(Empik!F280,"-","")</f>
        <v/>
      </c>
      <c r="E280" s="8" t="str">
        <f aca="false">SUBSTITUTE(Publio!H280,"-","")</f>
        <v/>
      </c>
      <c r="F280" s="8" t="n">
        <f aca="false">VALUE(SUBSTITUTE(Publio!Q280,".",","))</f>
        <v>0</v>
      </c>
      <c r="G280" s="8" t="str">
        <f aca="false">IFERROR(IF(SEARCH("-", Nexto!B261), SUBSTITUTE(Nexto!B261,"-","")), "")</f>
        <v/>
      </c>
      <c r="H280" s="8" t="n">
        <f aca="false">IFERROR(VALUE(SUBSTITUTE(Nexto!P265,".",",")),0)</f>
        <v>0</v>
      </c>
      <c r="I280" s="9" t="str">
        <f aca="false">SUBSTITUTE(Azymut!D280,"-","")</f>
        <v/>
      </c>
      <c r="J280" s="9" t="n">
        <f aca="false">VALUE(SUBSTITUTE(Azymut!O280,".",","))</f>
        <v>0</v>
      </c>
      <c r="K280" s="9" t="str">
        <f aca="false">SUBSTITUTE(Ebookpoint!E292,"-","")</f>
        <v/>
      </c>
      <c r="L280" s="9" t="str">
        <f aca="false">SUBSTITUTE(Nasbi!E292,"-","")</f>
        <v/>
      </c>
      <c r="M280" s="9" t="n">
        <f aca="false">VALUE(SUBSTITUTE(StorytelE!G280,".",","))</f>
        <v>0</v>
      </c>
      <c r="N280" s="9" t="n">
        <f aca="false">VALUE(SUBSTITUTE(StorytelA!G280,".",","))</f>
        <v>0</v>
      </c>
      <c r="O280" s="9" t="n">
        <f aca="false">VALUE(SUBSTITUTE(StorytelE!M280,".",","))</f>
        <v>0</v>
      </c>
      <c r="P280" s="9" t="n">
        <f aca="false">VALUE(SUBSTITUTE(StorytelA!M280,".",","))</f>
        <v>0</v>
      </c>
      <c r="Q280" s="29"/>
      <c r="R280" s="29" t="n">
        <f aca="false">VALUE(SUBSTITUTE(Woblink!H292,".",","))</f>
        <v>0</v>
      </c>
      <c r="S280" s="9" t="str">
        <f aca="false">SUBSTITUTE(AzymutB!D280,"-","")</f>
        <v/>
      </c>
      <c r="T280" s="9" t="n">
        <f aca="false">VALUE(SUBSTITUTE(AzymutB!O280,".",","))</f>
        <v>0</v>
      </c>
      <c r="U280" s="9" t="str">
        <f aca="false">SUBSTITUTE(Audioteka!Q282,"-","")</f>
        <v/>
      </c>
    </row>
    <row r="281" customFormat="false" ht="15.75" hidden="false" customHeight="false" outlineLevel="0" collapsed="false">
      <c r="A281" s="8" t="str">
        <f aca="false">SUBSTITUTE(Histmag!B281,"-","")</f>
        <v/>
      </c>
      <c r="B281" s="9" t="n">
        <f aca="false">VALUE(SUBSTITUTE(Histmag!D281,".",","))</f>
        <v>0</v>
      </c>
      <c r="C281" s="8" t="str">
        <f aca="false">SUBSTITUTE(Virtualo!G281,"-","")</f>
        <v/>
      </c>
      <c r="D281" s="8" t="str">
        <f aca="false">SUBSTITUTE(Empik!F281,"-","")</f>
        <v/>
      </c>
      <c r="E281" s="8" t="str">
        <f aca="false">SUBSTITUTE(Publio!H281,"-","")</f>
        <v/>
      </c>
      <c r="F281" s="8" t="n">
        <f aca="false">VALUE(SUBSTITUTE(Publio!Q281,".",","))</f>
        <v>0</v>
      </c>
      <c r="G281" s="8" t="str">
        <f aca="false">IFERROR(IF(SEARCH("-", Nexto!B262), SUBSTITUTE(Nexto!B262,"-","")), "")</f>
        <v/>
      </c>
      <c r="H281" s="8" t="n">
        <f aca="false">IFERROR(VALUE(SUBSTITUTE(Nexto!P266,".",",")),0)</f>
        <v>0</v>
      </c>
      <c r="I281" s="9" t="str">
        <f aca="false">SUBSTITUTE(Azymut!D281,"-","")</f>
        <v/>
      </c>
      <c r="J281" s="9" t="n">
        <f aca="false">VALUE(SUBSTITUTE(Azymut!O281,".",","))</f>
        <v>0</v>
      </c>
      <c r="K281" s="9" t="str">
        <f aca="false">SUBSTITUTE(Ebookpoint!E293,"-","")</f>
        <v/>
      </c>
      <c r="L281" s="9" t="str">
        <f aca="false">SUBSTITUTE(Nasbi!E293,"-","")</f>
        <v/>
      </c>
      <c r="M281" s="9" t="n">
        <f aca="false">VALUE(SUBSTITUTE(StorytelE!G281,".",","))</f>
        <v>0</v>
      </c>
      <c r="N281" s="9" t="n">
        <f aca="false">VALUE(SUBSTITUTE(StorytelA!G281,".",","))</f>
        <v>0</v>
      </c>
      <c r="O281" s="9" t="n">
        <f aca="false">VALUE(SUBSTITUTE(StorytelE!M281,".",","))</f>
        <v>0</v>
      </c>
      <c r="P281" s="9" t="n">
        <f aca="false">VALUE(SUBSTITUTE(StorytelA!M281,".",","))</f>
        <v>0</v>
      </c>
      <c r="Q281" s="29"/>
      <c r="R281" s="29" t="n">
        <f aca="false">VALUE(SUBSTITUTE(Woblink!H293,".",","))</f>
        <v>0</v>
      </c>
      <c r="S281" s="9" t="str">
        <f aca="false">SUBSTITUTE(AzymutB!D281,"-","")</f>
        <v/>
      </c>
      <c r="T281" s="9" t="n">
        <f aca="false">VALUE(SUBSTITUTE(AzymutB!O281,".",","))</f>
        <v>0</v>
      </c>
      <c r="U281" s="9" t="str">
        <f aca="false">SUBSTITUTE(Audioteka!Q283,"-","")</f>
        <v/>
      </c>
    </row>
    <row r="282" customFormat="false" ht="15.75" hidden="false" customHeight="false" outlineLevel="0" collapsed="false">
      <c r="A282" s="8" t="str">
        <f aca="false">SUBSTITUTE(Histmag!B282,"-","")</f>
        <v/>
      </c>
      <c r="B282" s="9" t="n">
        <f aca="false">VALUE(SUBSTITUTE(Histmag!D282,".",","))</f>
        <v>0</v>
      </c>
      <c r="C282" s="8" t="str">
        <f aca="false">SUBSTITUTE(Virtualo!G282,"-","")</f>
        <v/>
      </c>
      <c r="D282" s="8" t="str">
        <f aca="false">SUBSTITUTE(Empik!F282,"-","")</f>
        <v/>
      </c>
      <c r="E282" s="8" t="str">
        <f aca="false">SUBSTITUTE(Publio!H282,"-","")</f>
        <v/>
      </c>
      <c r="F282" s="8" t="n">
        <f aca="false">VALUE(SUBSTITUTE(Publio!Q282,".",","))</f>
        <v>0</v>
      </c>
      <c r="G282" s="8" t="str">
        <f aca="false">IFERROR(IF(SEARCH("-", Nexto!B263), SUBSTITUTE(Nexto!B263,"-","")), "")</f>
        <v/>
      </c>
      <c r="H282" s="8" t="n">
        <f aca="false">IFERROR(VALUE(SUBSTITUTE(Nexto!P267,".",",")),0)</f>
        <v>0</v>
      </c>
      <c r="I282" s="9" t="str">
        <f aca="false">SUBSTITUTE(Azymut!D282,"-","")</f>
        <v/>
      </c>
      <c r="J282" s="9" t="n">
        <f aca="false">VALUE(SUBSTITUTE(Azymut!O282,".",","))</f>
        <v>0</v>
      </c>
      <c r="K282" s="9" t="str">
        <f aca="false">SUBSTITUTE(Ebookpoint!E294,"-","")</f>
        <v/>
      </c>
      <c r="L282" s="9" t="str">
        <f aca="false">SUBSTITUTE(Nasbi!E294,"-","")</f>
        <v/>
      </c>
      <c r="M282" s="9" t="n">
        <f aca="false">VALUE(SUBSTITUTE(StorytelE!G282,".",","))</f>
        <v>0</v>
      </c>
      <c r="N282" s="9" t="n">
        <f aca="false">VALUE(SUBSTITUTE(StorytelA!G282,".",","))</f>
        <v>0</v>
      </c>
      <c r="O282" s="9" t="n">
        <f aca="false">VALUE(SUBSTITUTE(StorytelE!M282,".",","))</f>
        <v>0</v>
      </c>
      <c r="P282" s="9" t="n">
        <f aca="false">VALUE(SUBSTITUTE(StorytelA!M282,".",","))</f>
        <v>0</v>
      </c>
      <c r="Q282" s="29"/>
      <c r="R282" s="29" t="n">
        <f aca="false">VALUE(SUBSTITUTE(Woblink!H294,".",","))</f>
        <v>0</v>
      </c>
      <c r="S282" s="9" t="str">
        <f aca="false">SUBSTITUTE(AzymutB!D282,"-","")</f>
        <v/>
      </c>
      <c r="T282" s="9" t="n">
        <f aca="false">VALUE(SUBSTITUTE(AzymutB!O282,".",","))</f>
        <v>0</v>
      </c>
      <c r="U282" s="9" t="str">
        <f aca="false">SUBSTITUTE(Audioteka!Q284,"-","")</f>
        <v/>
      </c>
    </row>
    <row r="283" customFormat="false" ht="15.75" hidden="false" customHeight="false" outlineLevel="0" collapsed="false">
      <c r="A283" s="8" t="str">
        <f aca="false">SUBSTITUTE(Histmag!B283,"-","")</f>
        <v/>
      </c>
      <c r="B283" s="9" t="n">
        <f aca="false">VALUE(SUBSTITUTE(Histmag!D283,".",","))</f>
        <v>0</v>
      </c>
      <c r="C283" s="8" t="str">
        <f aca="false">SUBSTITUTE(Virtualo!G283,"-","")</f>
        <v/>
      </c>
      <c r="D283" s="8" t="str">
        <f aca="false">SUBSTITUTE(Empik!F283,"-","")</f>
        <v/>
      </c>
      <c r="E283" s="8" t="str">
        <f aca="false">SUBSTITUTE(Publio!H283,"-","")</f>
        <v/>
      </c>
      <c r="F283" s="8" t="n">
        <f aca="false">VALUE(SUBSTITUTE(Publio!Q283,".",","))</f>
        <v>0</v>
      </c>
      <c r="G283" s="8" t="str">
        <f aca="false">IFERROR(IF(SEARCH("-", Nexto!B264), SUBSTITUTE(Nexto!B264,"-","")), "")</f>
        <v/>
      </c>
      <c r="H283" s="8" t="n">
        <f aca="false">IFERROR(VALUE(SUBSTITUTE(Nexto!P268,".",",")),0)</f>
        <v>0</v>
      </c>
      <c r="I283" s="9" t="str">
        <f aca="false">SUBSTITUTE(Azymut!D283,"-","")</f>
        <v/>
      </c>
      <c r="J283" s="9" t="n">
        <f aca="false">VALUE(SUBSTITUTE(Azymut!O283,".",","))</f>
        <v>0</v>
      </c>
      <c r="K283" s="9" t="str">
        <f aca="false">SUBSTITUTE(Ebookpoint!E295,"-","")</f>
        <v/>
      </c>
      <c r="L283" s="9" t="str">
        <f aca="false">SUBSTITUTE(Nasbi!E295,"-","")</f>
        <v/>
      </c>
      <c r="M283" s="9" t="n">
        <f aca="false">VALUE(SUBSTITUTE(StorytelE!G283,".",","))</f>
        <v>0</v>
      </c>
      <c r="N283" s="9" t="n">
        <f aca="false">VALUE(SUBSTITUTE(StorytelA!G283,".",","))</f>
        <v>0</v>
      </c>
      <c r="O283" s="9" t="n">
        <f aca="false">VALUE(SUBSTITUTE(StorytelE!M283,".",","))</f>
        <v>0</v>
      </c>
      <c r="P283" s="9" t="n">
        <f aca="false">VALUE(SUBSTITUTE(StorytelA!M283,".",","))</f>
        <v>0</v>
      </c>
      <c r="Q283" s="29"/>
      <c r="R283" s="29" t="n">
        <f aca="false">VALUE(SUBSTITUTE(Woblink!H295,".",","))</f>
        <v>0</v>
      </c>
      <c r="S283" s="9" t="str">
        <f aca="false">SUBSTITUTE(AzymutB!D283,"-","")</f>
        <v/>
      </c>
      <c r="T283" s="9" t="n">
        <f aca="false">VALUE(SUBSTITUTE(AzymutB!O283,".",","))</f>
        <v>0</v>
      </c>
      <c r="U283" s="9" t="str">
        <f aca="false">SUBSTITUTE(Audioteka!Q285,"-","")</f>
        <v/>
      </c>
    </row>
    <row r="284" customFormat="false" ht="15.75" hidden="false" customHeight="false" outlineLevel="0" collapsed="false">
      <c r="A284" s="8" t="str">
        <f aca="false">SUBSTITUTE(Histmag!B284,"-","")</f>
        <v/>
      </c>
      <c r="B284" s="9" t="n">
        <f aca="false">VALUE(SUBSTITUTE(Histmag!D284,".",","))</f>
        <v>0</v>
      </c>
      <c r="C284" s="8" t="str">
        <f aca="false">SUBSTITUTE(Virtualo!G284,"-","")</f>
        <v/>
      </c>
      <c r="D284" s="8" t="str">
        <f aca="false">SUBSTITUTE(Empik!F284,"-","")</f>
        <v/>
      </c>
      <c r="E284" s="8" t="str">
        <f aca="false">SUBSTITUTE(Publio!H284,"-","")</f>
        <v/>
      </c>
      <c r="F284" s="8" t="n">
        <f aca="false">VALUE(SUBSTITUTE(Publio!Q284,".",","))</f>
        <v>0</v>
      </c>
      <c r="G284" s="8" t="str">
        <f aca="false">IFERROR(IF(SEARCH("-", Nexto!B265), SUBSTITUTE(Nexto!B265,"-","")), "")</f>
        <v/>
      </c>
      <c r="H284" s="8" t="n">
        <f aca="false">IFERROR(VALUE(SUBSTITUTE(Nexto!P269,".",",")),0)</f>
        <v>0</v>
      </c>
      <c r="I284" s="9" t="str">
        <f aca="false">SUBSTITUTE(Azymut!D284,"-","")</f>
        <v/>
      </c>
      <c r="J284" s="9" t="n">
        <f aca="false">VALUE(SUBSTITUTE(Azymut!O284,".",","))</f>
        <v>0</v>
      </c>
      <c r="K284" s="9" t="str">
        <f aca="false">SUBSTITUTE(Ebookpoint!E296,"-","")</f>
        <v/>
      </c>
      <c r="L284" s="9" t="str">
        <f aca="false">SUBSTITUTE(Nasbi!E296,"-","")</f>
        <v/>
      </c>
      <c r="M284" s="9" t="n">
        <f aca="false">VALUE(SUBSTITUTE(StorytelE!G284,".",","))</f>
        <v>0</v>
      </c>
      <c r="N284" s="9" t="n">
        <f aca="false">VALUE(SUBSTITUTE(StorytelA!G284,".",","))</f>
        <v>0</v>
      </c>
      <c r="O284" s="9" t="n">
        <f aca="false">VALUE(SUBSTITUTE(StorytelE!M284,".",","))</f>
        <v>0</v>
      </c>
      <c r="P284" s="9" t="n">
        <f aca="false">VALUE(SUBSTITUTE(StorytelA!M284,".",","))</f>
        <v>0</v>
      </c>
      <c r="Q284" s="29"/>
      <c r="R284" s="29" t="n">
        <f aca="false">VALUE(SUBSTITUTE(Woblink!H296,".",","))</f>
        <v>0</v>
      </c>
      <c r="S284" s="9" t="str">
        <f aca="false">SUBSTITUTE(AzymutB!D284,"-","")</f>
        <v/>
      </c>
      <c r="T284" s="9" t="n">
        <f aca="false">VALUE(SUBSTITUTE(AzymutB!O284,".",","))</f>
        <v>0</v>
      </c>
      <c r="U284" s="9" t="str">
        <f aca="false">SUBSTITUTE(Audioteka!Q286,"-","")</f>
        <v/>
      </c>
    </row>
    <row r="285" customFormat="false" ht="15.75" hidden="false" customHeight="false" outlineLevel="0" collapsed="false">
      <c r="A285" s="8" t="str">
        <f aca="false">SUBSTITUTE(Histmag!B285,"-","")</f>
        <v/>
      </c>
      <c r="B285" s="9" t="n">
        <f aca="false">VALUE(SUBSTITUTE(Histmag!D285,".",","))</f>
        <v>0</v>
      </c>
      <c r="C285" s="8" t="str">
        <f aca="false">SUBSTITUTE(Virtualo!G285,"-","")</f>
        <v/>
      </c>
      <c r="D285" s="8" t="str">
        <f aca="false">SUBSTITUTE(Empik!F285,"-","")</f>
        <v/>
      </c>
      <c r="E285" s="8" t="str">
        <f aca="false">SUBSTITUTE(Publio!H285,"-","")</f>
        <v/>
      </c>
      <c r="F285" s="8" t="n">
        <f aca="false">VALUE(SUBSTITUTE(Publio!Q285,".",","))</f>
        <v>0</v>
      </c>
      <c r="G285" s="8" t="str">
        <f aca="false">IFERROR(IF(SEARCH("-", Nexto!B266), SUBSTITUTE(Nexto!B266,"-","")), "")</f>
        <v/>
      </c>
      <c r="H285" s="8" t="n">
        <f aca="false">IFERROR(VALUE(SUBSTITUTE(Nexto!P270,".",",")),0)</f>
        <v>0</v>
      </c>
      <c r="I285" s="9" t="str">
        <f aca="false">SUBSTITUTE(Azymut!D285,"-","")</f>
        <v/>
      </c>
      <c r="J285" s="9" t="n">
        <f aca="false">VALUE(SUBSTITUTE(Azymut!O285,".",","))</f>
        <v>0</v>
      </c>
      <c r="K285" s="9" t="str">
        <f aca="false">SUBSTITUTE(Ebookpoint!E297,"-","")</f>
        <v/>
      </c>
      <c r="L285" s="9" t="str">
        <f aca="false">SUBSTITUTE(Nasbi!E297,"-","")</f>
        <v/>
      </c>
      <c r="M285" s="9" t="n">
        <f aca="false">VALUE(SUBSTITUTE(StorytelE!G285,".",","))</f>
        <v>0</v>
      </c>
      <c r="N285" s="9" t="n">
        <f aca="false">VALUE(SUBSTITUTE(StorytelA!G285,".",","))</f>
        <v>0</v>
      </c>
      <c r="O285" s="9" t="n">
        <f aca="false">VALUE(SUBSTITUTE(StorytelE!M285,".",","))</f>
        <v>0</v>
      </c>
      <c r="P285" s="9" t="n">
        <f aca="false">VALUE(SUBSTITUTE(StorytelA!M285,".",","))</f>
        <v>0</v>
      </c>
      <c r="Q285" s="29"/>
      <c r="R285" s="29" t="n">
        <f aca="false">VALUE(SUBSTITUTE(Woblink!H297,".",","))</f>
        <v>0</v>
      </c>
      <c r="S285" s="9" t="str">
        <f aca="false">SUBSTITUTE(AzymutB!D285,"-","")</f>
        <v/>
      </c>
      <c r="T285" s="9" t="n">
        <f aca="false">VALUE(SUBSTITUTE(AzymutB!O285,".",","))</f>
        <v>0</v>
      </c>
      <c r="U285" s="9" t="str">
        <f aca="false">SUBSTITUTE(Audioteka!Q287,"-","")</f>
        <v/>
      </c>
    </row>
    <row r="286" customFormat="false" ht="15.75" hidden="false" customHeight="false" outlineLevel="0" collapsed="false">
      <c r="A286" s="8" t="str">
        <f aca="false">SUBSTITUTE(Histmag!B286,"-","")</f>
        <v/>
      </c>
      <c r="B286" s="9" t="n">
        <f aca="false">VALUE(SUBSTITUTE(Histmag!D286,".",","))</f>
        <v>0</v>
      </c>
      <c r="C286" s="8" t="str">
        <f aca="false">SUBSTITUTE(Virtualo!G286,"-","")</f>
        <v/>
      </c>
      <c r="D286" s="8" t="str">
        <f aca="false">SUBSTITUTE(Empik!F286,"-","")</f>
        <v/>
      </c>
      <c r="E286" s="8" t="str">
        <f aca="false">SUBSTITUTE(Publio!H286,"-","")</f>
        <v/>
      </c>
      <c r="F286" s="8" t="n">
        <f aca="false">VALUE(SUBSTITUTE(Publio!Q286,".",","))</f>
        <v>0</v>
      </c>
      <c r="G286" s="8" t="str">
        <f aca="false">IFERROR(IF(SEARCH("-", Nexto!B267), SUBSTITUTE(Nexto!B267,"-","")), "")</f>
        <v/>
      </c>
      <c r="H286" s="8" t="n">
        <f aca="false">IFERROR(VALUE(SUBSTITUTE(Nexto!P271,".",",")),0)</f>
        <v>0</v>
      </c>
      <c r="I286" s="9" t="str">
        <f aca="false">SUBSTITUTE(Azymut!D286,"-","")</f>
        <v/>
      </c>
      <c r="J286" s="9" t="n">
        <f aca="false">VALUE(SUBSTITUTE(Azymut!O286,".",","))</f>
        <v>0</v>
      </c>
      <c r="K286" s="9" t="str">
        <f aca="false">SUBSTITUTE(Ebookpoint!E298,"-","")</f>
        <v/>
      </c>
      <c r="L286" s="9" t="str">
        <f aca="false">SUBSTITUTE(Nasbi!E298,"-","")</f>
        <v/>
      </c>
      <c r="M286" s="9" t="n">
        <f aca="false">VALUE(SUBSTITUTE(StorytelE!G286,".",","))</f>
        <v>0</v>
      </c>
      <c r="N286" s="9" t="n">
        <f aca="false">VALUE(SUBSTITUTE(StorytelA!G286,".",","))</f>
        <v>0</v>
      </c>
      <c r="O286" s="9" t="n">
        <f aca="false">VALUE(SUBSTITUTE(StorytelE!M286,".",","))</f>
        <v>0</v>
      </c>
      <c r="P286" s="9" t="n">
        <f aca="false">VALUE(SUBSTITUTE(StorytelA!M286,".",","))</f>
        <v>0</v>
      </c>
      <c r="Q286" s="29"/>
      <c r="R286" s="29" t="n">
        <f aca="false">VALUE(SUBSTITUTE(Woblink!H298,".",","))</f>
        <v>0</v>
      </c>
      <c r="S286" s="9" t="str">
        <f aca="false">SUBSTITUTE(AzymutB!D286,"-","")</f>
        <v/>
      </c>
      <c r="T286" s="9" t="n">
        <f aca="false">VALUE(SUBSTITUTE(AzymutB!O286,".",","))</f>
        <v>0</v>
      </c>
      <c r="U286" s="9" t="str">
        <f aca="false">SUBSTITUTE(Audioteka!Q288,"-","")</f>
        <v/>
      </c>
    </row>
    <row r="287" customFormat="false" ht="15.75" hidden="false" customHeight="false" outlineLevel="0" collapsed="false">
      <c r="A287" s="8" t="str">
        <f aca="false">SUBSTITUTE(Histmag!B287,"-","")</f>
        <v/>
      </c>
      <c r="B287" s="9" t="n">
        <f aca="false">VALUE(SUBSTITUTE(Histmag!D287,".",","))</f>
        <v>0</v>
      </c>
      <c r="C287" s="8" t="str">
        <f aca="false">SUBSTITUTE(Virtualo!G287,"-","")</f>
        <v/>
      </c>
      <c r="D287" s="8" t="str">
        <f aca="false">SUBSTITUTE(Empik!F287,"-","")</f>
        <v/>
      </c>
      <c r="E287" s="8" t="str">
        <f aca="false">SUBSTITUTE(Publio!H287,"-","")</f>
        <v/>
      </c>
      <c r="F287" s="8" t="n">
        <f aca="false">VALUE(SUBSTITUTE(Publio!Q287,".",","))</f>
        <v>0</v>
      </c>
      <c r="G287" s="8" t="str">
        <f aca="false">IFERROR(IF(SEARCH("-", Nexto!B268), SUBSTITUTE(Nexto!B268,"-","")), "")</f>
        <v/>
      </c>
      <c r="H287" s="8" t="n">
        <f aca="false">IFERROR(VALUE(SUBSTITUTE(Nexto!P272,".",",")),0)</f>
        <v>0</v>
      </c>
      <c r="I287" s="9" t="str">
        <f aca="false">SUBSTITUTE(Azymut!D287,"-","")</f>
        <v/>
      </c>
      <c r="J287" s="9" t="n">
        <f aca="false">VALUE(SUBSTITUTE(Azymut!O287,".",","))</f>
        <v>0</v>
      </c>
      <c r="K287" s="9" t="str">
        <f aca="false">SUBSTITUTE(Ebookpoint!E299,"-","")</f>
        <v/>
      </c>
      <c r="L287" s="9" t="str">
        <f aca="false">SUBSTITUTE(Nasbi!E299,"-","")</f>
        <v/>
      </c>
      <c r="M287" s="9" t="n">
        <f aca="false">VALUE(SUBSTITUTE(StorytelE!G287,".",","))</f>
        <v>0</v>
      </c>
      <c r="N287" s="9" t="n">
        <f aca="false">VALUE(SUBSTITUTE(StorytelA!G287,".",","))</f>
        <v>0</v>
      </c>
      <c r="O287" s="9" t="n">
        <f aca="false">VALUE(SUBSTITUTE(StorytelE!M287,".",","))</f>
        <v>0</v>
      </c>
      <c r="P287" s="9" t="n">
        <f aca="false">VALUE(SUBSTITUTE(StorytelA!M287,".",","))</f>
        <v>0</v>
      </c>
      <c r="Q287" s="29"/>
      <c r="R287" s="29" t="n">
        <f aca="false">VALUE(SUBSTITUTE(Woblink!H299,".",","))</f>
        <v>0</v>
      </c>
      <c r="S287" s="9" t="str">
        <f aca="false">SUBSTITUTE(AzymutB!D287,"-","")</f>
        <v/>
      </c>
      <c r="T287" s="9" t="n">
        <f aca="false">VALUE(SUBSTITUTE(AzymutB!O287,".",","))</f>
        <v>0</v>
      </c>
      <c r="U287" s="9" t="str">
        <f aca="false">SUBSTITUTE(Audioteka!Q289,"-","")</f>
        <v/>
      </c>
    </row>
    <row r="288" customFormat="false" ht="15.75" hidden="false" customHeight="false" outlineLevel="0" collapsed="false">
      <c r="A288" s="8" t="str">
        <f aca="false">SUBSTITUTE(Histmag!B288,"-","")</f>
        <v/>
      </c>
      <c r="B288" s="9" t="n">
        <f aca="false">VALUE(SUBSTITUTE(Histmag!D288,".",","))</f>
        <v>0</v>
      </c>
      <c r="C288" s="8" t="str">
        <f aca="false">SUBSTITUTE(Virtualo!G288,"-","")</f>
        <v/>
      </c>
      <c r="D288" s="8" t="str">
        <f aca="false">SUBSTITUTE(Empik!F288,"-","")</f>
        <v/>
      </c>
      <c r="E288" s="8" t="str">
        <f aca="false">SUBSTITUTE(Publio!H288,"-","")</f>
        <v/>
      </c>
      <c r="F288" s="8" t="n">
        <f aca="false">VALUE(SUBSTITUTE(Publio!Q288,".",","))</f>
        <v>0</v>
      </c>
      <c r="G288" s="8" t="str">
        <f aca="false">IFERROR(IF(SEARCH("-", Nexto!B269), SUBSTITUTE(Nexto!B269,"-","")), "")</f>
        <v/>
      </c>
      <c r="H288" s="8" t="n">
        <f aca="false">IFERROR(VALUE(SUBSTITUTE(Nexto!P273,".",",")),0)</f>
        <v>0</v>
      </c>
      <c r="I288" s="9" t="str">
        <f aca="false">SUBSTITUTE(Azymut!D288,"-","")</f>
        <v/>
      </c>
      <c r="J288" s="9" t="n">
        <f aca="false">VALUE(SUBSTITUTE(Azymut!O288,".",","))</f>
        <v>0</v>
      </c>
      <c r="K288" s="9" t="str">
        <f aca="false">SUBSTITUTE(Ebookpoint!E300,"-","")</f>
        <v/>
      </c>
      <c r="L288" s="9" t="str">
        <f aca="false">SUBSTITUTE(Nasbi!E300,"-","")</f>
        <v/>
      </c>
      <c r="M288" s="9" t="n">
        <f aca="false">VALUE(SUBSTITUTE(StorytelE!G288,".",","))</f>
        <v>0</v>
      </c>
      <c r="N288" s="9" t="n">
        <f aca="false">VALUE(SUBSTITUTE(StorytelA!G288,".",","))</f>
        <v>0</v>
      </c>
      <c r="O288" s="9" t="n">
        <f aca="false">VALUE(SUBSTITUTE(StorytelE!M288,".",","))</f>
        <v>0</v>
      </c>
      <c r="P288" s="9" t="n">
        <f aca="false">VALUE(SUBSTITUTE(StorytelA!M288,".",","))</f>
        <v>0</v>
      </c>
      <c r="Q288" s="29"/>
      <c r="R288" s="29" t="n">
        <f aca="false">VALUE(SUBSTITUTE(Woblink!H300,".",","))</f>
        <v>0</v>
      </c>
      <c r="S288" s="9" t="str">
        <f aca="false">SUBSTITUTE(AzymutB!D288,"-","")</f>
        <v/>
      </c>
      <c r="T288" s="9" t="n">
        <f aca="false">VALUE(SUBSTITUTE(AzymutB!O288,".",","))</f>
        <v>0</v>
      </c>
      <c r="U288" s="9" t="str">
        <f aca="false">SUBSTITUTE(Audioteka!Q290,"-","")</f>
        <v/>
      </c>
    </row>
    <row r="289" customFormat="false" ht="15.75" hidden="false" customHeight="false" outlineLevel="0" collapsed="false">
      <c r="A289" s="8" t="str">
        <f aca="false">SUBSTITUTE(Histmag!B289,"-","")</f>
        <v/>
      </c>
      <c r="B289" s="9" t="n">
        <f aca="false">VALUE(SUBSTITUTE(Histmag!D289,".",","))</f>
        <v>0</v>
      </c>
      <c r="C289" s="8" t="str">
        <f aca="false">SUBSTITUTE(Virtualo!G289,"-","")</f>
        <v/>
      </c>
      <c r="D289" s="8" t="str">
        <f aca="false">SUBSTITUTE(Empik!F289,"-","")</f>
        <v/>
      </c>
      <c r="E289" s="8" t="str">
        <f aca="false">SUBSTITUTE(Publio!H289,"-","")</f>
        <v/>
      </c>
      <c r="F289" s="8" t="n">
        <f aca="false">VALUE(SUBSTITUTE(Publio!Q289,".",","))</f>
        <v>0</v>
      </c>
      <c r="G289" s="8" t="str">
        <f aca="false">IFERROR(IF(SEARCH("-", Nexto!B270), SUBSTITUTE(Nexto!B270,"-","")), "")</f>
        <v/>
      </c>
      <c r="H289" s="8" t="n">
        <f aca="false">IFERROR(VALUE(SUBSTITUTE(Nexto!P274,".",",")),0)</f>
        <v>0</v>
      </c>
      <c r="I289" s="9" t="str">
        <f aca="false">SUBSTITUTE(Azymut!D289,"-","")</f>
        <v/>
      </c>
      <c r="J289" s="9" t="n">
        <f aca="false">VALUE(SUBSTITUTE(Azymut!O289,".",","))</f>
        <v>0</v>
      </c>
      <c r="K289" s="9" t="str">
        <f aca="false">SUBSTITUTE(Ebookpoint!E301,"-","")</f>
        <v/>
      </c>
      <c r="L289" s="9" t="str">
        <f aca="false">SUBSTITUTE(Nasbi!E301,"-","")</f>
        <v/>
      </c>
      <c r="M289" s="9" t="n">
        <f aca="false">VALUE(SUBSTITUTE(StorytelE!G289,".",","))</f>
        <v>0</v>
      </c>
      <c r="N289" s="9" t="n">
        <f aca="false">VALUE(SUBSTITUTE(StorytelA!G289,".",","))</f>
        <v>0</v>
      </c>
      <c r="O289" s="9" t="n">
        <f aca="false">VALUE(SUBSTITUTE(StorytelE!M289,".",","))</f>
        <v>0</v>
      </c>
      <c r="P289" s="9" t="n">
        <f aca="false">VALUE(SUBSTITUTE(StorytelA!M289,".",","))</f>
        <v>0</v>
      </c>
      <c r="Q289" s="29"/>
      <c r="R289" s="29" t="n">
        <f aca="false">VALUE(SUBSTITUTE(Woblink!H301,".",","))</f>
        <v>0</v>
      </c>
      <c r="S289" s="9" t="str">
        <f aca="false">SUBSTITUTE(AzymutB!D289,"-","")</f>
        <v/>
      </c>
      <c r="T289" s="9" t="n">
        <f aca="false">VALUE(SUBSTITUTE(AzymutB!O289,".",","))</f>
        <v>0</v>
      </c>
      <c r="U289" s="9" t="str">
        <f aca="false">SUBSTITUTE(Audioteka!Q291,"-","")</f>
        <v/>
      </c>
    </row>
    <row r="290" customFormat="false" ht="15.75" hidden="false" customHeight="false" outlineLevel="0" collapsed="false">
      <c r="A290" s="8" t="str">
        <f aca="false">SUBSTITUTE(Histmag!B290,"-","")</f>
        <v/>
      </c>
      <c r="B290" s="9" t="n">
        <f aca="false">VALUE(SUBSTITUTE(Histmag!D290,".",","))</f>
        <v>0</v>
      </c>
      <c r="C290" s="8" t="str">
        <f aca="false">SUBSTITUTE(Virtualo!G290,"-","")</f>
        <v/>
      </c>
      <c r="D290" s="8" t="str">
        <f aca="false">SUBSTITUTE(Empik!F290,"-","")</f>
        <v/>
      </c>
      <c r="E290" s="8" t="str">
        <f aca="false">SUBSTITUTE(Publio!H290,"-","")</f>
        <v/>
      </c>
      <c r="F290" s="8" t="n">
        <f aca="false">VALUE(SUBSTITUTE(Publio!Q290,".",","))</f>
        <v>0</v>
      </c>
      <c r="G290" s="8" t="str">
        <f aca="false">IFERROR(IF(SEARCH("-", Nexto!B271), SUBSTITUTE(Nexto!B271,"-","")), "")</f>
        <v/>
      </c>
      <c r="H290" s="8" t="n">
        <f aca="false">IFERROR(VALUE(SUBSTITUTE(Nexto!P275,".",",")),0)</f>
        <v>0</v>
      </c>
      <c r="I290" s="9" t="str">
        <f aca="false">SUBSTITUTE(Azymut!D290,"-","")</f>
        <v/>
      </c>
      <c r="J290" s="9" t="n">
        <f aca="false">VALUE(SUBSTITUTE(Azymut!O290,".",","))</f>
        <v>0</v>
      </c>
      <c r="K290" s="9" t="str">
        <f aca="false">SUBSTITUTE(Ebookpoint!E302,"-","")</f>
        <v/>
      </c>
      <c r="L290" s="9" t="str">
        <f aca="false">SUBSTITUTE(Nasbi!E302,"-","")</f>
        <v/>
      </c>
      <c r="M290" s="9" t="n">
        <f aca="false">VALUE(SUBSTITUTE(StorytelE!G290,".",","))</f>
        <v>0</v>
      </c>
      <c r="N290" s="9" t="n">
        <f aca="false">VALUE(SUBSTITUTE(StorytelA!G290,".",","))</f>
        <v>0</v>
      </c>
      <c r="O290" s="9" t="n">
        <f aca="false">VALUE(SUBSTITUTE(StorytelE!M290,".",","))</f>
        <v>0</v>
      </c>
      <c r="P290" s="9" t="n">
        <f aca="false">VALUE(SUBSTITUTE(StorytelA!M290,".",","))</f>
        <v>0</v>
      </c>
      <c r="Q290" s="29"/>
      <c r="R290" s="29" t="n">
        <f aca="false">VALUE(SUBSTITUTE(Woblink!H302,".",","))</f>
        <v>0</v>
      </c>
      <c r="S290" s="9" t="str">
        <f aca="false">SUBSTITUTE(AzymutB!D290,"-","")</f>
        <v/>
      </c>
      <c r="T290" s="9" t="n">
        <f aca="false">VALUE(SUBSTITUTE(AzymutB!O290,".",","))</f>
        <v>0</v>
      </c>
      <c r="U290" s="9" t="str">
        <f aca="false">SUBSTITUTE(Audioteka!Q292,"-","")</f>
        <v/>
      </c>
    </row>
    <row r="291" customFormat="false" ht="15.75" hidden="false" customHeight="false" outlineLevel="0" collapsed="false">
      <c r="A291" s="8" t="str">
        <f aca="false">SUBSTITUTE(Histmag!B291,"-","")</f>
        <v/>
      </c>
      <c r="B291" s="9" t="n">
        <f aca="false">VALUE(SUBSTITUTE(Histmag!D291,".",","))</f>
        <v>0</v>
      </c>
      <c r="C291" s="8" t="str">
        <f aca="false">SUBSTITUTE(Virtualo!G291,"-","")</f>
        <v/>
      </c>
      <c r="D291" s="8" t="str">
        <f aca="false">SUBSTITUTE(Empik!F291,"-","")</f>
        <v/>
      </c>
      <c r="E291" s="8" t="str">
        <f aca="false">SUBSTITUTE(Publio!H291,"-","")</f>
        <v/>
      </c>
      <c r="F291" s="8" t="n">
        <f aca="false">VALUE(SUBSTITUTE(Publio!Q291,".",","))</f>
        <v>0</v>
      </c>
      <c r="G291" s="8" t="str">
        <f aca="false">IFERROR(IF(SEARCH("-", Nexto!B272), SUBSTITUTE(Nexto!B272,"-","")), "")</f>
        <v/>
      </c>
      <c r="H291" s="8" t="n">
        <f aca="false">IFERROR(VALUE(SUBSTITUTE(Nexto!P276,".",",")),0)</f>
        <v>0</v>
      </c>
      <c r="I291" s="9" t="str">
        <f aca="false">SUBSTITUTE(Azymut!D291,"-","")</f>
        <v/>
      </c>
      <c r="J291" s="9" t="n">
        <f aca="false">VALUE(SUBSTITUTE(Azymut!O291,".",","))</f>
        <v>0</v>
      </c>
      <c r="K291" s="9" t="str">
        <f aca="false">SUBSTITUTE(Ebookpoint!E303,"-","")</f>
        <v/>
      </c>
      <c r="L291" s="9" t="str">
        <f aca="false">SUBSTITUTE(Nasbi!E303,"-","")</f>
        <v/>
      </c>
      <c r="M291" s="9" t="n">
        <f aca="false">VALUE(SUBSTITUTE(StorytelE!G291,".",","))</f>
        <v>0</v>
      </c>
      <c r="N291" s="9" t="n">
        <f aca="false">VALUE(SUBSTITUTE(StorytelA!G291,".",","))</f>
        <v>0</v>
      </c>
      <c r="O291" s="9" t="n">
        <f aca="false">VALUE(SUBSTITUTE(StorytelE!M291,".",","))</f>
        <v>0</v>
      </c>
      <c r="P291" s="9" t="n">
        <f aca="false">VALUE(SUBSTITUTE(StorytelA!M291,".",","))</f>
        <v>0</v>
      </c>
      <c r="Q291" s="29"/>
      <c r="R291" s="29" t="n">
        <f aca="false">VALUE(SUBSTITUTE(Woblink!H303,".",","))</f>
        <v>0</v>
      </c>
      <c r="S291" s="9" t="str">
        <f aca="false">SUBSTITUTE(AzymutB!D291,"-","")</f>
        <v/>
      </c>
      <c r="T291" s="9" t="n">
        <f aca="false">VALUE(SUBSTITUTE(AzymutB!O291,".",","))</f>
        <v>0</v>
      </c>
      <c r="U291" s="9" t="str">
        <f aca="false">SUBSTITUTE(Audioteka!Q293,"-","")</f>
        <v/>
      </c>
    </row>
    <row r="292" customFormat="false" ht="15.75" hidden="false" customHeight="false" outlineLevel="0" collapsed="false">
      <c r="A292" s="8" t="str">
        <f aca="false">SUBSTITUTE(Histmag!B292,"-","")</f>
        <v/>
      </c>
      <c r="B292" s="9" t="n">
        <f aca="false">VALUE(SUBSTITUTE(Histmag!D292,".",","))</f>
        <v>0</v>
      </c>
      <c r="C292" s="8" t="str">
        <f aca="false">SUBSTITUTE(Virtualo!G292,"-","")</f>
        <v/>
      </c>
      <c r="D292" s="8" t="str">
        <f aca="false">SUBSTITUTE(Empik!F292,"-","")</f>
        <v/>
      </c>
      <c r="E292" s="8" t="str">
        <f aca="false">SUBSTITUTE(Publio!H292,"-","")</f>
        <v/>
      </c>
      <c r="F292" s="8" t="n">
        <f aca="false">VALUE(SUBSTITUTE(Publio!Q292,".",","))</f>
        <v>0</v>
      </c>
      <c r="G292" s="8" t="str">
        <f aca="false">IFERROR(IF(SEARCH("-", Nexto!B273), SUBSTITUTE(Nexto!B273,"-","")), "")</f>
        <v/>
      </c>
      <c r="H292" s="8" t="n">
        <f aca="false">IFERROR(VALUE(SUBSTITUTE(Nexto!P277,".",",")),0)</f>
        <v>0</v>
      </c>
      <c r="I292" s="9" t="str">
        <f aca="false">SUBSTITUTE(Azymut!D292,"-","")</f>
        <v/>
      </c>
      <c r="J292" s="9" t="n">
        <f aca="false">VALUE(SUBSTITUTE(Azymut!O292,".",","))</f>
        <v>0</v>
      </c>
      <c r="K292" s="9" t="str">
        <f aca="false">SUBSTITUTE(Ebookpoint!E304,"-","")</f>
        <v/>
      </c>
      <c r="L292" s="9" t="str">
        <f aca="false">SUBSTITUTE(Nasbi!E304,"-","")</f>
        <v/>
      </c>
      <c r="M292" s="9" t="n">
        <f aca="false">VALUE(SUBSTITUTE(StorytelE!G292,".",","))</f>
        <v>0</v>
      </c>
      <c r="N292" s="9" t="n">
        <f aca="false">VALUE(SUBSTITUTE(StorytelA!G292,".",","))</f>
        <v>0</v>
      </c>
      <c r="O292" s="9" t="n">
        <f aca="false">VALUE(SUBSTITUTE(StorytelE!M292,".",","))</f>
        <v>0</v>
      </c>
      <c r="P292" s="9" t="n">
        <f aca="false">VALUE(SUBSTITUTE(StorytelA!M292,".",","))</f>
        <v>0</v>
      </c>
      <c r="Q292" s="29"/>
      <c r="R292" s="29" t="n">
        <f aca="false">VALUE(SUBSTITUTE(Woblink!H304,".",","))</f>
        <v>0</v>
      </c>
      <c r="S292" s="9" t="str">
        <f aca="false">SUBSTITUTE(AzymutB!D292,"-","")</f>
        <v/>
      </c>
      <c r="T292" s="9" t="n">
        <f aca="false">VALUE(SUBSTITUTE(AzymutB!O292,".",","))</f>
        <v>0</v>
      </c>
      <c r="U292" s="9" t="str">
        <f aca="false">SUBSTITUTE(Audioteka!Q294,"-","")</f>
        <v/>
      </c>
    </row>
    <row r="293" customFormat="false" ht="15.75" hidden="false" customHeight="false" outlineLevel="0" collapsed="false">
      <c r="A293" s="8" t="str">
        <f aca="false">SUBSTITUTE(Histmag!B293,"-","")</f>
        <v/>
      </c>
      <c r="B293" s="9" t="n">
        <f aca="false">VALUE(SUBSTITUTE(Histmag!D293,".",","))</f>
        <v>0</v>
      </c>
      <c r="C293" s="8" t="str">
        <f aca="false">SUBSTITUTE(Virtualo!G293,"-","")</f>
        <v/>
      </c>
      <c r="D293" s="8" t="str">
        <f aca="false">SUBSTITUTE(Empik!F293,"-","")</f>
        <v/>
      </c>
      <c r="E293" s="8" t="str">
        <f aca="false">SUBSTITUTE(Publio!H293,"-","")</f>
        <v/>
      </c>
      <c r="F293" s="8" t="n">
        <f aca="false">VALUE(SUBSTITUTE(Publio!Q293,".",","))</f>
        <v>0</v>
      </c>
      <c r="G293" s="8" t="str">
        <f aca="false">IFERROR(IF(SEARCH("-", Nexto!B274), SUBSTITUTE(Nexto!B274,"-","")), "")</f>
        <v/>
      </c>
      <c r="H293" s="8" t="n">
        <f aca="false">IFERROR(VALUE(SUBSTITUTE(Nexto!P278,".",",")),0)</f>
        <v>0</v>
      </c>
      <c r="I293" s="9" t="str">
        <f aca="false">SUBSTITUTE(Azymut!D293,"-","")</f>
        <v/>
      </c>
      <c r="J293" s="9" t="n">
        <f aca="false">VALUE(SUBSTITUTE(Azymut!O293,".",","))</f>
        <v>0</v>
      </c>
      <c r="K293" s="9" t="str">
        <f aca="false">SUBSTITUTE(Ebookpoint!E305,"-","")</f>
        <v/>
      </c>
      <c r="L293" s="9" t="str">
        <f aca="false">SUBSTITUTE(Nasbi!E305,"-","")</f>
        <v/>
      </c>
      <c r="M293" s="9" t="n">
        <f aca="false">VALUE(SUBSTITUTE(StorytelE!G293,".",","))</f>
        <v>0</v>
      </c>
      <c r="N293" s="9" t="n">
        <f aca="false">VALUE(SUBSTITUTE(StorytelA!G293,".",","))</f>
        <v>0</v>
      </c>
      <c r="O293" s="9" t="n">
        <f aca="false">VALUE(SUBSTITUTE(StorytelE!M293,".",","))</f>
        <v>0</v>
      </c>
      <c r="P293" s="9" t="n">
        <f aca="false">VALUE(SUBSTITUTE(StorytelA!M293,".",","))</f>
        <v>0</v>
      </c>
      <c r="Q293" s="29"/>
      <c r="R293" s="29" t="n">
        <f aca="false">VALUE(SUBSTITUTE(Woblink!H305,".",","))</f>
        <v>0</v>
      </c>
      <c r="S293" s="9" t="str">
        <f aca="false">SUBSTITUTE(AzymutB!D293,"-","")</f>
        <v/>
      </c>
      <c r="T293" s="9" t="n">
        <f aca="false">VALUE(SUBSTITUTE(AzymutB!O293,".",","))</f>
        <v>0</v>
      </c>
      <c r="U293" s="9" t="str">
        <f aca="false">SUBSTITUTE(Audioteka!Q295,"-","")</f>
        <v/>
      </c>
    </row>
    <row r="294" customFormat="false" ht="15.75" hidden="false" customHeight="false" outlineLevel="0" collapsed="false">
      <c r="A294" s="8" t="str">
        <f aca="false">SUBSTITUTE(Histmag!B294,"-","")</f>
        <v/>
      </c>
      <c r="B294" s="9" t="n">
        <f aca="false">VALUE(SUBSTITUTE(Histmag!D294,".",","))</f>
        <v>0</v>
      </c>
      <c r="C294" s="8" t="str">
        <f aca="false">SUBSTITUTE(Virtualo!G294,"-","")</f>
        <v/>
      </c>
      <c r="D294" s="8" t="str">
        <f aca="false">SUBSTITUTE(Empik!F294,"-","")</f>
        <v/>
      </c>
      <c r="E294" s="8" t="str">
        <f aca="false">SUBSTITUTE(Publio!H294,"-","")</f>
        <v/>
      </c>
      <c r="F294" s="8" t="n">
        <f aca="false">VALUE(SUBSTITUTE(Publio!Q294,".",","))</f>
        <v>0</v>
      </c>
      <c r="G294" s="8" t="str">
        <f aca="false">IFERROR(IF(SEARCH("-", Nexto!B275), SUBSTITUTE(Nexto!B275,"-","")), "")</f>
        <v/>
      </c>
      <c r="H294" s="8" t="n">
        <f aca="false">IFERROR(VALUE(SUBSTITUTE(Nexto!P279,".",",")),0)</f>
        <v>0</v>
      </c>
      <c r="I294" s="9" t="str">
        <f aca="false">SUBSTITUTE(Azymut!D294,"-","")</f>
        <v/>
      </c>
      <c r="J294" s="9" t="n">
        <f aca="false">VALUE(SUBSTITUTE(Azymut!O294,".",","))</f>
        <v>0</v>
      </c>
      <c r="K294" s="9" t="str">
        <f aca="false">SUBSTITUTE(Ebookpoint!E306,"-","")</f>
        <v/>
      </c>
      <c r="L294" s="9" t="str">
        <f aca="false">SUBSTITUTE(Nasbi!E306,"-","")</f>
        <v/>
      </c>
      <c r="M294" s="9" t="n">
        <f aca="false">VALUE(SUBSTITUTE(StorytelE!G294,".",","))</f>
        <v>0</v>
      </c>
      <c r="N294" s="9" t="n">
        <f aca="false">VALUE(SUBSTITUTE(StorytelA!G294,".",","))</f>
        <v>0</v>
      </c>
      <c r="O294" s="9" t="n">
        <f aca="false">VALUE(SUBSTITUTE(StorytelE!M294,".",","))</f>
        <v>0</v>
      </c>
      <c r="P294" s="9" t="n">
        <f aca="false">VALUE(SUBSTITUTE(StorytelA!M294,".",","))</f>
        <v>0</v>
      </c>
      <c r="Q294" s="29"/>
      <c r="R294" s="29" t="n">
        <f aca="false">VALUE(SUBSTITUTE(Woblink!H306,".",","))</f>
        <v>0</v>
      </c>
      <c r="S294" s="9" t="str">
        <f aca="false">SUBSTITUTE(AzymutB!D294,"-","")</f>
        <v/>
      </c>
      <c r="T294" s="9" t="n">
        <f aca="false">VALUE(SUBSTITUTE(AzymutB!O294,".",","))</f>
        <v>0</v>
      </c>
      <c r="U294" s="9" t="str">
        <f aca="false">SUBSTITUTE(Audioteka!Q296,"-","")</f>
        <v/>
      </c>
    </row>
    <row r="295" customFormat="false" ht="15.75" hidden="false" customHeight="false" outlineLevel="0" collapsed="false">
      <c r="A295" s="8" t="str">
        <f aca="false">SUBSTITUTE(Histmag!B295,"-","")</f>
        <v/>
      </c>
      <c r="B295" s="9" t="n">
        <f aca="false">VALUE(SUBSTITUTE(Histmag!D295,".",","))</f>
        <v>0</v>
      </c>
      <c r="C295" s="8" t="str">
        <f aca="false">SUBSTITUTE(Virtualo!G295,"-","")</f>
        <v/>
      </c>
      <c r="D295" s="8" t="str">
        <f aca="false">SUBSTITUTE(Empik!F295,"-","")</f>
        <v/>
      </c>
      <c r="E295" s="8" t="str">
        <f aca="false">SUBSTITUTE(Publio!H295,"-","")</f>
        <v/>
      </c>
      <c r="F295" s="8" t="n">
        <f aca="false">VALUE(SUBSTITUTE(Publio!Q295,".",","))</f>
        <v>0</v>
      </c>
      <c r="G295" s="8" t="str">
        <f aca="false">IFERROR(IF(SEARCH("-", Nexto!B276), SUBSTITUTE(Nexto!B276,"-","")), "")</f>
        <v/>
      </c>
      <c r="H295" s="8" t="n">
        <f aca="false">IFERROR(VALUE(SUBSTITUTE(Nexto!P280,".",",")),0)</f>
        <v>0</v>
      </c>
      <c r="I295" s="9" t="str">
        <f aca="false">SUBSTITUTE(Azymut!D295,"-","")</f>
        <v/>
      </c>
      <c r="J295" s="9" t="n">
        <f aca="false">VALUE(SUBSTITUTE(Azymut!O295,".",","))</f>
        <v>0</v>
      </c>
      <c r="K295" s="9" t="str">
        <f aca="false">SUBSTITUTE(Ebookpoint!E307,"-","")</f>
        <v/>
      </c>
      <c r="L295" s="9" t="str">
        <f aca="false">SUBSTITUTE(Nasbi!E307,"-","")</f>
        <v/>
      </c>
      <c r="M295" s="9" t="n">
        <f aca="false">VALUE(SUBSTITUTE(StorytelE!G295,".",","))</f>
        <v>0</v>
      </c>
      <c r="N295" s="9" t="n">
        <f aca="false">VALUE(SUBSTITUTE(StorytelA!G295,".",","))</f>
        <v>0</v>
      </c>
      <c r="O295" s="9" t="n">
        <f aca="false">VALUE(SUBSTITUTE(StorytelE!M295,".",","))</f>
        <v>0</v>
      </c>
      <c r="P295" s="9" t="n">
        <f aca="false">VALUE(SUBSTITUTE(StorytelA!M295,".",","))</f>
        <v>0</v>
      </c>
      <c r="Q295" s="29"/>
      <c r="R295" s="29" t="n">
        <f aca="false">VALUE(SUBSTITUTE(Woblink!H307,".",","))</f>
        <v>0</v>
      </c>
      <c r="S295" s="9" t="str">
        <f aca="false">SUBSTITUTE(AzymutB!D295,"-","")</f>
        <v/>
      </c>
      <c r="T295" s="9" t="n">
        <f aca="false">VALUE(SUBSTITUTE(AzymutB!O295,".",","))</f>
        <v>0</v>
      </c>
      <c r="U295" s="9" t="str">
        <f aca="false">SUBSTITUTE(Audioteka!Q297,"-","")</f>
        <v/>
      </c>
    </row>
    <row r="296" customFormat="false" ht="15.75" hidden="false" customHeight="false" outlineLevel="0" collapsed="false">
      <c r="A296" s="8" t="str">
        <f aca="false">SUBSTITUTE(Histmag!B296,"-","")</f>
        <v/>
      </c>
      <c r="B296" s="9" t="n">
        <f aca="false">VALUE(SUBSTITUTE(Histmag!D296,".",","))</f>
        <v>0</v>
      </c>
      <c r="C296" s="8" t="str">
        <f aca="false">SUBSTITUTE(Virtualo!G296,"-","")</f>
        <v/>
      </c>
      <c r="D296" s="8" t="str">
        <f aca="false">SUBSTITUTE(Empik!F296,"-","")</f>
        <v/>
      </c>
      <c r="E296" s="8" t="str">
        <f aca="false">SUBSTITUTE(Publio!H296,"-","")</f>
        <v/>
      </c>
      <c r="F296" s="8" t="n">
        <f aca="false">VALUE(SUBSTITUTE(Publio!Q296,".",","))</f>
        <v>0</v>
      </c>
      <c r="G296" s="8" t="str">
        <f aca="false">IFERROR(IF(SEARCH("-", Nexto!B277), SUBSTITUTE(Nexto!B277,"-","")), "")</f>
        <v/>
      </c>
      <c r="H296" s="8" t="n">
        <f aca="false">IFERROR(VALUE(SUBSTITUTE(Nexto!P281,".",",")),0)</f>
        <v>0</v>
      </c>
      <c r="I296" s="9" t="str">
        <f aca="false">SUBSTITUTE(Azymut!D296,"-","")</f>
        <v/>
      </c>
      <c r="J296" s="9" t="n">
        <f aca="false">VALUE(SUBSTITUTE(Azymut!O296,".",","))</f>
        <v>0</v>
      </c>
      <c r="K296" s="9" t="str">
        <f aca="false">SUBSTITUTE(Ebookpoint!E308,"-","")</f>
        <v/>
      </c>
      <c r="L296" s="9" t="str">
        <f aca="false">SUBSTITUTE(Nasbi!E308,"-","")</f>
        <v/>
      </c>
      <c r="M296" s="9" t="n">
        <f aca="false">VALUE(SUBSTITUTE(StorytelE!G296,".",","))</f>
        <v>0</v>
      </c>
      <c r="N296" s="9" t="n">
        <f aca="false">VALUE(SUBSTITUTE(StorytelA!G296,".",","))</f>
        <v>0</v>
      </c>
      <c r="O296" s="9" t="n">
        <f aca="false">VALUE(SUBSTITUTE(StorytelE!M296,".",","))</f>
        <v>0</v>
      </c>
      <c r="P296" s="9" t="n">
        <f aca="false">VALUE(SUBSTITUTE(StorytelA!M296,".",","))</f>
        <v>0</v>
      </c>
      <c r="Q296" s="29"/>
      <c r="R296" s="29" t="n">
        <f aca="false">VALUE(SUBSTITUTE(Woblink!H308,".",","))</f>
        <v>0</v>
      </c>
      <c r="S296" s="9" t="str">
        <f aca="false">SUBSTITUTE(AzymutB!D296,"-","")</f>
        <v/>
      </c>
      <c r="T296" s="9" t="n">
        <f aca="false">VALUE(SUBSTITUTE(AzymutB!O296,".",","))</f>
        <v>0</v>
      </c>
      <c r="U296" s="9" t="str">
        <f aca="false">SUBSTITUTE(Audioteka!Q298,"-","")</f>
        <v/>
      </c>
    </row>
    <row r="297" customFormat="false" ht="15.75" hidden="false" customHeight="false" outlineLevel="0" collapsed="false">
      <c r="A297" s="8" t="str">
        <f aca="false">SUBSTITUTE(Histmag!B297,"-","")</f>
        <v/>
      </c>
      <c r="B297" s="9" t="n">
        <f aca="false">VALUE(SUBSTITUTE(Histmag!D297,".",","))</f>
        <v>0</v>
      </c>
      <c r="C297" s="8" t="str">
        <f aca="false">SUBSTITUTE(Virtualo!G297,"-","")</f>
        <v/>
      </c>
      <c r="D297" s="8" t="str">
        <f aca="false">SUBSTITUTE(Empik!F297,"-","")</f>
        <v/>
      </c>
      <c r="E297" s="8" t="str">
        <f aca="false">SUBSTITUTE(Publio!H297,"-","")</f>
        <v/>
      </c>
      <c r="F297" s="8" t="n">
        <f aca="false">VALUE(SUBSTITUTE(Publio!Q297,".",","))</f>
        <v>0</v>
      </c>
      <c r="G297" s="8" t="str">
        <f aca="false">IFERROR(IF(SEARCH("-", Nexto!B278), SUBSTITUTE(Nexto!B278,"-","")), "")</f>
        <v/>
      </c>
      <c r="H297" s="8" t="n">
        <f aca="false">IFERROR(VALUE(SUBSTITUTE(Nexto!P282,".",",")),0)</f>
        <v>0</v>
      </c>
      <c r="I297" s="9" t="str">
        <f aca="false">SUBSTITUTE(Azymut!D297,"-","")</f>
        <v/>
      </c>
      <c r="J297" s="9" t="n">
        <f aca="false">VALUE(SUBSTITUTE(Azymut!O297,".",","))</f>
        <v>0</v>
      </c>
      <c r="K297" s="9" t="str">
        <f aca="false">SUBSTITUTE(Ebookpoint!E309,"-","")</f>
        <v/>
      </c>
      <c r="L297" s="9" t="str">
        <f aca="false">SUBSTITUTE(Nasbi!E309,"-","")</f>
        <v/>
      </c>
      <c r="M297" s="9" t="n">
        <f aca="false">VALUE(SUBSTITUTE(StorytelE!G297,".",","))</f>
        <v>0</v>
      </c>
      <c r="N297" s="9" t="n">
        <f aca="false">VALUE(SUBSTITUTE(StorytelA!G297,".",","))</f>
        <v>0</v>
      </c>
      <c r="O297" s="9" t="n">
        <f aca="false">VALUE(SUBSTITUTE(StorytelE!M297,".",","))</f>
        <v>0</v>
      </c>
      <c r="P297" s="9" t="n">
        <f aca="false">VALUE(SUBSTITUTE(StorytelA!M297,".",","))</f>
        <v>0</v>
      </c>
      <c r="Q297" s="29"/>
      <c r="R297" s="29" t="n">
        <f aca="false">VALUE(SUBSTITUTE(Woblink!H309,".",","))</f>
        <v>0</v>
      </c>
      <c r="S297" s="9" t="str">
        <f aca="false">SUBSTITUTE(AzymutB!D297,"-","")</f>
        <v/>
      </c>
      <c r="T297" s="9" t="n">
        <f aca="false">VALUE(SUBSTITUTE(AzymutB!O297,".",","))</f>
        <v>0</v>
      </c>
      <c r="U297" s="9" t="str">
        <f aca="false">SUBSTITUTE(Audioteka!Q299,"-","")</f>
        <v/>
      </c>
    </row>
    <row r="298" customFormat="false" ht="15.75" hidden="false" customHeight="false" outlineLevel="0" collapsed="false">
      <c r="A298" s="8" t="str">
        <f aca="false">SUBSTITUTE(Histmag!B298,"-","")</f>
        <v/>
      </c>
      <c r="B298" s="9" t="n">
        <f aca="false">VALUE(SUBSTITUTE(Histmag!D298,".",","))</f>
        <v>0</v>
      </c>
      <c r="C298" s="8" t="str">
        <f aca="false">SUBSTITUTE(Virtualo!G298,"-","")</f>
        <v/>
      </c>
      <c r="D298" s="8" t="str">
        <f aca="false">SUBSTITUTE(Empik!F298,"-","")</f>
        <v/>
      </c>
      <c r="E298" s="8" t="str">
        <f aca="false">SUBSTITUTE(Publio!H298,"-","")</f>
        <v/>
      </c>
      <c r="F298" s="8" t="n">
        <f aca="false">VALUE(SUBSTITUTE(Publio!Q298,".",","))</f>
        <v>0</v>
      </c>
      <c r="G298" s="8" t="str">
        <f aca="false">IFERROR(IF(SEARCH("-", Nexto!B279), SUBSTITUTE(Nexto!B279,"-","")), "")</f>
        <v/>
      </c>
      <c r="H298" s="8" t="n">
        <f aca="false">IFERROR(VALUE(SUBSTITUTE(Nexto!P283,".",",")),0)</f>
        <v>0</v>
      </c>
      <c r="I298" s="9" t="str">
        <f aca="false">SUBSTITUTE(Azymut!D298,"-","")</f>
        <v/>
      </c>
      <c r="J298" s="9" t="n">
        <f aca="false">VALUE(SUBSTITUTE(Azymut!O298,".",","))</f>
        <v>0</v>
      </c>
      <c r="K298" s="9" t="str">
        <f aca="false">SUBSTITUTE(Ebookpoint!E310,"-","")</f>
        <v/>
      </c>
      <c r="L298" s="9" t="str">
        <f aca="false">SUBSTITUTE(Nasbi!E310,"-","")</f>
        <v/>
      </c>
      <c r="M298" s="9" t="n">
        <f aca="false">VALUE(SUBSTITUTE(StorytelE!G298,".",","))</f>
        <v>0</v>
      </c>
      <c r="N298" s="9" t="n">
        <f aca="false">VALUE(SUBSTITUTE(StorytelA!G298,".",","))</f>
        <v>0</v>
      </c>
      <c r="O298" s="9" t="n">
        <f aca="false">VALUE(SUBSTITUTE(StorytelE!M298,".",","))</f>
        <v>0</v>
      </c>
      <c r="P298" s="9" t="n">
        <f aca="false">VALUE(SUBSTITUTE(StorytelA!M298,".",","))</f>
        <v>0</v>
      </c>
      <c r="Q298" s="29"/>
      <c r="R298" s="29" t="n">
        <f aca="false">VALUE(SUBSTITUTE(Woblink!H310,".",","))</f>
        <v>0</v>
      </c>
      <c r="S298" s="9" t="str">
        <f aca="false">SUBSTITUTE(AzymutB!D298,"-","")</f>
        <v/>
      </c>
      <c r="T298" s="9" t="n">
        <f aca="false">VALUE(SUBSTITUTE(AzymutB!O298,".",","))</f>
        <v>0</v>
      </c>
      <c r="U298" s="9" t="str">
        <f aca="false">SUBSTITUTE(Audioteka!Q300,"-","")</f>
        <v/>
      </c>
    </row>
    <row r="299" customFormat="false" ht="15.75" hidden="false" customHeight="false" outlineLevel="0" collapsed="false">
      <c r="A299" s="8" t="str">
        <f aca="false">SUBSTITUTE(Histmag!B299,"-","")</f>
        <v/>
      </c>
      <c r="B299" s="9" t="n">
        <f aca="false">VALUE(SUBSTITUTE(Histmag!D299,".",","))</f>
        <v>0</v>
      </c>
      <c r="C299" s="8" t="str">
        <f aca="false">SUBSTITUTE(Virtualo!G299,"-","")</f>
        <v/>
      </c>
      <c r="D299" s="8" t="str">
        <f aca="false">SUBSTITUTE(Empik!F299,"-","")</f>
        <v/>
      </c>
      <c r="E299" s="8" t="str">
        <f aca="false">SUBSTITUTE(Publio!H299,"-","")</f>
        <v/>
      </c>
      <c r="F299" s="8" t="n">
        <f aca="false">VALUE(SUBSTITUTE(Publio!Q299,".",","))</f>
        <v>0</v>
      </c>
      <c r="G299" s="8" t="str">
        <f aca="false">IFERROR(IF(SEARCH("-", Nexto!B280), SUBSTITUTE(Nexto!B280,"-","")), "")</f>
        <v/>
      </c>
      <c r="H299" s="8" t="n">
        <f aca="false">IFERROR(VALUE(SUBSTITUTE(Nexto!P284,".",",")),0)</f>
        <v>0</v>
      </c>
      <c r="I299" s="9" t="str">
        <f aca="false">SUBSTITUTE(Azymut!D299,"-","")</f>
        <v/>
      </c>
      <c r="J299" s="9" t="n">
        <f aca="false">VALUE(SUBSTITUTE(Azymut!O299,".",","))</f>
        <v>0</v>
      </c>
      <c r="K299" s="9" t="str">
        <f aca="false">SUBSTITUTE(Ebookpoint!E311,"-","")</f>
        <v/>
      </c>
      <c r="L299" s="9" t="str">
        <f aca="false">SUBSTITUTE(Nasbi!E311,"-","")</f>
        <v/>
      </c>
      <c r="M299" s="9" t="n">
        <f aca="false">VALUE(SUBSTITUTE(StorytelE!G299,".",","))</f>
        <v>0</v>
      </c>
      <c r="N299" s="9" t="n">
        <f aca="false">VALUE(SUBSTITUTE(StorytelA!G299,".",","))</f>
        <v>0</v>
      </c>
      <c r="O299" s="9" t="n">
        <f aca="false">VALUE(SUBSTITUTE(StorytelE!M299,".",","))</f>
        <v>0</v>
      </c>
      <c r="P299" s="9" t="n">
        <f aca="false">VALUE(SUBSTITUTE(StorytelA!M299,".",","))</f>
        <v>0</v>
      </c>
      <c r="Q299" s="29"/>
      <c r="R299" s="29" t="n">
        <f aca="false">VALUE(SUBSTITUTE(Woblink!H311,".",","))</f>
        <v>0</v>
      </c>
      <c r="S299" s="9" t="str">
        <f aca="false">SUBSTITUTE(AzymutB!D299,"-","")</f>
        <v/>
      </c>
      <c r="T299" s="9" t="n">
        <f aca="false">VALUE(SUBSTITUTE(AzymutB!O299,".",","))</f>
        <v>0</v>
      </c>
      <c r="U299" s="9" t="str">
        <f aca="false">SUBSTITUTE(Audioteka!Q301,"-","")</f>
        <v/>
      </c>
    </row>
    <row r="300" customFormat="false" ht="15.75" hidden="false" customHeight="false" outlineLevel="0" collapsed="false">
      <c r="A300" s="8" t="str">
        <f aca="false">SUBSTITUTE(Histmag!B300,"-","")</f>
        <v/>
      </c>
      <c r="B300" s="9" t="n">
        <f aca="false">VALUE(SUBSTITUTE(Histmag!D300,".",","))</f>
        <v>0</v>
      </c>
      <c r="C300" s="8" t="str">
        <f aca="false">SUBSTITUTE(Virtualo!G300,"-","")</f>
        <v/>
      </c>
      <c r="D300" s="8" t="str">
        <f aca="false">SUBSTITUTE(Empik!F300,"-","")</f>
        <v/>
      </c>
      <c r="E300" s="8" t="str">
        <f aca="false">SUBSTITUTE(Publio!H300,"-","")</f>
        <v/>
      </c>
      <c r="F300" s="8" t="n">
        <f aca="false">VALUE(SUBSTITUTE(Publio!Q300,".",","))</f>
        <v>0</v>
      </c>
      <c r="G300" s="8" t="str">
        <f aca="false">IFERROR(IF(SEARCH("-", Nexto!B281), SUBSTITUTE(Nexto!B281,"-","")), "")</f>
        <v/>
      </c>
      <c r="H300" s="8" t="n">
        <f aca="false">IFERROR(VALUE(SUBSTITUTE(Nexto!P285,".",",")),0)</f>
        <v>0</v>
      </c>
      <c r="I300" s="9" t="str">
        <f aca="false">SUBSTITUTE(Azymut!D300,"-","")</f>
        <v/>
      </c>
      <c r="J300" s="9" t="n">
        <f aca="false">VALUE(SUBSTITUTE(Azymut!O300,".",","))</f>
        <v>0</v>
      </c>
      <c r="K300" s="9" t="str">
        <f aca="false">SUBSTITUTE(Ebookpoint!E312,"-","")</f>
        <v/>
      </c>
      <c r="L300" s="9" t="str">
        <f aca="false">SUBSTITUTE(Nasbi!E312,"-","")</f>
        <v/>
      </c>
      <c r="M300" s="9" t="n">
        <f aca="false">VALUE(SUBSTITUTE(StorytelE!G300,".",","))</f>
        <v>0</v>
      </c>
      <c r="N300" s="9" t="n">
        <f aca="false">VALUE(SUBSTITUTE(StorytelA!G300,".",","))</f>
        <v>0</v>
      </c>
      <c r="O300" s="9" t="n">
        <f aca="false">VALUE(SUBSTITUTE(StorytelE!M300,".",","))</f>
        <v>0</v>
      </c>
      <c r="P300" s="9" t="n">
        <f aca="false">VALUE(SUBSTITUTE(StorytelA!M300,".",","))</f>
        <v>0</v>
      </c>
      <c r="Q300" s="29"/>
      <c r="R300" s="29" t="n">
        <f aca="false">VALUE(SUBSTITUTE(Woblink!H312,".",","))</f>
        <v>0</v>
      </c>
      <c r="S300" s="9" t="str">
        <f aca="false">SUBSTITUTE(AzymutB!D300,"-","")</f>
        <v/>
      </c>
      <c r="T300" s="9" t="n">
        <f aca="false">VALUE(SUBSTITUTE(AzymutB!O300,".",","))</f>
        <v>0</v>
      </c>
      <c r="U300" s="9" t="str">
        <f aca="false">SUBSTITUTE(Audioteka!Q302,"-","")</f>
        <v/>
      </c>
    </row>
    <row r="301" customFormat="false" ht="15.75" hidden="false" customHeight="false" outlineLevel="0" collapsed="false">
      <c r="A301" s="8" t="str">
        <f aca="false">SUBSTITUTE(Histmag!B301,"-","")</f>
        <v/>
      </c>
      <c r="B301" s="9" t="n">
        <f aca="false">VALUE(SUBSTITUTE(Histmag!D301,".",","))</f>
        <v>0</v>
      </c>
      <c r="C301" s="8" t="str">
        <f aca="false">SUBSTITUTE(Virtualo!G301,"-","")</f>
        <v/>
      </c>
      <c r="D301" s="8" t="str">
        <f aca="false">SUBSTITUTE(Empik!F301,"-","")</f>
        <v/>
      </c>
      <c r="E301" s="8" t="str">
        <f aca="false">SUBSTITUTE(Publio!H301,"-","")</f>
        <v/>
      </c>
      <c r="F301" s="8" t="n">
        <f aca="false">VALUE(SUBSTITUTE(Publio!Q301,".",","))</f>
        <v>0</v>
      </c>
      <c r="G301" s="8" t="str">
        <f aca="false">IFERROR(IF(SEARCH("-", Nexto!B282), SUBSTITUTE(Nexto!B282,"-","")), "")</f>
        <v/>
      </c>
      <c r="H301" s="8" t="n">
        <f aca="false">IFERROR(VALUE(SUBSTITUTE(Nexto!P286,".",",")),0)</f>
        <v>0</v>
      </c>
      <c r="I301" s="9" t="str">
        <f aca="false">SUBSTITUTE(Azymut!D301,"-","")</f>
        <v/>
      </c>
      <c r="J301" s="9" t="n">
        <f aca="false">VALUE(SUBSTITUTE(Azymut!O301,".",","))</f>
        <v>0</v>
      </c>
      <c r="K301" s="9" t="str">
        <f aca="false">SUBSTITUTE(Ebookpoint!E313,"-","")</f>
        <v/>
      </c>
      <c r="L301" s="9" t="str">
        <f aca="false">SUBSTITUTE(Nasbi!E313,"-","")</f>
        <v/>
      </c>
      <c r="M301" s="9" t="n">
        <f aca="false">VALUE(SUBSTITUTE(StorytelE!G301,".",","))</f>
        <v>0</v>
      </c>
      <c r="N301" s="9" t="n">
        <f aca="false">VALUE(SUBSTITUTE(StorytelA!G301,".",","))</f>
        <v>0</v>
      </c>
      <c r="O301" s="9" t="n">
        <f aca="false">VALUE(SUBSTITUTE(StorytelE!M301,".",","))</f>
        <v>0</v>
      </c>
      <c r="P301" s="9" t="n">
        <f aca="false">VALUE(SUBSTITUTE(StorytelA!M301,".",","))</f>
        <v>0</v>
      </c>
      <c r="Q301" s="29"/>
      <c r="R301" s="29" t="n">
        <f aca="false">VALUE(SUBSTITUTE(Woblink!H313,".",","))</f>
        <v>0</v>
      </c>
      <c r="S301" s="9" t="str">
        <f aca="false">SUBSTITUTE(AzymutB!D301,"-","")</f>
        <v/>
      </c>
      <c r="T301" s="9" t="n">
        <f aca="false">VALUE(SUBSTITUTE(AzymutB!O301,".",","))</f>
        <v>0</v>
      </c>
      <c r="U301" s="9" t="str">
        <f aca="false">SUBSTITUTE(Audioteka!Q303,"-","")</f>
        <v/>
      </c>
    </row>
    <row r="302" customFormat="false" ht="15.75" hidden="false" customHeight="false" outlineLevel="0" collapsed="false">
      <c r="Q302" s="30"/>
    </row>
    <row r="303" customFormat="false" ht="15.75" hidden="false" customHeight="false" outlineLevel="0" collapsed="false">
      <c r="Q303" s="30"/>
    </row>
    <row r="304" customFormat="false" ht="15.75" hidden="false" customHeight="false" outlineLevel="0" collapsed="false">
      <c r="Q304" s="30"/>
    </row>
    <row r="305" customFormat="false" ht="15.75" hidden="false" customHeight="false" outlineLevel="0" collapsed="false">
      <c r="Q305" s="30"/>
    </row>
    <row r="306" customFormat="false" ht="15.75" hidden="false" customHeight="false" outlineLevel="0" collapsed="false">
      <c r="Q306" s="30"/>
    </row>
    <row r="307" customFormat="false" ht="15.75" hidden="false" customHeight="false" outlineLevel="0" collapsed="false">
      <c r="Q307" s="30"/>
    </row>
    <row r="308" customFormat="false" ht="15.75" hidden="false" customHeight="false" outlineLevel="0" collapsed="false">
      <c r="Q308" s="30"/>
    </row>
    <row r="309" customFormat="false" ht="15.75" hidden="false" customHeight="false" outlineLevel="0" collapsed="false">
      <c r="Q309" s="30"/>
    </row>
    <row r="310" customFormat="false" ht="15.75" hidden="false" customHeight="false" outlineLevel="0" collapsed="false">
      <c r="Q310" s="30"/>
    </row>
    <row r="311" customFormat="false" ht="15.75" hidden="false" customHeight="false" outlineLevel="0" collapsed="false">
      <c r="Q311" s="30"/>
    </row>
    <row r="312" customFormat="false" ht="15.75" hidden="false" customHeight="false" outlineLevel="0" collapsed="false">
      <c r="Q312" s="30"/>
    </row>
    <row r="313" customFormat="false" ht="15.75" hidden="false" customHeight="false" outlineLevel="0" collapsed="false">
      <c r="Q313" s="30"/>
    </row>
    <row r="314" customFormat="false" ht="15.75" hidden="false" customHeight="false" outlineLevel="0" collapsed="false">
      <c r="Q314" s="30"/>
    </row>
    <row r="315" customFormat="false" ht="15.75" hidden="false" customHeight="false" outlineLevel="0" collapsed="false">
      <c r="Q315" s="30"/>
    </row>
    <row r="316" customFormat="false" ht="15.75" hidden="false" customHeight="false" outlineLevel="0" collapsed="false">
      <c r="Q316" s="30"/>
    </row>
    <row r="317" customFormat="false" ht="15.75" hidden="false" customHeight="false" outlineLevel="0" collapsed="false">
      <c r="Q317" s="30"/>
    </row>
    <row r="318" customFormat="false" ht="15.75" hidden="false" customHeight="false" outlineLevel="0" collapsed="false">
      <c r="Q318" s="30"/>
    </row>
    <row r="319" customFormat="false" ht="15.75" hidden="false" customHeight="false" outlineLevel="0" collapsed="false">
      <c r="Q319" s="30"/>
    </row>
    <row r="320" customFormat="false" ht="15.75" hidden="false" customHeight="false" outlineLevel="0" collapsed="false">
      <c r="Q320" s="30"/>
    </row>
    <row r="321" customFormat="false" ht="15.75" hidden="false" customHeight="false" outlineLevel="0" collapsed="false">
      <c r="Q321" s="30"/>
    </row>
    <row r="322" customFormat="false" ht="15.75" hidden="false" customHeight="false" outlineLevel="0" collapsed="false">
      <c r="Q322" s="30"/>
    </row>
    <row r="323" customFormat="false" ht="15.75" hidden="false" customHeight="false" outlineLevel="0" collapsed="false">
      <c r="Q323" s="30"/>
    </row>
    <row r="324" customFormat="false" ht="15.75" hidden="false" customHeight="false" outlineLevel="0" collapsed="false">
      <c r="Q324" s="30"/>
    </row>
    <row r="325" customFormat="false" ht="15.75" hidden="false" customHeight="false" outlineLevel="0" collapsed="false">
      <c r="Q325" s="30"/>
    </row>
    <row r="326" customFormat="false" ht="15.75" hidden="false" customHeight="false" outlineLevel="0" collapsed="false">
      <c r="Q326" s="30"/>
    </row>
    <row r="327" customFormat="false" ht="15.75" hidden="false" customHeight="false" outlineLevel="0" collapsed="false">
      <c r="Q327" s="30"/>
    </row>
    <row r="328" customFormat="false" ht="15.75" hidden="false" customHeight="false" outlineLevel="0" collapsed="false">
      <c r="Q328" s="30"/>
    </row>
    <row r="329" customFormat="false" ht="15.75" hidden="false" customHeight="false" outlineLevel="0" collapsed="false">
      <c r="Q329" s="30"/>
    </row>
    <row r="330" customFormat="false" ht="15.75" hidden="false" customHeight="false" outlineLevel="0" collapsed="false">
      <c r="Q330" s="30"/>
    </row>
    <row r="331" customFormat="false" ht="15.75" hidden="false" customHeight="false" outlineLevel="0" collapsed="false">
      <c r="Q331" s="30"/>
    </row>
    <row r="332" customFormat="false" ht="15.75" hidden="false" customHeight="false" outlineLevel="0" collapsed="false">
      <c r="Q332" s="30"/>
    </row>
    <row r="333" customFormat="false" ht="15.75" hidden="false" customHeight="false" outlineLevel="0" collapsed="false">
      <c r="Q333" s="30"/>
    </row>
    <row r="334" customFormat="false" ht="15.75" hidden="false" customHeight="false" outlineLevel="0" collapsed="false">
      <c r="Q334" s="30"/>
    </row>
    <row r="335" customFormat="false" ht="15.75" hidden="false" customHeight="false" outlineLevel="0" collapsed="false">
      <c r="Q335" s="30"/>
    </row>
    <row r="336" customFormat="false" ht="15.75" hidden="false" customHeight="false" outlineLevel="0" collapsed="false">
      <c r="Q336" s="30"/>
    </row>
    <row r="337" customFormat="false" ht="15.75" hidden="false" customHeight="false" outlineLevel="0" collapsed="false">
      <c r="Q337" s="30"/>
    </row>
    <row r="338" customFormat="false" ht="15.75" hidden="false" customHeight="false" outlineLevel="0" collapsed="false">
      <c r="Q338" s="30"/>
    </row>
    <row r="339" customFormat="false" ht="15.75" hidden="false" customHeight="false" outlineLevel="0" collapsed="false">
      <c r="Q339" s="30"/>
    </row>
    <row r="340" customFormat="false" ht="15.75" hidden="false" customHeight="false" outlineLevel="0" collapsed="false">
      <c r="Q340" s="30"/>
    </row>
    <row r="341" customFormat="false" ht="15.75" hidden="false" customHeight="false" outlineLevel="0" collapsed="false">
      <c r="Q341" s="30"/>
    </row>
    <row r="342" customFormat="false" ht="15.75" hidden="false" customHeight="false" outlineLevel="0" collapsed="false">
      <c r="Q342" s="30"/>
    </row>
    <row r="343" customFormat="false" ht="15.75" hidden="false" customHeight="false" outlineLevel="0" collapsed="false">
      <c r="Q343" s="30"/>
    </row>
    <row r="344" customFormat="false" ht="15.75" hidden="false" customHeight="false" outlineLevel="0" collapsed="false">
      <c r="Q344" s="30"/>
    </row>
    <row r="345" customFormat="false" ht="15.75" hidden="false" customHeight="false" outlineLevel="0" collapsed="false">
      <c r="Q345" s="30"/>
    </row>
    <row r="346" customFormat="false" ht="15.75" hidden="false" customHeight="false" outlineLevel="0" collapsed="false">
      <c r="Q346" s="30"/>
    </row>
    <row r="347" customFormat="false" ht="15.75" hidden="false" customHeight="false" outlineLevel="0" collapsed="false">
      <c r="Q347" s="30"/>
    </row>
    <row r="348" customFormat="false" ht="15.75" hidden="false" customHeight="false" outlineLevel="0" collapsed="false">
      <c r="Q348" s="30"/>
    </row>
    <row r="349" customFormat="false" ht="15.75" hidden="false" customHeight="false" outlineLevel="0" collapsed="false">
      <c r="Q349" s="30"/>
    </row>
    <row r="350" customFormat="false" ht="15.75" hidden="false" customHeight="false" outlineLevel="0" collapsed="false">
      <c r="Q350" s="30"/>
    </row>
    <row r="351" customFormat="false" ht="15.75" hidden="false" customHeight="false" outlineLevel="0" collapsed="false">
      <c r="Q351" s="30"/>
    </row>
    <row r="352" customFormat="false" ht="15.75" hidden="false" customHeight="false" outlineLevel="0" collapsed="false">
      <c r="Q352" s="30"/>
    </row>
    <row r="353" customFormat="false" ht="15.75" hidden="false" customHeight="false" outlineLevel="0" collapsed="false">
      <c r="Q353" s="30"/>
    </row>
    <row r="354" customFormat="false" ht="15.75" hidden="false" customHeight="false" outlineLevel="0" collapsed="false">
      <c r="Q354" s="30"/>
    </row>
    <row r="355" customFormat="false" ht="15.75" hidden="false" customHeight="false" outlineLevel="0" collapsed="false">
      <c r="Q355" s="30"/>
    </row>
    <row r="356" customFormat="false" ht="15.75" hidden="false" customHeight="false" outlineLevel="0" collapsed="false">
      <c r="Q356" s="30"/>
    </row>
    <row r="357" customFormat="false" ht="15.75" hidden="false" customHeight="false" outlineLevel="0" collapsed="false">
      <c r="Q357" s="30"/>
    </row>
    <row r="358" customFormat="false" ht="15.75" hidden="false" customHeight="false" outlineLevel="0" collapsed="false">
      <c r="Q358" s="30"/>
    </row>
    <row r="359" customFormat="false" ht="15.75" hidden="false" customHeight="false" outlineLevel="0" collapsed="false">
      <c r="Q359" s="30"/>
    </row>
    <row r="360" customFormat="false" ht="15.75" hidden="false" customHeight="false" outlineLevel="0" collapsed="false">
      <c r="Q360" s="30"/>
    </row>
    <row r="361" customFormat="false" ht="15.75" hidden="false" customHeight="false" outlineLevel="0" collapsed="false">
      <c r="Q361" s="30"/>
    </row>
    <row r="362" customFormat="false" ht="15.75" hidden="false" customHeight="false" outlineLevel="0" collapsed="false">
      <c r="Q362" s="30"/>
    </row>
    <row r="363" customFormat="false" ht="15.75" hidden="false" customHeight="false" outlineLevel="0" collapsed="false">
      <c r="Q363" s="30"/>
    </row>
    <row r="364" customFormat="false" ht="15.75" hidden="false" customHeight="false" outlineLevel="0" collapsed="false">
      <c r="Q364" s="30"/>
    </row>
    <row r="365" customFormat="false" ht="15.75" hidden="false" customHeight="false" outlineLevel="0" collapsed="false">
      <c r="Q365" s="30"/>
    </row>
    <row r="366" customFormat="false" ht="15.75" hidden="false" customHeight="false" outlineLevel="0" collapsed="false">
      <c r="Q366" s="30"/>
    </row>
    <row r="367" customFormat="false" ht="15.75" hidden="false" customHeight="false" outlineLevel="0" collapsed="false">
      <c r="Q367" s="30"/>
    </row>
    <row r="368" customFormat="false" ht="15.75" hidden="false" customHeight="false" outlineLevel="0" collapsed="false">
      <c r="Q368" s="30"/>
    </row>
    <row r="369" customFormat="false" ht="15.75" hidden="false" customHeight="false" outlineLevel="0" collapsed="false">
      <c r="Q369" s="30"/>
    </row>
    <row r="370" customFormat="false" ht="15.75" hidden="false" customHeight="false" outlineLevel="0" collapsed="false">
      <c r="Q370" s="30"/>
    </row>
    <row r="371" customFormat="false" ht="15.75" hidden="false" customHeight="false" outlineLevel="0" collapsed="false">
      <c r="Q371" s="30"/>
    </row>
    <row r="372" customFormat="false" ht="15.75" hidden="false" customHeight="false" outlineLevel="0" collapsed="false">
      <c r="Q372" s="30"/>
    </row>
    <row r="373" customFormat="false" ht="15.75" hidden="false" customHeight="false" outlineLevel="0" collapsed="false">
      <c r="Q373" s="30"/>
    </row>
    <row r="374" customFormat="false" ht="15.75" hidden="false" customHeight="false" outlineLevel="0" collapsed="false">
      <c r="Q374" s="30"/>
    </row>
    <row r="375" customFormat="false" ht="15.75" hidden="false" customHeight="false" outlineLevel="0" collapsed="false">
      <c r="Q375" s="30"/>
    </row>
    <row r="376" customFormat="false" ht="15.75" hidden="false" customHeight="false" outlineLevel="0" collapsed="false">
      <c r="Q376" s="30"/>
    </row>
    <row r="377" customFormat="false" ht="15.75" hidden="false" customHeight="false" outlineLevel="0" collapsed="false">
      <c r="Q377" s="30"/>
    </row>
    <row r="378" customFormat="false" ht="15.75" hidden="false" customHeight="false" outlineLevel="0" collapsed="false">
      <c r="Q378" s="30"/>
    </row>
    <row r="379" customFormat="false" ht="15.75" hidden="false" customHeight="false" outlineLevel="0" collapsed="false">
      <c r="Q379" s="30"/>
    </row>
    <row r="380" customFormat="false" ht="15.75" hidden="false" customHeight="false" outlineLevel="0" collapsed="false">
      <c r="Q380" s="30"/>
    </row>
    <row r="381" customFormat="false" ht="15.75" hidden="false" customHeight="false" outlineLevel="0" collapsed="false">
      <c r="Q381" s="30"/>
    </row>
    <row r="382" customFormat="false" ht="15.75" hidden="false" customHeight="false" outlineLevel="0" collapsed="false">
      <c r="Q382" s="30"/>
    </row>
    <row r="383" customFormat="false" ht="15.75" hidden="false" customHeight="false" outlineLevel="0" collapsed="false">
      <c r="Q383" s="30"/>
    </row>
    <row r="384" customFormat="false" ht="15.75" hidden="false" customHeight="false" outlineLevel="0" collapsed="false">
      <c r="Q384" s="30"/>
    </row>
    <row r="385" customFormat="false" ht="15.75" hidden="false" customHeight="false" outlineLevel="0" collapsed="false">
      <c r="Q385" s="30"/>
    </row>
    <row r="386" customFormat="false" ht="15.75" hidden="false" customHeight="false" outlineLevel="0" collapsed="false">
      <c r="Q386" s="30"/>
    </row>
    <row r="387" customFormat="false" ht="15.75" hidden="false" customHeight="false" outlineLevel="0" collapsed="false">
      <c r="Q387" s="30"/>
    </row>
    <row r="388" customFormat="false" ht="15.75" hidden="false" customHeight="false" outlineLevel="0" collapsed="false">
      <c r="Q388" s="30"/>
    </row>
    <row r="389" customFormat="false" ht="15.75" hidden="false" customHeight="false" outlineLevel="0" collapsed="false">
      <c r="Q389" s="30"/>
    </row>
    <row r="390" customFormat="false" ht="15.75" hidden="false" customHeight="false" outlineLevel="0" collapsed="false">
      <c r="Q390" s="30"/>
    </row>
    <row r="391" customFormat="false" ht="15.75" hidden="false" customHeight="false" outlineLevel="0" collapsed="false">
      <c r="Q391" s="30"/>
    </row>
    <row r="392" customFormat="false" ht="15.75" hidden="false" customHeight="false" outlineLevel="0" collapsed="false">
      <c r="Q392" s="30"/>
    </row>
    <row r="393" customFormat="false" ht="15.75" hidden="false" customHeight="false" outlineLevel="0" collapsed="false">
      <c r="Q393" s="30"/>
    </row>
    <row r="394" customFormat="false" ht="15.75" hidden="false" customHeight="false" outlineLevel="0" collapsed="false">
      <c r="Q394" s="30"/>
    </row>
    <row r="395" customFormat="false" ht="15.75" hidden="false" customHeight="false" outlineLevel="0" collapsed="false">
      <c r="Q395" s="30"/>
    </row>
    <row r="396" customFormat="false" ht="15.75" hidden="false" customHeight="false" outlineLevel="0" collapsed="false">
      <c r="Q396" s="30"/>
    </row>
    <row r="397" customFormat="false" ht="15.75" hidden="false" customHeight="false" outlineLevel="0" collapsed="false">
      <c r="Q397" s="30"/>
    </row>
    <row r="398" customFormat="false" ht="15.75" hidden="false" customHeight="false" outlineLevel="0" collapsed="false">
      <c r="Q398" s="30"/>
    </row>
    <row r="399" customFormat="false" ht="15.75" hidden="false" customHeight="false" outlineLevel="0" collapsed="false">
      <c r="Q399" s="30"/>
    </row>
    <row r="400" customFormat="false" ht="15.75" hidden="false" customHeight="false" outlineLevel="0" collapsed="false">
      <c r="Q400" s="30"/>
    </row>
    <row r="401" customFormat="false" ht="15.75" hidden="false" customHeight="false" outlineLevel="0" collapsed="false">
      <c r="Q401" s="30"/>
    </row>
    <row r="402" customFormat="false" ht="15.75" hidden="false" customHeight="false" outlineLevel="0" collapsed="false">
      <c r="Q402" s="30"/>
    </row>
    <row r="403" customFormat="false" ht="15.75" hidden="false" customHeight="false" outlineLevel="0" collapsed="false">
      <c r="Q403" s="30"/>
    </row>
    <row r="404" customFormat="false" ht="15.75" hidden="false" customHeight="false" outlineLevel="0" collapsed="false">
      <c r="Q404" s="30"/>
    </row>
    <row r="405" customFormat="false" ht="15.75" hidden="false" customHeight="false" outlineLevel="0" collapsed="false">
      <c r="Q405" s="30"/>
    </row>
    <row r="406" customFormat="false" ht="15.75" hidden="false" customHeight="false" outlineLevel="0" collapsed="false">
      <c r="Q406" s="30"/>
    </row>
    <row r="407" customFormat="false" ht="15.75" hidden="false" customHeight="false" outlineLevel="0" collapsed="false">
      <c r="Q407" s="30"/>
    </row>
    <row r="408" customFormat="false" ht="15.75" hidden="false" customHeight="false" outlineLevel="0" collapsed="false">
      <c r="Q408" s="30"/>
    </row>
    <row r="409" customFormat="false" ht="15.75" hidden="false" customHeight="false" outlineLevel="0" collapsed="false">
      <c r="Q409" s="30"/>
    </row>
    <row r="410" customFormat="false" ht="15.75" hidden="false" customHeight="false" outlineLevel="0" collapsed="false">
      <c r="Q410" s="30"/>
    </row>
    <row r="411" customFormat="false" ht="15.75" hidden="false" customHeight="false" outlineLevel="0" collapsed="false">
      <c r="Q411" s="30"/>
    </row>
    <row r="412" customFormat="false" ht="15.75" hidden="false" customHeight="false" outlineLevel="0" collapsed="false">
      <c r="Q412" s="30"/>
    </row>
    <row r="413" customFormat="false" ht="15.75" hidden="false" customHeight="false" outlineLevel="0" collapsed="false">
      <c r="Q413" s="30"/>
    </row>
    <row r="414" customFormat="false" ht="15.75" hidden="false" customHeight="false" outlineLevel="0" collapsed="false">
      <c r="Q414" s="30"/>
    </row>
    <row r="415" customFormat="false" ht="15.75" hidden="false" customHeight="false" outlineLevel="0" collapsed="false">
      <c r="Q415" s="30"/>
    </row>
    <row r="416" customFormat="false" ht="15.75" hidden="false" customHeight="false" outlineLevel="0" collapsed="false">
      <c r="Q416" s="30"/>
    </row>
    <row r="417" customFormat="false" ht="15.75" hidden="false" customHeight="false" outlineLevel="0" collapsed="false">
      <c r="Q417" s="30"/>
    </row>
    <row r="418" customFormat="false" ht="15.75" hidden="false" customHeight="false" outlineLevel="0" collapsed="false">
      <c r="Q418" s="30"/>
    </row>
    <row r="419" customFormat="false" ht="15.75" hidden="false" customHeight="false" outlineLevel="0" collapsed="false">
      <c r="Q419" s="30"/>
    </row>
    <row r="420" customFormat="false" ht="15.75" hidden="false" customHeight="false" outlineLevel="0" collapsed="false">
      <c r="Q420" s="30"/>
    </row>
    <row r="421" customFormat="false" ht="15.75" hidden="false" customHeight="false" outlineLevel="0" collapsed="false">
      <c r="Q421" s="30"/>
    </row>
    <row r="422" customFormat="false" ht="15.75" hidden="false" customHeight="false" outlineLevel="0" collapsed="false">
      <c r="Q422" s="30"/>
    </row>
    <row r="423" customFormat="false" ht="15.75" hidden="false" customHeight="false" outlineLevel="0" collapsed="false">
      <c r="Q423" s="30"/>
    </row>
    <row r="424" customFormat="false" ht="15.75" hidden="false" customHeight="false" outlineLevel="0" collapsed="false">
      <c r="Q424" s="30"/>
    </row>
    <row r="425" customFormat="false" ht="15.75" hidden="false" customHeight="false" outlineLevel="0" collapsed="false">
      <c r="Q425" s="30"/>
    </row>
    <row r="426" customFormat="false" ht="15.75" hidden="false" customHeight="false" outlineLevel="0" collapsed="false">
      <c r="Q426" s="30"/>
    </row>
    <row r="427" customFormat="false" ht="15.75" hidden="false" customHeight="false" outlineLevel="0" collapsed="false">
      <c r="Q427" s="30"/>
    </row>
    <row r="428" customFormat="false" ht="15.75" hidden="false" customHeight="false" outlineLevel="0" collapsed="false">
      <c r="Q428" s="30"/>
    </row>
    <row r="429" customFormat="false" ht="15.75" hidden="false" customHeight="false" outlineLevel="0" collapsed="false">
      <c r="Q429" s="30"/>
    </row>
    <row r="430" customFormat="false" ht="15.75" hidden="false" customHeight="false" outlineLevel="0" collapsed="false">
      <c r="Q430" s="30"/>
    </row>
    <row r="431" customFormat="false" ht="15.75" hidden="false" customHeight="false" outlineLevel="0" collapsed="false">
      <c r="Q431" s="30"/>
    </row>
    <row r="432" customFormat="false" ht="15.75" hidden="false" customHeight="false" outlineLevel="0" collapsed="false">
      <c r="Q432" s="30"/>
    </row>
    <row r="433" customFormat="false" ht="15.75" hidden="false" customHeight="false" outlineLevel="0" collapsed="false">
      <c r="Q433" s="30"/>
    </row>
    <row r="434" customFormat="false" ht="15.75" hidden="false" customHeight="false" outlineLevel="0" collapsed="false">
      <c r="Q434" s="30"/>
    </row>
    <row r="435" customFormat="false" ht="15.75" hidden="false" customHeight="false" outlineLevel="0" collapsed="false">
      <c r="Q435" s="30"/>
    </row>
    <row r="436" customFormat="false" ht="15.75" hidden="false" customHeight="false" outlineLevel="0" collapsed="false">
      <c r="Q436" s="30"/>
    </row>
    <row r="437" customFormat="false" ht="15.75" hidden="false" customHeight="false" outlineLevel="0" collapsed="false">
      <c r="Q437" s="30"/>
    </row>
    <row r="438" customFormat="false" ht="15.75" hidden="false" customHeight="false" outlineLevel="0" collapsed="false">
      <c r="Q438" s="30"/>
    </row>
    <row r="439" customFormat="false" ht="15.75" hidden="false" customHeight="false" outlineLevel="0" collapsed="false">
      <c r="Q439" s="30"/>
    </row>
    <row r="440" customFormat="false" ht="15.75" hidden="false" customHeight="false" outlineLevel="0" collapsed="false">
      <c r="Q440" s="30"/>
    </row>
    <row r="441" customFormat="false" ht="15.75" hidden="false" customHeight="false" outlineLevel="0" collapsed="false">
      <c r="Q441" s="30"/>
    </row>
    <row r="442" customFormat="false" ht="15.75" hidden="false" customHeight="false" outlineLevel="0" collapsed="false">
      <c r="Q442" s="30"/>
    </row>
    <row r="443" customFormat="false" ht="15.75" hidden="false" customHeight="false" outlineLevel="0" collapsed="false">
      <c r="Q443" s="30"/>
    </row>
    <row r="444" customFormat="false" ht="15.75" hidden="false" customHeight="false" outlineLevel="0" collapsed="false">
      <c r="Q444" s="30"/>
    </row>
    <row r="445" customFormat="false" ht="15.75" hidden="false" customHeight="false" outlineLevel="0" collapsed="false">
      <c r="Q445" s="30"/>
    </row>
    <row r="446" customFormat="false" ht="15.75" hidden="false" customHeight="false" outlineLevel="0" collapsed="false">
      <c r="Q446" s="30"/>
    </row>
    <row r="447" customFormat="false" ht="15.75" hidden="false" customHeight="false" outlineLevel="0" collapsed="false">
      <c r="Q447" s="30"/>
    </row>
    <row r="448" customFormat="false" ht="15.75" hidden="false" customHeight="false" outlineLevel="0" collapsed="false">
      <c r="Q448" s="30"/>
    </row>
    <row r="449" customFormat="false" ht="15.75" hidden="false" customHeight="false" outlineLevel="0" collapsed="false">
      <c r="Q449" s="30"/>
    </row>
    <row r="450" customFormat="false" ht="15.75" hidden="false" customHeight="false" outlineLevel="0" collapsed="false">
      <c r="Q450" s="30"/>
    </row>
    <row r="451" customFormat="false" ht="15.75" hidden="false" customHeight="false" outlineLevel="0" collapsed="false">
      <c r="Q451" s="30"/>
    </row>
    <row r="452" customFormat="false" ht="15.75" hidden="false" customHeight="false" outlineLevel="0" collapsed="false">
      <c r="Q452" s="30"/>
    </row>
    <row r="453" customFormat="false" ht="15.75" hidden="false" customHeight="false" outlineLevel="0" collapsed="false">
      <c r="Q453" s="30"/>
    </row>
    <row r="454" customFormat="false" ht="15.75" hidden="false" customHeight="false" outlineLevel="0" collapsed="false">
      <c r="Q454" s="30"/>
    </row>
    <row r="455" customFormat="false" ht="15.75" hidden="false" customHeight="false" outlineLevel="0" collapsed="false">
      <c r="Q455" s="30"/>
    </row>
    <row r="456" customFormat="false" ht="15.75" hidden="false" customHeight="false" outlineLevel="0" collapsed="false">
      <c r="Q456" s="30"/>
    </row>
    <row r="457" customFormat="false" ht="15.75" hidden="false" customHeight="false" outlineLevel="0" collapsed="false">
      <c r="Q457" s="30"/>
    </row>
    <row r="458" customFormat="false" ht="15.75" hidden="false" customHeight="false" outlineLevel="0" collapsed="false">
      <c r="Q458" s="30"/>
    </row>
    <row r="459" customFormat="false" ht="15.75" hidden="false" customHeight="false" outlineLevel="0" collapsed="false">
      <c r="Q459" s="30"/>
    </row>
    <row r="460" customFormat="false" ht="15.75" hidden="false" customHeight="false" outlineLevel="0" collapsed="false">
      <c r="Q460" s="30"/>
    </row>
    <row r="461" customFormat="false" ht="15.75" hidden="false" customHeight="false" outlineLevel="0" collapsed="false">
      <c r="Q461" s="30"/>
    </row>
    <row r="462" customFormat="false" ht="15.75" hidden="false" customHeight="false" outlineLevel="0" collapsed="false">
      <c r="Q462" s="30"/>
    </row>
    <row r="463" customFormat="false" ht="15.75" hidden="false" customHeight="false" outlineLevel="0" collapsed="false">
      <c r="Q463" s="30"/>
    </row>
    <row r="464" customFormat="false" ht="15.75" hidden="false" customHeight="false" outlineLevel="0" collapsed="false">
      <c r="Q464" s="30"/>
    </row>
    <row r="465" customFormat="false" ht="15.75" hidden="false" customHeight="false" outlineLevel="0" collapsed="false">
      <c r="Q465" s="30"/>
    </row>
    <row r="466" customFormat="false" ht="15.75" hidden="false" customHeight="false" outlineLevel="0" collapsed="false">
      <c r="Q466" s="30"/>
    </row>
    <row r="467" customFormat="false" ht="15.75" hidden="false" customHeight="false" outlineLevel="0" collapsed="false">
      <c r="Q467" s="30"/>
    </row>
    <row r="468" customFormat="false" ht="15.75" hidden="false" customHeight="false" outlineLevel="0" collapsed="false">
      <c r="Q468" s="30"/>
    </row>
    <row r="469" customFormat="false" ht="15.75" hidden="false" customHeight="false" outlineLevel="0" collapsed="false">
      <c r="Q469" s="30"/>
    </row>
    <row r="470" customFormat="false" ht="15.75" hidden="false" customHeight="false" outlineLevel="0" collapsed="false">
      <c r="Q470" s="30"/>
    </row>
    <row r="471" customFormat="false" ht="15.75" hidden="false" customHeight="false" outlineLevel="0" collapsed="false">
      <c r="Q471" s="30"/>
    </row>
    <row r="472" customFormat="false" ht="15.75" hidden="false" customHeight="false" outlineLevel="0" collapsed="false">
      <c r="Q472" s="30"/>
    </row>
    <row r="473" customFormat="false" ht="15.75" hidden="false" customHeight="false" outlineLevel="0" collapsed="false">
      <c r="Q473" s="30"/>
    </row>
    <row r="474" customFormat="false" ht="15.75" hidden="false" customHeight="false" outlineLevel="0" collapsed="false">
      <c r="Q474" s="30"/>
    </row>
    <row r="475" customFormat="false" ht="15.75" hidden="false" customHeight="false" outlineLevel="0" collapsed="false">
      <c r="Q475" s="30"/>
    </row>
    <row r="476" customFormat="false" ht="15.75" hidden="false" customHeight="false" outlineLevel="0" collapsed="false">
      <c r="Q476" s="30"/>
    </row>
    <row r="477" customFormat="false" ht="15.75" hidden="false" customHeight="false" outlineLevel="0" collapsed="false">
      <c r="Q477" s="30"/>
    </row>
    <row r="478" customFormat="false" ht="15.75" hidden="false" customHeight="false" outlineLevel="0" collapsed="false">
      <c r="Q478" s="30"/>
    </row>
    <row r="479" customFormat="false" ht="15.75" hidden="false" customHeight="false" outlineLevel="0" collapsed="false">
      <c r="Q479" s="30"/>
    </row>
    <row r="480" customFormat="false" ht="15.75" hidden="false" customHeight="false" outlineLevel="0" collapsed="false">
      <c r="Q480" s="30"/>
    </row>
    <row r="481" customFormat="false" ht="15.75" hidden="false" customHeight="false" outlineLevel="0" collapsed="false">
      <c r="Q481" s="30"/>
    </row>
    <row r="482" customFormat="false" ht="15.75" hidden="false" customHeight="false" outlineLevel="0" collapsed="false">
      <c r="Q482" s="30"/>
    </row>
    <row r="483" customFormat="false" ht="15.75" hidden="false" customHeight="false" outlineLevel="0" collapsed="false">
      <c r="Q483" s="30"/>
    </row>
    <row r="484" customFormat="false" ht="15.75" hidden="false" customHeight="false" outlineLevel="0" collapsed="false">
      <c r="Q484" s="30"/>
    </row>
    <row r="485" customFormat="false" ht="15.75" hidden="false" customHeight="false" outlineLevel="0" collapsed="false">
      <c r="Q485" s="30"/>
    </row>
    <row r="486" customFormat="false" ht="15.75" hidden="false" customHeight="false" outlineLevel="0" collapsed="false">
      <c r="Q486" s="30"/>
    </row>
    <row r="487" customFormat="false" ht="15.75" hidden="false" customHeight="false" outlineLevel="0" collapsed="false">
      <c r="Q487" s="30"/>
    </row>
    <row r="488" customFormat="false" ht="15.75" hidden="false" customHeight="false" outlineLevel="0" collapsed="false">
      <c r="Q488" s="30"/>
    </row>
    <row r="489" customFormat="false" ht="15.75" hidden="false" customHeight="false" outlineLevel="0" collapsed="false">
      <c r="Q489" s="30"/>
    </row>
    <row r="490" customFormat="false" ht="15.75" hidden="false" customHeight="false" outlineLevel="0" collapsed="false">
      <c r="Q490" s="30"/>
    </row>
    <row r="491" customFormat="false" ht="15.75" hidden="false" customHeight="false" outlineLevel="0" collapsed="false">
      <c r="Q491" s="30"/>
    </row>
    <row r="492" customFormat="false" ht="15.75" hidden="false" customHeight="false" outlineLevel="0" collapsed="false">
      <c r="Q492" s="30"/>
    </row>
    <row r="493" customFormat="false" ht="15.75" hidden="false" customHeight="false" outlineLevel="0" collapsed="false">
      <c r="Q493" s="30"/>
    </row>
    <row r="494" customFormat="false" ht="15.75" hidden="false" customHeight="false" outlineLevel="0" collapsed="false">
      <c r="Q494" s="30"/>
    </row>
    <row r="495" customFormat="false" ht="15.75" hidden="false" customHeight="false" outlineLevel="0" collapsed="false">
      <c r="Q495" s="30"/>
    </row>
    <row r="496" customFormat="false" ht="15.75" hidden="false" customHeight="false" outlineLevel="0" collapsed="false">
      <c r="Q496" s="30"/>
    </row>
    <row r="497" customFormat="false" ht="15.75" hidden="false" customHeight="false" outlineLevel="0" collapsed="false">
      <c r="Q497" s="30"/>
    </row>
    <row r="498" customFormat="false" ht="15.75" hidden="false" customHeight="false" outlineLevel="0" collapsed="false">
      <c r="Q498" s="30"/>
    </row>
    <row r="499" customFormat="false" ht="15.75" hidden="false" customHeight="false" outlineLevel="0" collapsed="false">
      <c r="Q499" s="30"/>
    </row>
    <row r="500" customFormat="false" ht="15.75" hidden="false" customHeight="false" outlineLevel="0" collapsed="false">
      <c r="Q500" s="30"/>
    </row>
    <row r="501" customFormat="false" ht="15.75" hidden="false" customHeight="false" outlineLevel="0" collapsed="false">
      <c r="Q501" s="30"/>
    </row>
    <row r="502" customFormat="false" ht="15.75" hidden="false" customHeight="false" outlineLevel="0" collapsed="false">
      <c r="Q502" s="30"/>
    </row>
    <row r="503" customFormat="false" ht="15.75" hidden="false" customHeight="false" outlineLevel="0" collapsed="false">
      <c r="Q503" s="30"/>
    </row>
    <row r="504" customFormat="false" ht="15.75" hidden="false" customHeight="false" outlineLevel="0" collapsed="false">
      <c r="Q504" s="30"/>
    </row>
    <row r="505" customFormat="false" ht="15.75" hidden="false" customHeight="false" outlineLevel="0" collapsed="false">
      <c r="Q505" s="30"/>
    </row>
    <row r="506" customFormat="false" ht="15.75" hidden="false" customHeight="false" outlineLevel="0" collapsed="false">
      <c r="Q506" s="30"/>
    </row>
    <row r="507" customFormat="false" ht="15.75" hidden="false" customHeight="false" outlineLevel="0" collapsed="false">
      <c r="Q507" s="30"/>
    </row>
    <row r="508" customFormat="false" ht="15.75" hidden="false" customHeight="false" outlineLevel="0" collapsed="false">
      <c r="Q508" s="30"/>
    </row>
    <row r="509" customFormat="false" ht="15.75" hidden="false" customHeight="false" outlineLevel="0" collapsed="false">
      <c r="Q509" s="30"/>
    </row>
    <row r="510" customFormat="false" ht="15.75" hidden="false" customHeight="false" outlineLevel="0" collapsed="false">
      <c r="Q510" s="30"/>
    </row>
    <row r="511" customFormat="false" ht="15.75" hidden="false" customHeight="false" outlineLevel="0" collapsed="false">
      <c r="Q511" s="30"/>
    </row>
    <row r="512" customFormat="false" ht="15.75" hidden="false" customHeight="false" outlineLevel="0" collapsed="false">
      <c r="Q512" s="30"/>
    </row>
    <row r="513" customFormat="false" ht="15.75" hidden="false" customHeight="false" outlineLevel="0" collapsed="false">
      <c r="Q513" s="30"/>
    </row>
    <row r="514" customFormat="false" ht="15.75" hidden="false" customHeight="false" outlineLevel="0" collapsed="false">
      <c r="Q514" s="30"/>
    </row>
    <row r="515" customFormat="false" ht="15.75" hidden="false" customHeight="false" outlineLevel="0" collapsed="false">
      <c r="Q515" s="30"/>
    </row>
    <row r="516" customFormat="false" ht="15.75" hidden="false" customHeight="false" outlineLevel="0" collapsed="false">
      <c r="Q516" s="30"/>
    </row>
    <row r="517" customFormat="false" ht="15.75" hidden="false" customHeight="false" outlineLevel="0" collapsed="false">
      <c r="Q517" s="30"/>
    </row>
    <row r="518" customFormat="false" ht="15.75" hidden="false" customHeight="false" outlineLevel="0" collapsed="false">
      <c r="Q518" s="30"/>
    </row>
    <row r="519" customFormat="false" ht="15.75" hidden="false" customHeight="false" outlineLevel="0" collapsed="false">
      <c r="Q519" s="30"/>
    </row>
    <row r="520" customFormat="false" ht="15.75" hidden="false" customHeight="false" outlineLevel="0" collapsed="false">
      <c r="Q520" s="30"/>
    </row>
    <row r="521" customFormat="false" ht="15.75" hidden="false" customHeight="false" outlineLevel="0" collapsed="false">
      <c r="Q521" s="30"/>
    </row>
    <row r="522" customFormat="false" ht="15.75" hidden="false" customHeight="false" outlineLevel="0" collapsed="false">
      <c r="Q522" s="30"/>
    </row>
    <row r="523" customFormat="false" ht="15.75" hidden="false" customHeight="false" outlineLevel="0" collapsed="false">
      <c r="Q523" s="30"/>
    </row>
    <row r="524" customFormat="false" ht="15.75" hidden="false" customHeight="false" outlineLevel="0" collapsed="false">
      <c r="Q524" s="30"/>
    </row>
    <row r="525" customFormat="false" ht="15.75" hidden="false" customHeight="false" outlineLevel="0" collapsed="false">
      <c r="Q525" s="30"/>
    </row>
    <row r="526" customFormat="false" ht="15.75" hidden="false" customHeight="false" outlineLevel="0" collapsed="false">
      <c r="Q526" s="30"/>
    </row>
    <row r="527" customFormat="false" ht="15.75" hidden="false" customHeight="false" outlineLevel="0" collapsed="false">
      <c r="Q527" s="30"/>
    </row>
    <row r="528" customFormat="false" ht="15.75" hidden="false" customHeight="false" outlineLevel="0" collapsed="false">
      <c r="Q528" s="30"/>
    </row>
    <row r="529" customFormat="false" ht="15.75" hidden="false" customHeight="false" outlineLevel="0" collapsed="false">
      <c r="Q529" s="30"/>
    </row>
    <row r="530" customFormat="false" ht="15.75" hidden="false" customHeight="false" outlineLevel="0" collapsed="false">
      <c r="Q530" s="30"/>
    </row>
    <row r="531" customFormat="false" ht="15.75" hidden="false" customHeight="false" outlineLevel="0" collapsed="false">
      <c r="Q531" s="30"/>
    </row>
    <row r="532" customFormat="false" ht="15.75" hidden="false" customHeight="false" outlineLevel="0" collapsed="false">
      <c r="Q532" s="30"/>
    </row>
    <row r="533" customFormat="false" ht="15.75" hidden="false" customHeight="false" outlineLevel="0" collapsed="false">
      <c r="Q533" s="30"/>
    </row>
    <row r="534" customFormat="false" ht="15.75" hidden="false" customHeight="false" outlineLevel="0" collapsed="false">
      <c r="Q534" s="30"/>
    </row>
    <row r="535" customFormat="false" ht="15.75" hidden="false" customHeight="false" outlineLevel="0" collapsed="false">
      <c r="Q535" s="30"/>
    </row>
    <row r="536" customFormat="false" ht="15.75" hidden="false" customHeight="false" outlineLevel="0" collapsed="false">
      <c r="Q536" s="30"/>
    </row>
    <row r="537" customFormat="false" ht="15.75" hidden="false" customHeight="false" outlineLevel="0" collapsed="false">
      <c r="Q537" s="30"/>
    </row>
    <row r="538" customFormat="false" ht="15.75" hidden="false" customHeight="false" outlineLevel="0" collapsed="false">
      <c r="Q538" s="30"/>
    </row>
    <row r="539" customFormat="false" ht="15.75" hidden="false" customHeight="false" outlineLevel="0" collapsed="false">
      <c r="Q539" s="30"/>
    </row>
    <row r="540" customFormat="false" ht="15.75" hidden="false" customHeight="false" outlineLevel="0" collapsed="false">
      <c r="Q540" s="30"/>
    </row>
    <row r="541" customFormat="false" ht="15.75" hidden="false" customHeight="false" outlineLevel="0" collapsed="false">
      <c r="Q541" s="30"/>
    </row>
    <row r="542" customFormat="false" ht="15.75" hidden="false" customHeight="false" outlineLevel="0" collapsed="false">
      <c r="Q542" s="30"/>
    </row>
    <row r="543" customFormat="false" ht="15.75" hidden="false" customHeight="false" outlineLevel="0" collapsed="false">
      <c r="Q543" s="30"/>
    </row>
    <row r="544" customFormat="false" ht="15.75" hidden="false" customHeight="false" outlineLevel="0" collapsed="false">
      <c r="Q544" s="30"/>
    </row>
    <row r="545" customFormat="false" ht="15.75" hidden="false" customHeight="false" outlineLevel="0" collapsed="false">
      <c r="Q545" s="30"/>
    </row>
    <row r="546" customFormat="false" ht="15.75" hidden="false" customHeight="false" outlineLevel="0" collapsed="false">
      <c r="Q546" s="30"/>
    </row>
    <row r="547" customFormat="false" ht="15.75" hidden="false" customHeight="false" outlineLevel="0" collapsed="false">
      <c r="Q547" s="30"/>
    </row>
    <row r="548" customFormat="false" ht="15.75" hidden="false" customHeight="false" outlineLevel="0" collapsed="false">
      <c r="Q548" s="30"/>
    </row>
    <row r="549" customFormat="false" ht="15.75" hidden="false" customHeight="false" outlineLevel="0" collapsed="false">
      <c r="Q549" s="30"/>
    </row>
    <row r="550" customFormat="false" ht="15.75" hidden="false" customHeight="false" outlineLevel="0" collapsed="false">
      <c r="Q550" s="30"/>
    </row>
    <row r="551" customFormat="false" ht="15.75" hidden="false" customHeight="false" outlineLevel="0" collapsed="false">
      <c r="Q551" s="30"/>
    </row>
    <row r="552" customFormat="false" ht="15.75" hidden="false" customHeight="false" outlineLevel="0" collapsed="false">
      <c r="Q552" s="30"/>
    </row>
    <row r="553" customFormat="false" ht="15.75" hidden="false" customHeight="false" outlineLevel="0" collapsed="false">
      <c r="Q553" s="30"/>
    </row>
    <row r="554" customFormat="false" ht="15.75" hidden="false" customHeight="false" outlineLevel="0" collapsed="false">
      <c r="Q554" s="30"/>
    </row>
    <row r="555" customFormat="false" ht="15.75" hidden="false" customHeight="false" outlineLevel="0" collapsed="false">
      <c r="Q555" s="30"/>
    </row>
    <row r="556" customFormat="false" ht="15.75" hidden="false" customHeight="false" outlineLevel="0" collapsed="false">
      <c r="Q556" s="30"/>
    </row>
    <row r="557" customFormat="false" ht="15.75" hidden="false" customHeight="false" outlineLevel="0" collapsed="false">
      <c r="Q557" s="30"/>
    </row>
    <row r="558" customFormat="false" ht="15.75" hidden="false" customHeight="false" outlineLevel="0" collapsed="false">
      <c r="Q558" s="30"/>
    </row>
    <row r="559" customFormat="false" ht="15.75" hidden="false" customHeight="false" outlineLevel="0" collapsed="false">
      <c r="Q559" s="30"/>
    </row>
    <row r="560" customFormat="false" ht="15.75" hidden="false" customHeight="false" outlineLevel="0" collapsed="false">
      <c r="Q560" s="30"/>
    </row>
    <row r="561" customFormat="false" ht="15.75" hidden="false" customHeight="false" outlineLevel="0" collapsed="false">
      <c r="Q561" s="30"/>
    </row>
    <row r="562" customFormat="false" ht="15.75" hidden="false" customHeight="false" outlineLevel="0" collapsed="false">
      <c r="Q562" s="30"/>
    </row>
    <row r="563" customFormat="false" ht="15.75" hidden="false" customHeight="false" outlineLevel="0" collapsed="false">
      <c r="Q563" s="30"/>
    </row>
    <row r="564" customFormat="false" ht="15.75" hidden="false" customHeight="false" outlineLevel="0" collapsed="false">
      <c r="Q564" s="30"/>
    </row>
    <row r="565" customFormat="false" ht="15.75" hidden="false" customHeight="false" outlineLevel="0" collapsed="false">
      <c r="Q565" s="30"/>
    </row>
    <row r="566" customFormat="false" ht="15.75" hidden="false" customHeight="false" outlineLevel="0" collapsed="false">
      <c r="Q566" s="30"/>
    </row>
    <row r="567" customFormat="false" ht="15.75" hidden="false" customHeight="false" outlineLevel="0" collapsed="false">
      <c r="Q567" s="30"/>
    </row>
    <row r="568" customFormat="false" ht="15.75" hidden="false" customHeight="false" outlineLevel="0" collapsed="false">
      <c r="Q568" s="30"/>
    </row>
    <row r="569" customFormat="false" ht="15.75" hidden="false" customHeight="false" outlineLevel="0" collapsed="false">
      <c r="Q569" s="30"/>
    </row>
    <row r="570" customFormat="false" ht="15.75" hidden="false" customHeight="false" outlineLevel="0" collapsed="false">
      <c r="Q570" s="30"/>
    </row>
    <row r="571" customFormat="false" ht="15.75" hidden="false" customHeight="false" outlineLevel="0" collapsed="false">
      <c r="Q571" s="30"/>
    </row>
    <row r="572" customFormat="false" ht="15.75" hidden="false" customHeight="false" outlineLevel="0" collapsed="false">
      <c r="Q572" s="30"/>
    </row>
    <row r="573" customFormat="false" ht="15.75" hidden="false" customHeight="false" outlineLevel="0" collapsed="false">
      <c r="Q573" s="30"/>
    </row>
    <row r="574" customFormat="false" ht="15.75" hidden="false" customHeight="false" outlineLevel="0" collapsed="false">
      <c r="Q574" s="30"/>
    </row>
    <row r="575" customFormat="false" ht="15.75" hidden="false" customHeight="false" outlineLevel="0" collapsed="false">
      <c r="Q575" s="30"/>
    </row>
    <row r="576" customFormat="false" ht="15.75" hidden="false" customHeight="false" outlineLevel="0" collapsed="false">
      <c r="Q576" s="30"/>
    </row>
    <row r="577" customFormat="false" ht="15.75" hidden="false" customHeight="false" outlineLevel="0" collapsed="false">
      <c r="Q577" s="30"/>
    </row>
    <row r="578" customFormat="false" ht="15.75" hidden="false" customHeight="false" outlineLevel="0" collapsed="false">
      <c r="Q578" s="30"/>
    </row>
    <row r="579" customFormat="false" ht="15.75" hidden="false" customHeight="false" outlineLevel="0" collapsed="false">
      <c r="Q579" s="30"/>
    </row>
    <row r="580" customFormat="false" ht="15.75" hidden="false" customHeight="false" outlineLevel="0" collapsed="false">
      <c r="Q580" s="30"/>
    </row>
    <row r="581" customFormat="false" ht="15.75" hidden="false" customHeight="false" outlineLevel="0" collapsed="false">
      <c r="Q581" s="30"/>
    </row>
    <row r="582" customFormat="false" ht="15.75" hidden="false" customHeight="false" outlineLevel="0" collapsed="false">
      <c r="Q582" s="30"/>
    </row>
    <row r="583" customFormat="false" ht="15.75" hidden="false" customHeight="false" outlineLevel="0" collapsed="false">
      <c r="Q583" s="30"/>
    </row>
    <row r="584" customFormat="false" ht="15.75" hidden="false" customHeight="false" outlineLevel="0" collapsed="false">
      <c r="Q584" s="30"/>
    </row>
    <row r="585" customFormat="false" ht="15.75" hidden="false" customHeight="false" outlineLevel="0" collapsed="false">
      <c r="Q585" s="30"/>
    </row>
    <row r="586" customFormat="false" ht="15.75" hidden="false" customHeight="false" outlineLevel="0" collapsed="false">
      <c r="Q586" s="30"/>
    </row>
    <row r="587" customFormat="false" ht="15.75" hidden="false" customHeight="false" outlineLevel="0" collapsed="false">
      <c r="Q587" s="30"/>
    </row>
    <row r="588" customFormat="false" ht="15.75" hidden="false" customHeight="false" outlineLevel="0" collapsed="false">
      <c r="Q588" s="30"/>
    </row>
    <row r="589" customFormat="false" ht="15.75" hidden="false" customHeight="false" outlineLevel="0" collapsed="false">
      <c r="Q589" s="30"/>
    </row>
    <row r="590" customFormat="false" ht="15.75" hidden="false" customHeight="false" outlineLevel="0" collapsed="false">
      <c r="Q590" s="30"/>
    </row>
    <row r="591" customFormat="false" ht="15.75" hidden="false" customHeight="false" outlineLevel="0" collapsed="false">
      <c r="Q591" s="30"/>
    </row>
    <row r="592" customFormat="false" ht="15.75" hidden="false" customHeight="false" outlineLevel="0" collapsed="false">
      <c r="Q592" s="30"/>
    </row>
    <row r="593" customFormat="false" ht="15.75" hidden="false" customHeight="false" outlineLevel="0" collapsed="false">
      <c r="Q593" s="30"/>
    </row>
    <row r="594" customFormat="false" ht="15.75" hidden="false" customHeight="false" outlineLevel="0" collapsed="false">
      <c r="Q594" s="30"/>
    </row>
    <row r="595" customFormat="false" ht="15.75" hidden="false" customHeight="false" outlineLevel="0" collapsed="false">
      <c r="Q595" s="30"/>
    </row>
    <row r="596" customFormat="false" ht="15.75" hidden="false" customHeight="false" outlineLevel="0" collapsed="false">
      <c r="Q596" s="30"/>
    </row>
    <row r="597" customFormat="false" ht="15.75" hidden="false" customHeight="false" outlineLevel="0" collapsed="false">
      <c r="Q597" s="30"/>
    </row>
    <row r="598" customFormat="false" ht="15.75" hidden="false" customHeight="false" outlineLevel="0" collapsed="false">
      <c r="Q598" s="30"/>
    </row>
    <row r="599" customFormat="false" ht="15.75" hidden="false" customHeight="false" outlineLevel="0" collapsed="false">
      <c r="Q599" s="30"/>
    </row>
    <row r="600" customFormat="false" ht="15.75" hidden="false" customHeight="false" outlineLevel="0" collapsed="false">
      <c r="Q600" s="30"/>
    </row>
    <row r="601" customFormat="false" ht="15.75" hidden="false" customHeight="false" outlineLevel="0" collapsed="false">
      <c r="Q601" s="30"/>
    </row>
    <row r="602" customFormat="false" ht="15.75" hidden="false" customHeight="false" outlineLevel="0" collapsed="false">
      <c r="Q602" s="30"/>
    </row>
    <row r="603" customFormat="false" ht="15.75" hidden="false" customHeight="false" outlineLevel="0" collapsed="false">
      <c r="Q603" s="30"/>
    </row>
    <row r="604" customFormat="false" ht="15.75" hidden="false" customHeight="false" outlineLevel="0" collapsed="false">
      <c r="Q604" s="30"/>
    </row>
    <row r="605" customFormat="false" ht="15.75" hidden="false" customHeight="false" outlineLevel="0" collapsed="false">
      <c r="Q605" s="30"/>
    </row>
    <row r="606" customFormat="false" ht="15.75" hidden="false" customHeight="false" outlineLevel="0" collapsed="false">
      <c r="Q606" s="30"/>
    </row>
    <row r="607" customFormat="false" ht="15.75" hidden="false" customHeight="false" outlineLevel="0" collapsed="false">
      <c r="Q607" s="30"/>
    </row>
    <row r="608" customFormat="false" ht="15.75" hidden="false" customHeight="false" outlineLevel="0" collapsed="false">
      <c r="Q608" s="30"/>
    </row>
    <row r="609" customFormat="false" ht="15.75" hidden="false" customHeight="false" outlineLevel="0" collapsed="false">
      <c r="Q609" s="30"/>
    </row>
    <row r="610" customFormat="false" ht="15.75" hidden="false" customHeight="false" outlineLevel="0" collapsed="false">
      <c r="Q610" s="30"/>
    </row>
    <row r="611" customFormat="false" ht="15.75" hidden="false" customHeight="false" outlineLevel="0" collapsed="false">
      <c r="Q611" s="30"/>
    </row>
    <row r="612" customFormat="false" ht="15.75" hidden="false" customHeight="false" outlineLevel="0" collapsed="false">
      <c r="Q612" s="30"/>
    </row>
    <row r="613" customFormat="false" ht="15.75" hidden="false" customHeight="false" outlineLevel="0" collapsed="false">
      <c r="Q613" s="30"/>
    </row>
    <row r="614" customFormat="false" ht="15.75" hidden="false" customHeight="false" outlineLevel="0" collapsed="false">
      <c r="Q614" s="30"/>
    </row>
    <row r="615" customFormat="false" ht="15.75" hidden="false" customHeight="false" outlineLevel="0" collapsed="false">
      <c r="Q615" s="30"/>
    </row>
    <row r="616" customFormat="false" ht="15.75" hidden="false" customHeight="false" outlineLevel="0" collapsed="false">
      <c r="Q616" s="30"/>
    </row>
    <row r="617" customFormat="false" ht="15.75" hidden="false" customHeight="false" outlineLevel="0" collapsed="false">
      <c r="Q617" s="30"/>
    </row>
    <row r="618" customFormat="false" ht="15.75" hidden="false" customHeight="false" outlineLevel="0" collapsed="false">
      <c r="Q618" s="30"/>
    </row>
    <row r="619" customFormat="false" ht="15.75" hidden="false" customHeight="false" outlineLevel="0" collapsed="false">
      <c r="Q619" s="30"/>
    </row>
    <row r="620" customFormat="false" ht="15.75" hidden="false" customHeight="false" outlineLevel="0" collapsed="false">
      <c r="Q620" s="30"/>
    </row>
    <row r="621" customFormat="false" ht="15.75" hidden="false" customHeight="false" outlineLevel="0" collapsed="false">
      <c r="Q621" s="30"/>
    </row>
    <row r="622" customFormat="false" ht="15.75" hidden="false" customHeight="false" outlineLevel="0" collapsed="false">
      <c r="Q622" s="30"/>
    </row>
    <row r="623" customFormat="false" ht="15.75" hidden="false" customHeight="false" outlineLevel="0" collapsed="false">
      <c r="Q623" s="30"/>
    </row>
    <row r="624" customFormat="false" ht="15.75" hidden="false" customHeight="false" outlineLevel="0" collapsed="false">
      <c r="Q624" s="30"/>
    </row>
    <row r="625" customFormat="false" ht="15.75" hidden="false" customHeight="false" outlineLevel="0" collapsed="false">
      <c r="Q625" s="30"/>
    </row>
    <row r="626" customFormat="false" ht="15.75" hidden="false" customHeight="false" outlineLevel="0" collapsed="false">
      <c r="Q626" s="30"/>
    </row>
    <row r="627" customFormat="false" ht="15.75" hidden="false" customHeight="false" outlineLevel="0" collapsed="false">
      <c r="Q627" s="30"/>
    </row>
    <row r="628" customFormat="false" ht="15.75" hidden="false" customHeight="false" outlineLevel="0" collapsed="false">
      <c r="Q628" s="30"/>
    </row>
    <row r="629" customFormat="false" ht="15.75" hidden="false" customHeight="false" outlineLevel="0" collapsed="false">
      <c r="Q629" s="30"/>
    </row>
    <row r="630" customFormat="false" ht="15.75" hidden="false" customHeight="false" outlineLevel="0" collapsed="false">
      <c r="Q630" s="30"/>
    </row>
    <row r="631" customFormat="false" ht="15.75" hidden="false" customHeight="false" outlineLevel="0" collapsed="false">
      <c r="Q631" s="30"/>
    </row>
    <row r="632" customFormat="false" ht="15.75" hidden="false" customHeight="false" outlineLevel="0" collapsed="false">
      <c r="Q632" s="30"/>
    </row>
    <row r="633" customFormat="false" ht="15.75" hidden="false" customHeight="false" outlineLevel="0" collapsed="false">
      <c r="Q633" s="30"/>
    </row>
    <row r="634" customFormat="false" ht="15.75" hidden="false" customHeight="false" outlineLevel="0" collapsed="false">
      <c r="Q634" s="30"/>
    </row>
    <row r="635" customFormat="false" ht="15.75" hidden="false" customHeight="false" outlineLevel="0" collapsed="false">
      <c r="Q635" s="30"/>
    </row>
    <row r="636" customFormat="false" ht="15.75" hidden="false" customHeight="false" outlineLevel="0" collapsed="false">
      <c r="Q636" s="30"/>
    </row>
    <row r="637" customFormat="false" ht="15.75" hidden="false" customHeight="false" outlineLevel="0" collapsed="false">
      <c r="Q637" s="30"/>
    </row>
    <row r="638" customFormat="false" ht="15.75" hidden="false" customHeight="false" outlineLevel="0" collapsed="false">
      <c r="Q638" s="30"/>
    </row>
    <row r="639" customFormat="false" ht="15.75" hidden="false" customHeight="false" outlineLevel="0" collapsed="false">
      <c r="Q639" s="30"/>
    </row>
    <row r="640" customFormat="false" ht="15.75" hidden="false" customHeight="false" outlineLevel="0" collapsed="false">
      <c r="Q640" s="30"/>
    </row>
    <row r="641" customFormat="false" ht="15.75" hidden="false" customHeight="false" outlineLevel="0" collapsed="false">
      <c r="Q641" s="30"/>
    </row>
    <row r="642" customFormat="false" ht="15.75" hidden="false" customHeight="false" outlineLevel="0" collapsed="false">
      <c r="Q642" s="30"/>
    </row>
    <row r="643" customFormat="false" ht="15.75" hidden="false" customHeight="false" outlineLevel="0" collapsed="false">
      <c r="Q643" s="30"/>
    </row>
    <row r="644" customFormat="false" ht="15.75" hidden="false" customHeight="false" outlineLevel="0" collapsed="false">
      <c r="Q644" s="30"/>
    </row>
    <row r="645" customFormat="false" ht="15.75" hidden="false" customHeight="false" outlineLevel="0" collapsed="false">
      <c r="Q645" s="30"/>
    </row>
    <row r="646" customFormat="false" ht="15.75" hidden="false" customHeight="false" outlineLevel="0" collapsed="false">
      <c r="Q646" s="30"/>
    </row>
    <row r="647" customFormat="false" ht="15.75" hidden="false" customHeight="false" outlineLevel="0" collapsed="false">
      <c r="Q647" s="30"/>
    </row>
    <row r="648" customFormat="false" ht="15.75" hidden="false" customHeight="false" outlineLevel="0" collapsed="false">
      <c r="Q648" s="30"/>
    </row>
    <row r="649" customFormat="false" ht="15.75" hidden="false" customHeight="false" outlineLevel="0" collapsed="false">
      <c r="Q649" s="30"/>
    </row>
    <row r="650" customFormat="false" ht="15.75" hidden="false" customHeight="false" outlineLevel="0" collapsed="false">
      <c r="Q650" s="30"/>
    </row>
    <row r="651" customFormat="false" ht="15.75" hidden="false" customHeight="false" outlineLevel="0" collapsed="false">
      <c r="Q651" s="30"/>
    </row>
    <row r="652" customFormat="false" ht="15.75" hidden="false" customHeight="false" outlineLevel="0" collapsed="false">
      <c r="Q652" s="30"/>
    </row>
    <row r="653" customFormat="false" ht="15.75" hidden="false" customHeight="false" outlineLevel="0" collapsed="false">
      <c r="Q653" s="30"/>
    </row>
    <row r="654" customFormat="false" ht="15.75" hidden="false" customHeight="false" outlineLevel="0" collapsed="false">
      <c r="Q654" s="30"/>
    </row>
    <row r="655" customFormat="false" ht="15.75" hidden="false" customHeight="false" outlineLevel="0" collapsed="false">
      <c r="Q655" s="30"/>
    </row>
    <row r="656" customFormat="false" ht="15.75" hidden="false" customHeight="false" outlineLevel="0" collapsed="false">
      <c r="Q656" s="30"/>
    </row>
    <row r="657" customFormat="false" ht="15.75" hidden="false" customHeight="false" outlineLevel="0" collapsed="false">
      <c r="Q657" s="30"/>
    </row>
    <row r="658" customFormat="false" ht="15.75" hidden="false" customHeight="false" outlineLevel="0" collapsed="false">
      <c r="Q658" s="30"/>
    </row>
    <row r="659" customFormat="false" ht="15.75" hidden="false" customHeight="false" outlineLevel="0" collapsed="false">
      <c r="Q659" s="30"/>
    </row>
    <row r="660" customFormat="false" ht="15.75" hidden="false" customHeight="false" outlineLevel="0" collapsed="false">
      <c r="Q660" s="30"/>
    </row>
    <row r="661" customFormat="false" ht="15.75" hidden="false" customHeight="false" outlineLevel="0" collapsed="false">
      <c r="Q661" s="30"/>
    </row>
    <row r="662" customFormat="false" ht="15.75" hidden="false" customHeight="false" outlineLevel="0" collapsed="false">
      <c r="Q662" s="30"/>
    </row>
    <row r="663" customFormat="false" ht="15.75" hidden="false" customHeight="false" outlineLevel="0" collapsed="false">
      <c r="Q663" s="30"/>
    </row>
    <row r="664" customFormat="false" ht="15.75" hidden="false" customHeight="false" outlineLevel="0" collapsed="false">
      <c r="Q664" s="30"/>
    </row>
    <row r="665" customFormat="false" ht="15.75" hidden="false" customHeight="false" outlineLevel="0" collapsed="false">
      <c r="Q665" s="30"/>
    </row>
    <row r="666" customFormat="false" ht="15.75" hidden="false" customHeight="false" outlineLevel="0" collapsed="false">
      <c r="Q666" s="30"/>
    </row>
    <row r="667" customFormat="false" ht="15.75" hidden="false" customHeight="false" outlineLevel="0" collapsed="false">
      <c r="Q667" s="30"/>
    </row>
    <row r="668" customFormat="false" ht="15.75" hidden="false" customHeight="false" outlineLevel="0" collapsed="false">
      <c r="Q668" s="30"/>
    </row>
    <row r="669" customFormat="false" ht="15.75" hidden="false" customHeight="false" outlineLevel="0" collapsed="false">
      <c r="Q669" s="30"/>
    </row>
    <row r="670" customFormat="false" ht="15.75" hidden="false" customHeight="false" outlineLevel="0" collapsed="false">
      <c r="Q670" s="30"/>
    </row>
    <row r="671" customFormat="false" ht="15.75" hidden="false" customHeight="false" outlineLevel="0" collapsed="false">
      <c r="Q671" s="30"/>
    </row>
    <row r="672" customFormat="false" ht="15.75" hidden="false" customHeight="false" outlineLevel="0" collapsed="false">
      <c r="Q672" s="30"/>
    </row>
    <row r="673" customFormat="false" ht="15.75" hidden="false" customHeight="false" outlineLevel="0" collapsed="false">
      <c r="Q673" s="30"/>
    </row>
    <row r="674" customFormat="false" ht="15.75" hidden="false" customHeight="false" outlineLevel="0" collapsed="false">
      <c r="Q674" s="30"/>
    </row>
    <row r="675" customFormat="false" ht="15.75" hidden="false" customHeight="false" outlineLevel="0" collapsed="false">
      <c r="Q675" s="30"/>
    </row>
    <row r="676" customFormat="false" ht="15.75" hidden="false" customHeight="false" outlineLevel="0" collapsed="false">
      <c r="Q676" s="30"/>
    </row>
    <row r="677" customFormat="false" ht="15.75" hidden="false" customHeight="false" outlineLevel="0" collapsed="false">
      <c r="Q677" s="30"/>
    </row>
    <row r="678" customFormat="false" ht="15.75" hidden="false" customHeight="false" outlineLevel="0" collapsed="false">
      <c r="Q678" s="30"/>
    </row>
    <row r="679" customFormat="false" ht="15.75" hidden="false" customHeight="false" outlineLevel="0" collapsed="false">
      <c r="Q679" s="30"/>
    </row>
    <row r="680" customFormat="false" ht="15.75" hidden="false" customHeight="false" outlineLevel="0" collapsed="false">
      <c r="Q680" s="30"/>
    </row>
    <row r="681" customFormat="false" ht="15.75" hidden="false" customHeight="false" outlineLevel="0" collapsed="false">
      <c r="Q681" s="30"/>
    </row>
    <row r="682" customFormat="false" ht="15.75" hidden="false" customHeight="false" outlineLevel="0" collapsed="false">
      <c r="Q682" s="30"/>
    </row>
    <row r="683" customFormat="false" ht="15.75" hidden="false" customHeight="false" outlineLevel="0" collapsed="false">
      <c r="Q683" s="30"/>
    </row>
    <row r="684" customFormat="false" ht="15.75" hidden="false" customHeight="false" outlineLevel="0" collapsed="false">
      <c r="Q684" s="30"/>
    </row>
    <row r="685" customFormat="false" ht="15.75" hidden="false" customHeight="false" outlineLevel="0" collapsed="false">
      <c r="Q685" s="30"/>
    </row>
    <row r="686" customFormat="false" ht="15.75" hidden="false" customHeight="false" outlineLevel="0" collapsed="false">
      <c r="Q686" s="30"/>
    </row>
    <row r="687" customFormat="false" ht="15.75" hidden="false" customHeight="false" outlineLevel="0" collapsed="false">
      <c r="Q687" s="30"/>
    </row>
    <row r="688" customFormat="false" ht="15.75" hidden="false" customHeight="false" outlineLevel="0" collapsed="false">
      <c r="Q688" s="30"/>
    </row>
    <row r="689" customFormat="false" ht="15.75" hidden="false" customHeight="false" outlineLevel="0" collapsed="false">
      <c r="Q689" s="30"/>
    </row>
    <row r="690" customFormat="false" ht="15.75" hidden="false" customHeight="false" outlineLevel="0" collapsed="false">
      <c r="Q690" s="30"/>
    </row>
    <row r="691" customFormat="false" ht="15.75" hidden="false" customHeight="false" outlineLevel="0" collapsed="false">
      <c r="Q691" s="30"/>
    </row>
    <row r="692" customFormat="false" ht="15.75" hidden="false" customHeight="false" outlineLevel="0" collapsed="false">
      <c r="Q692" s="30"/>
    </row>
    <row r="693" customFormat="false" ht="15.75" hidden="false" customHeight="false" outlineLevel="0" collapsed="false">
      <c r="Q693" s="30"/>
    </row>
    <row r="694" customFormat="false" ht="15.75" hidden="false" customHeight="false" outlineLevel="0" collapsed="false">
      <c r="Q694" s="30"/>
    </row>
    <row r="695" customFormat="false" ht="15.75" hidden="false" customHeight="false" outlineLevel="0" collapsed="false">
      <c r="Q695" s="30"/>
    </row>
    <row r="696" customFormat="false" ht="15.75" hidden="false" customHeight="false" outlineLevel="0" collapsed="false">
      <c r="Q696" s="30"/>
    </row>
    <row r="697" customFormat="false" ht="15.75" hidden="false" customHeight="false" outlineLevel="0" collapsed="false">
      <c r="Q697" s="30"/>
    </row>
    <row r="698" customFormat="false" ht="15.75" hidden="false" customHeight="false" outlineLevel="0" collapsed="false">
      <c r="Q698" s="30"/>
    </row>
    <row r="699" customFormat="false" ht="15.75" hidden="false" customHeight="false" outlineLevel="0" collapsed="false">
      <c r="Q699" s="30"/>
    </row>
    <row r="700" customFormat="false" ht="15.75" hidden="false" customHeight="false" outlineLevel="0" collapsed="false">
      <c r="Q700" s="30"/>
    </row>
    <row r="701" customFormat="false" ht="15.75" hidden="false" customHeight="false" outlineLevel="0" collapsed="false">
      <c r="Q701" s="30"/>
    </row>
    <row r="702" customFormat="false" ht="15.75" hidden="false" customHeight="false" outlineLevel="0" collapsed="false">
      <c r="Q702" s="30"/>
    </row>
    <row r="703" customFormat="false" ht="15.75" hidden="false" customHeight="false" outlineLevel="0" collapsed="false">
      <c r="Q703" s="30"/>
    </row>
    <row r="704" customFormat="false" ht="15.75" hidden="false" customHeight="false" outlineLevel="0" collapsed="false">
      <c r="Q704" s="30"/>
    </row>
    <row r="705" customFormat="false" ht="15.75" hidden="false" customHeight="false" outlineLevel="0" collapsed="false">
      <c r="Q705" s="30"/>
    </row>
    <row r="706" customFormat="false" ht="15.75" hidden="false" customHeight="false" outlineLevel="0" collapsed="false">
      <c r="Q706" s="30"/>
    </row>
    <row r="707" customFormat="false" ht="15.75" hidden="false" customHeight="false" outlineLevel="0" collapsed="false">
      <c r="Q707" s="30"/>
    </row>
    <row r="708" customFormat="false" ht="15.75" hidden="false" customHeight="false" outlineLevel="0" collapsed="false">
      <c r="Q708" s="30"/>
    </row>
    <row r="709" customFormat="false" ht="15.75" hidden="false" customHeight="false" outlineLevel="0" collapsed="false">
      <c r="Q709" s="30"/>
    </row>
    <row r="710" customFormat="false" ht="15.75" hidden="false" customHeight="false" outlineLevel="0" collapsed="false">
      <c r="Q710" s="30"/>
    </row>
    <row r="711" customFormat="false" ht="15.75" hidden="false" customHeight="false" outlineLevel="0" collapsed="false">
      <c r="Q711" s="30"/>
    </row>
    <row r="712" customFormat="false" ht="15.75" hidden="false" customHeight="false" outlineLevel="0" collapsed="false">
      <c r="Q712" s="30"/>
    </row>
    <row r="713" customFormat="false" ht="15.75" hidden="false" customHeight="false" outlineLevel="0" collapsed="false">
      <c r="Q713" s="30"/>
    </row>
    <row r="714" customFormat="false" ht="15.75" hidden="false" customHeight="false" outlineLevel="0" collapsed="false">
      <c r="Q714" s="30"/>
    </row>
    <row r="715" customFormat="false" ht="15.75" hidden="false" customHeight="false" outlineLevel="0" collapsed="false">
      <c r="Q715" s="30"/>
    </row>
    <row r="716" customFormat="false" ht="15.75" hidden="false" customHeight="false" outlineLevel="0" collapsed="false">
      <c r="Q716" s="30"/>
    </row>
    <row r="717" customFormat="false" ht="15.75" hidden="false" customHeight="false" outlineLevel="0" collapsed="false">
      <c r="Q717" s="30"/>
    </row>
    <row r="718" customFormat="false" ht="15.75" hidden="false" customHeight="false" outlineLevel="0" collapsed="false">
      <c r="Q718" s="30"/>
    </row>
    <row r="719" customFormat="false" ht="15.75" hidden="false" customHeight="false" outlineLevel="0" collapsed="false">
      <c r="Q719" s="30"/>
    </row>
    <row r="720" customFormat="false" ht="15.75" hidden="false" customHeight="false" outlineLevel="0" collapsed="false">
      <c r="Q720" s="30"/>
    </row>
    <row r="721" customFormat="false" ht="15.75" hidden="false" customHeight="false" outlineLevel="0" collapsed="false">
      <c r="Q721" s="30"/>
    </row>
    <row r="722" customFormat="false" ht="15.75" hidden="false" customHeight="false" outlineLevel="0" collapsed="false">
      <c r="Q722" s="30"/>
    </row>
    <row r="723" customFormat="false" ht="15.75" hidden="false" customHeight="false" outlineLevel="0" collapsed="false">
      <c r="Q723" s="30"/>
    </row>
    <row r="724" customFormat="false" ht="15.75" hidden="false" customHeight="false" outlineLevel="0" collapsed="false">
      <c r="Q724" s="30"/>
    </row>
    <row r="725" customFormat="false" ht="15.75" hidden="false" customHeight="false" outlineLevel="0" collapsed="false">
      <c r="Q725" s="30"/>
    </row>
    <row r="726" customFormat="false" ht="15.75" hidden="false" customHeight="false" outlineLevel="0" collapsed="false">
      <c r="Q726" s="30"/>
    </row>
    <row r="727" customFormat="false" ht="15.75" hidden="false" customHeight="false" outlineLevel="0" collapsed="false">
      <c r="Q727" s="30"/>
    </row>
    <row r="728" customFormat="false" ht="15.75" hidden="false" customHeight="false" outlineLevel="0" collapsed="false">
      <c r="Q728" s="30"/>
    </row>
    <row r="729" customFormat="false" ht="15.75" hidden="false" customHeight="false" outlineLevel="0" collapsed="false">
      <c r="Q729" s="30"/>
    </row>
    <row r="730" customFormat="false" ht="15.75" hidden="false" customHeight="false" outlineLevel="0" collapsed="false">
      <c r="Q730" s="30"/>
    </row>
    <row r="731" customFormat="false" ht="15.75" hidden="false" customHeight="false" outlineLevel="0" collapsed="false">
      <c r="Q731" s="30"/>
    </row>
    <row r="732" customFormat="false" ht="15.75" hidden="false" customHeight="false" outlineLevel="0" collapsed="false">
      <c r="Q732" s="30"/>
    </row>
    <row r="733" customFormat="false" ht="15.75" hidden="false" customHeight="false" outlineLevel="0" collapsed="false">
      <c r="Q733" s="30"/>
    </row>
    <row r="734" customFormat="false" ht="15.75" hidden="false" customHeight="false" outlineLevel="0" collapsed="false">
      <c r="Q734" s="30"/>
    </row>
    <row r="735" customFormat="false" ht="15.75" hidden="false" customHeight="false" outlineLevel="0" collapsed="false">
      <c r="Q735" s="30"/>
    </row>
    <row r="736" customFormat="false" ht="15.75" hidden="false" customHeight="false" outlineLevel="0" collapsed="false">
      <c r="Q736" s="30"/>
    </row>
    <row r="737" customFormat="false" ht="15.75" hidden="false" customHeight="false" outlineLevel="0" collapsed="false">
      <c r="Q737" s="30"/>
    </row>
    <row r="738" customFormat="false" ht="15.75" hidden="false" customHeight="false" outlineLevel="0" collapsed="false">
      <c r="Q738" s="30"/>
    </row>
    <row r="739" customFormat="false" ht="15.75" hidden="false" customHeight="false" outlineLevel="0" collapsed="false">
      <c r="Q739" s="30"/>
    </row>
    <row r="740" customFormat="false" ht="15.75" hidden="false" customHeight="false" outlineLevel="0" collapsed="false">
      <c r="Q740" s="30"/>
    </row>
    <row r="741" customFormat="false" ht="15.75" hidden="false" customHeight="false" outlineLevel="0" collapsed="false">
      <c r="Q741" s="30"/>
    </row>
    <row r="742" customFormat="false" ht="15.75" hidden="false" customHeight="false" outlineLevel="0" collapsed="false">
      <c r="Q742" s="30"/>
    </row>
    <row r="743" customFormat="false" ht="15.75" hidden="false" customHeight="false" outlineLevel="0" collapsed="false">
      <c r="Q743" s="30"/>
    </row>
    <row r="744" customFormat="false" ht="15.75" hidden="false" customHeight="false" outlineLevel="0" collapsed="false">
      <c r="Q744" s="30"/>
    </row>
    <row r="745" customFormat="false" ht="15.75" hidden="false" customHeight="false" outlineLevel="0" collapsed="false">
      <c r="Q745" s="30"/>
    </row>
    <row r="746" customFormat="false" ht="15.75" hidden="false" customHeight="false" outlineLevel="0" collapsed="false">
      <c r="Q746" s="30"/>
    </row>
    <row r="747" customFormat="false" ht="15.75" hidden="false" customHeight="false" outlineLevel="0" collapsed="false">
      <c r="Q747" s="30"/>
    </row>
    <row r="748" customFormat="false" ht="15.75" hidden="false" customHeight="false" outlineLevel="0" collapsed="false">
      <c r="Q748" s="30"/>
    </row>
    <row r="749" customFormat="false" ht="15.75" hidden="false" customHeight="false" outlineLevel="0" collapsed="false">
      <c r="Q749" s="30"/>
    </row>
    <row r="750" customFormat="false" ht="15.75" hidden="false" customHeight="false" outlineLevel="0" collapsed="false">
      <c r="Q750" s="30"/>
    </row>
    <row r="751" customFormat="false" ht="15.75" hidden="false" customHeight="false" outlineLevel="0" collapsed="false">
      <c r="Q751" s="30"/>
    </row>
    <row r="752" customFormat="false" ht="15.75" hidden="false" customHeight="false" outlineLevel="0" collapsed="false">
      <c r="Q752" s="30"/>
    </row>
    <row r="753" customFormat="false" ht="15.75" hidden="false" customHeight="false" outlineLevel="0" collapsed="false">
      <c r="Q753" s="30"/>
    </row>
    <row r="754" customFormat="false" ht="15.75" hidden="false" customHeight="false" outlineLevel="0" collapsed="false">
      <c r="Q754" s="30"/>
    </row>
    <row r="755" customFormat="false" ht="15.75" hidden="false" customHeight="false" outlineLevel="0" collapsed="false">
      <c r="Q755" s="30"/>
    </row>
    <row r="756" customFormat="false" ht="15.75" hidden="false" customHeight="false" outlineLevel="0" collapsed="false">
      <c r="Q756" s="30"/>
    </row>
    <row r="757" customFormat="false" ht="15.75" hidden="false" customHeight="false" outlineLevel="0" collapsed="false">
      <c r="Q757" s="30"/>
    </row>
    <row r="758" customFormat="false" ht="15.75" hidden="false" customHeight="false" outlineLevel="0" collapsed="false">
      <c r="Q758" s="30"/>
    </row>
    <row r="759" customFormat="false" ht="15.75" hidden="false" customHeight="false" outlineLevel="0" collapsed="false">
      <c r="Q759" s="30"/>
    </row>
    <row r="760" customFormat="false" ht="15.75" hidden="false" customHeight="false" outlineLevel="0" collapsed="false">
      <c r="Q760" s="30"/>
    </row>
    <row r="761" customFormat="false" ht="15.75" hidden="false" customHeight="false" outlineLevel="0" collapsed="false">
      <c r="Q761" s="30"/>
    </row>
    <row r="762" customFormat="false" ht="15.75" hidden="false" customHeight="false" outlineLevel="0" collapsed="false">
      <c r="Q762" s="30"/>
    </row>
    <row r="763" customFormat="false" ht="15.75" hidden="false" customHeight="false" outlineLevel="0" collapsed="false">
      <c r="Q763" s="30"/>
    </row>
    <row r="764" customFormat="false" ht="15.75" hidden="false" customHeight="false" outlineLevel="0" collapsed="false">
      <c r="Q764" s="30"/>
    </row>
    <row r="765" customFormat="false" ht="15.75" hidden="false" customHeight="false" outlineLevel="0" collapsed="false">
      <c r="Q765" s="30"/>
    </row>
    <row r="766" customFormat="false" ht="15.75" hidden="false" customHeight="false" outlineLevel="0" collapsed="false">
      <c r="Q766" s="30"/>
    </row>
    <row r="767" customFormat="false" ht="15.75" hidden="false" customHeight="false" outlineLevel="0" collapsed="false">
      <c r="Q767" s="30"/>
    </row>
    <row r="768" customFormat="false" ht="15.75" hidden="false" customHeight="false" outlineLevel="0" collapsed="false">
      <c r="Q768" s="30"/>
    </row>
    <row r="769" customFormat="false" ht="15.75" hidden="false" customHeight="false" outlineLevel="0" collapsed="false">
      <c r="Q769" s="30"/>
    </row>
    <row r="770" customFormat="false" ht="15.75" hidden="false" customHeight="false" outlineLevel="0" collapsed="false">
      <c r="Q770" s="30"/>
    </row>
    <row r="771" customFormat="false" ht="15.75" hidden="false" customHeight="false" outlineLevel="0" collapsed="false">
      <c r="Q771" s="30"/>
    </row>
    <row r="772" customFormat="false" ht="15.75" hidden="false" customHeight="false" outlineLevel="0" collapsed="false">
      <c r="Q772" s="30"/>
    </row>
    <row r="773" customFormat="false" ht="15.75" hidden="false" customHeight="false" outlineLevel="0" collapsed="false">
      <c r="Q773" s="30"/>
    </row>
    <row r="774" customFormat="false" ht="15.75" hidden="false" customHeight="false" outlineLevel="0" collapsed="false">
      <c r="Q774" s="30"/>
    </row>
    <row r="775" customFormat="false" ht="15.75" hidden="false" customHeight="false" outlineLevel="0" collapsed="false">
      <c r="Q775" s="30"/>
    </row>
    <row r="776" customFormat="false" ht="15.75" hidden="false" customHeight="false" outlineLevel="0" collapsed="false">
      <c r="Q776" s="30"/>
    </row>
    <row r="777" customFormat="false" ht="15.75" hidden="false" customHeight="false" outlineLevel="0" collapsed="false">
      <c r="Q777" s="30"/>
    </row>
    <row r="778" customFormat="false" ht="15.75" hidden="false" customHeight="false" outlineLevel="0" collapsed="false">
      <c r="Q778" s="30"/>
    </row>
    <row r="779" customFormat="false" ht="15.75" hidden="false" customHeight="false" outlineLevel="0" collapsed="false">
      <c r="Q779" s="30"/>
    </row>
    <row r="780" customFormat="false" ht="15.75" hidden="false" customHeight="false" outlineLevel="0" collapsed="false">
      <c r="Q780" s="30"/>
    </row>
    <row r="781" customFormat="false" ht="15.75" hidden="false" customHeight="false" outlineLevel="0" collapsed="false">
      <c r="Q781" s="30"/>
    </row>
    <row r="782" customFormat="false" ht="15.75" hidden="false" customHeight="false" outlineLevel="0" collapsed="false">
      <c r="Q782" s="30"/>
    </row>
    <row r="783" customFormat="false" ht="15.75" hidden="false" customHeight="false" outlineLevel="0" collapsed="false">
      <c r="Q783" s="30"/>
    </row>
    <row r="784" customFormat="false" ht="15.75" hidden="false" customHeight="false" outlineLevel="0" collapsed="false">
      <c r="Q784" s="30"/>
    </row>
    <row r="785" customFormat="false" ht="15.75" hidden="false" customHeight="false" outlineLevel="0" collapsed="false">
      <c r="Q785" s="30"/>
    </row>
    <row r="786" customFormat="false" ht="15.75" hidden="false" customHeight="false" outlineLevel="0" collapsed="false">
      <c r="Q786" s="30"/>
    </row>
    <row r="787" customFormat="false" ht="15.75" hidden="false" customHeight="false" outlineLevel="0" collapsed="false">
      <c r="Q787" s="30"/>
    </row>
    <row r="788" customFormat="false" ht="15.75" hidden="false" customHeight="false" outlineLevel="0" collapsed="false">
      <c r="Q788" s="30"/>
    </row>
    <row r="789" customFormat="false" ht="15.75" hidden="false" customHeight="false" outlineLevel="0" collapsed="false">
      <c r="Q789" s="30"/>
    </row>
    <row r="790" customFormat="false" ht="15.75" hidden="false" customHeight="false" outlineLevel="0" collapsed="false">
      <c r="Q790" s="30"/>
    </row>
    <row r="791" customFormat="false" ht="15.75" hidden="false" customHeight="false" outlineLevel="0" collapsed="false">
      <c r="Q791" s="30"/>
    </row>
    <row r="792" customFormat="false" ht="15.75" hidden="false" customHeight="false" outlineLevel="0" collapsed="false">
      <c r="Q792" s="30"/>
    </row>
    <row r="793" customFormat="false" ht="15.75" hidden="false" customHeight="false" outlineLevel="0" collapsed="false">
      <c r="Q793" s="30"/>
    </row>
    <row r="794" customFormat="false" ht="15.75" hidden="false" customHeight="false" outlineLevel="0" collapsed="false">
      <c r="Q794" s="30"/>
    </row>
    <row r="795" customFormat="false" ht="15.75" hidden="false" customHeight="false" outlineLevel="0" collapsed="false">
      <c r="Q795" s="30"/>
    </row>
    <row r="796" customFormat="false" ht="15.75" hidden="false" customHeight="false" outlineLevel="0" collapsed="false">
      <c r="Q796" s="30"/>
    </row>
    <row r="797" customFormat="false" ht="15.75" hidden="false" customHeight="false" outlineLevel="0" collapsed="false">
      <c r="Q797" s="30"/>
    </row>
    <row r="798" customFormat="false" ht="15.75" hidden="false" customHeight="false" outlineLevel="0" collapsed="false">
      <c r="Q798" s="30"/>
    </row>
    <row r="799" customFormat="false" ht="15.75" hidden="false" customHeight="false" outlineLevel="0" collapsed="false">
      <c r="Q799" s="30"/>
    </row>
    <row r="800" customFormat="false" ht="15.75" hidden="false" customHeight="false" outlineLevel="0" collapsed="false">
      <c r="Q800" s="30"/>
    </row>
    <row r="801" customFormat="false" ht="15.75" hidden="false" customHeight="false" outlineLevel="0" collapsed="false">
      <c r="Q801" s="30"/>
    </row>
    <row r="802" customFormat="false" ht="15.75" hidden="false" customHeight="false" outlineLevel="0" collapsed="false">
      <c r="Q802" s="30"/>
    </row>
    <row r="803" customFormat="false" ht="15.75" hidden="false" customHeight="false" outlineLevel="0" collapsed="false">
      <c r="Q803" s="30"/>
    </row>
    <row r="804" customFormat="false" ht="15.75" hidden="false" customHeight="false" outlineLevel="0" collapsed="false">
      <c r="Q804" s="30"/>
    </row>
    <row r="805" customFormat="false" ht="15.75" hidden="false" customHeight="false" outlineLevel="0" collapsed="false">
      <c r="Q805" s="30"/>
    </row>
    <row r="806" customFormat="false" ht="15.75" hidden="false" customHeight="false" outlineLevel="0" collapsed="false">
      <c r="Q806" s="30"/>
    </row>
    <row r="807" customFormat="false" ht="15.75" hidden="false" customHeight="false" outlineLevel="0" collapsed="false">
      <c r="Q807" s="30"/>
    </row>
    <row r="808" customFormat="false" ht="15.75" hidden="false" customHeight="false" outlineLevel="0" collapsed="false">
      <c r="Q808" s="30"/>
    </row>
    <row r="809" customFormat="false" ht="15.75" hidden="false" customHeight="false" outlineLevel="0" collapsed="false">
      <c r="Q809" s="30"/>
    </row>
    <row r="810" customFormat="false" ht="15.75" hidden="false" customHeight="false" outlineLevel="0" collapsed="false">
      <c r="Q810" s="30"/>
    </row>
    <row r="811" customFormat="false" ht="15.75" hidden="false" customHeight="false" outlineLevel="0" collapsed="false">
      <c r="Q811" s="30"/>
    </row>
    <row r="812" customFormat="false" ht="15.75" hidden="false" customHeight="false" outlineLevel="0" collapsed="false">
      <c r="Q812" s="30"/>
    </row>
    <row r="813" customFormat="false" ht="15.75" hidden="false" customHeight="false" outlineLevel="0" collapsed="false">
      <c r="Q813" s="30"/>
    </row>
    <row r="814" customFormat="false" ht="15.75" hidden="false" customHeight="false" outlineLevel="0" collapsed="false">
      <c r="Q814" s="30"/>
    </row>
    <row r="815" customFormat="false" ht="15.75" hidden="false" customHeight="false" outlineLevel="0" collapsed="false">
      <c r="Q815" s="30"/>
    </row>
    <row r="816" customFormat="false" ht="15.75" hidden="false" customHeight="false" outlineLevel="0" collapsed="false">
      <c r="Q816" s="30"/>
    </row>
    <row r="817" customFormat="false" ht="15.75" hidden="false" customHeight="false" outlineLevel="0" collapsed="false">
      <c r="Q817" s="30"/>
    </row>
    <row r="818" customFormat="false" ht="15.75" hidden="false" customHeight="false" outlineLevel="0" collapsed="false">
      <c r="Q818" s="30"/>
    </row>
    <row r="819" customFormat="false" ht="15.75" hidden="false" customHeight="false" outlineLevel="0" collapsed="false">
      <c r="Q819" s="30"/>
    </row>
    <row r="820" customFormat="false" ht="15.75" hidden="false" customHeight="false" outlineLevel="0" collapsed="false">
      <c r="Q820" s="30"/>
    </row>
    <row r="821" customFormat="false" ht="15.75" hidden="false" customHeight="false" outlineLevel="0" collapsed="false">
      <c r="Q821" s="30"/>
    </row>
    <row r="822" customFormat="false" ht="15.75" hidden="false" customHeight="false" outlineLevel="0" collapsed="false">
      <c r="Q822" s="30"/>
    </row>
    <row r="823" customFormat="false" ht="15.75" hidden="false" customHeight="false" outlineLevel="0" collapsed="false">
      <c r="Q823" s="30"/>
    </row>
    <row r="824" customFormat="false" ht="15.75" hidden="false" customHeight="false" outlineLevel="0" collapsed="false">
      <c r="Q824" s="30"/>
    </row>
    <row r="825" customFormat="false" ht="15.75" hidden="false" customHeight="false" outlineLevel="0" collapsed="false">
      <c r="Q825" s="30"/>
    </row>
    <row r="826" customFormat="false" ht="15.75" hidden="false" customHeight="false" outlineLevel="0" collapsed="false">
      <c r="Q826" s="30"/>
    </row>
    <row r="827" customFormat="false" ht="15.75" hidden="false" customHeight="false" outlineLevel="0" collapsed="false">
      <c r="Q827" s="30"/>
    </row>
    <row r="828" customFormat="false" ht="15.75" hidden="false" customHeight="false" outlineLevel="0" collapsed="false">
      <c r="Q828" s="30"/>
    </row>
    <row r="829" customFormat="false" ht="15.75" hidden="false" customHeight="false" outlineLevel="0" collapsed="false">
      <c r="Q829" s="30"/>
    </row>
    <row r="830" customFormat="false" ht="15.75" hidden="false" customHeight="false" outlineLevel="0" collapsed="false">
      <c r="Q830" s="30"/>
    </row>
    <row r="831" customFormat="false" ht="15.75" hidden="false" customHeight="false" outlineLevel="0" collapsed="false">
      <c r="Q831" s="30"/>
    </row>
    <row r="832" customFormat="false" ht="15.75" hidden="false" customHeight="false" outlineLevel="0" collapsed="false">
      <c r="Q832" s="30"/>
    </row>
    <row r="833" customFormat="false" ht="15.75" hidden="false" customHeight="false" outlineLevel="0" collapsed="false">
      <c r="Q833" s="30"/>
    </row>
    <row r="834" customFormat="false" ht="15.75" hidden="false" customHeight="false" outlineLevel="0" collapsed="false">
      <c r="Q834" s="30"/>
    </row>
    <row r="835" customFormat="false" ht="15.75" hidden="false" customHeight="false" outlineLevel="0" collapsed="false">
      <c r="Q835" s="30"/>
    </row>
    <row r="836" customFormat="false" ht="15.75" hidden="false" customHeight="false" outlineLevel="0" collapsed="false">
      <c r="Q836" s="30"/>
    </row>
    <row r="837" customFormat="false" ht="15.75" hidden="false" customHeight="false" outlineLevel="0" collapsed="false">
      <c r="Q837" s="30"/>
    </row>
    <row r="838" customFormat="false" ht="15.75" hidden="false" customHeight="false" outlineLevel="0" collapsed="false">
      <c r="Q838" s="30"/>
    </row>
    <row r="839" customFormat="false" ht="15.75" hidden="false" customHeight="false" outlineLevel="0" collapsed="false">
      <c r="Q839" s="30"/>
    </row>
    <row r="840" customFormat="false" ht="15.75" hidden="false" customHeight="false" outlineLevel="0" collapsed="false">
      <c r="Q840" s="30"/>
    </row>
    <row r="841" customFormat="false" ht="15.75" hidden="false" customHeight="false" outlineLevel="0" collapsed="false">
      <c r="Q841" s="30"/>
    </row>
    <row r="842" customFormat="false" ht="15.75" hidden="false" customHeight="false" outlineLevel="0" collapsed="false">
      <c r="Q842" s="30"/>
    </row>
    <row r="843" customFormat="false" ht="15.75" hidden="false" customHeight="false" outlineLevel="0" collapsed="false">
      <c r="Q843" s="30"/>
    </row>
    <row r="844" customFormat="false" ht="15.75" hidden="false" customHeight="false" outlineLevel="0" collapsed="false">
      <c r="Q844" s="30"/>
    </row>
    <row r="845" customFormat="false" ht="15.75" hidden="false" customHeight="false" outlineLevel="0" collapsed="false">
      <c r="Q845" s="30"/>
    </row>
    <row r="846" customFormat="false" ht="15.75" hidden="false" customHeight="false" outlineLevel="0" collapsed="false">
      <c r="Q846" s="30"/>
    </row>
    <row r="847" customFormat="false" ht="15.75" hidden="false" customHeight="false" outlineLevel="0" collapsed="false">
      <c r="Q847" s="30"/>
    </row>
    <row r="848" customFormat="false" ht="15.75" hidden="false" customHeight="false" outlineLevel="0" collapsed="false">
      <c r="Q848" s="30"/>
    </row>
    <row r="849" customFormat="false" ht="15.75" hidden="false" customHeight="false" outlineLevel="0" collapsed="false">
      <c r="Q849" s="30"/>
    </row>
    <row r="850" customFormat="false" ht="15.75" hidden="false" customHeight="false" outlineLevel="0" collapsed="false">
      <c r="Q850" s="30"/>
    </row>
    <row r="851" customFormat="false" ht="15.75" hidden="false" customHeight="false" outlineLevel="0" collapsed="false">
      <c r="Q851" s="30"/>
    </row>
    <row r="852" customFormat="false" ht="15.75" hidden="false" customHeight="false" outlineLevel="0" collapsed="false">
      <c r="Q852" s="30"/>
    </row>
    <row r="853" customFormat="false" ht="15.75" hidden="false" customHeight="false" outlineLevel="0" collapsed="false">
      <c r="Q853" s="30"/>
    </row>
    <row r="854" customFormat="false" ht="15.75" hidden="false" customHeight="false" outlineLevel="0" collapsed="false">
      <c r="Q854" s="30"/>
    </row>
    <row r="855" customFormat="false" ht="15.75" hidden="false" customHeight="false" outlineLevel="0" collapsed="false">
      <c r="Q855" s="30"/>
    </row>
    <row r="856" customFormat="false" ht="15.75" hidden="false" customHeight="false" outlineLevel="0" collapsed="false">
      <c r="Q856" s="30"/>
    </row>
    <row r="857" customFormat="false" ht="15.75" hidden="false" customHeight="false" outlineLevel="0" collapsed="false">
      <c r="Q857" s="30"/>
    </row>
    <row r="858" customFormat="false" ht="15.75" hidden="false" customHeight="false" outlineLevel="0" collapsed="false">
      <c r="Q858" s="30"/>
    </row>
    <row r="859" customFormat="false" ht="15.75" hidden="false" customHeight="false" outlineLevel="0" collapsed="false">
      <c r="Q859" s="30"/>
    </row>
    <row r="860" customFormat="false" ht="15.75" hidden="false" customHeight="false" outlineLevel="0" collapsed="false">
      <c r="Q860" s="30"/>
    </row>
    <row r="861" customFormat="false" ht="15.75" hidden="false" customHeight="false" outlineLevel="0" collapsed="false">
      <c r="Q861" s="30"/>
    </row>
    <row r="862" customFormat="false" ht="15.75" hidden="false" customHeight="false" outlineLevel="0" collapsed="false">
      <c r="Q862" s="30"/>
    </row>
    <row r="863" customFormat="false" ht="15.75" hidden="false" customHeight="false" outlineLevel="0" collapsed="false">
      <c r="Q863" s="30"/>
    </row>
    <row r="864" customFormat="false" ht="15.75" hidden="false" customHeight="false" outlineLevel="0" collapsed="false">
      <c r="Q864" s="30"/>
    </row>
    <row r="865" customFormat="false" ht="15.75" hidden="false" customHeight="false" outlineLevel="0" collapsed="false">
      <c r="Q865" s="30"/>
    </row>
    <row r="866" customFormat="false" ht="15.75" hidden="false" customHeight="false" outlineLevel="0" collapsed="false">
      <c r="Q866" s="30"/>
    </row>
    <row r="867" customFormat="false" ht="15.75" hidden="false" customHeight="false" outlineLevel="0" collapsed="false">
      <c r="Q867" s="30"/>
    </row>
    <row r="868" customFormat="false" ht="15.75" hidden="false" customHeight="false" outlineLevel="0" collapsed="false">
      <c r="Q868" s="30"/>
    </row>
    <row r="869" customFormat="false" ht="15.75" hidden="false" customHeight="false" outlineLevel="0" collapsed="false">
      <c r="Q869" s="30"/>
    </row>
    <row r="870" customFormat="false" ht="15.75" hidden="false" customHeight="false" outlineLevel="0" collapsed="false">
      <c r="Q870" s="30"/>
    </row>
    <row r="871" customFormat="false" ht="15.75" hidden="false" customHeight="false" outlineLevel="0" collapsed="false">
      <c r="Q871" s="30"/>
    </row>
    <row r="872" customFormat="false" ht="15.75" hidden="false" customHeight="false" outlineLevel="0" collapsed="false">
      <c r="Q872" s="30"/>
    </row>
    <row r="873" customFormat="false" ht="15.75" hidden="false" customHeight="false" outlineLevel="0" collapsed="false">
      <c r="Q873" s="30"/>
    </row>
    <row r="874" customFormat="false" ht="15.75" hidden="false" customHeight="false" outlineLevel="0" collapsed="false">
      <c r="Q874" s="30"/>
    </row>
    <row r="875" customFormat="false" ht="15.75" hidden="false" customHeight="false" outlineLevel="0" collapsed="false">
      <c r="Q875" s="30"/>
    </row>
    <row r="876" customFormat="false" ht="15.75" hidden="false" customHeight="false" outlineLevel="0" collapsed="false">
      <c r="Q876" s="30"/>
    </row>
    <row r="877" customFormat="false" ht="15.75" hidden="false" customHeight="false" outlineLevel="0" collapsed="false">
      <c r="Q877" s="30"/>
    </row>
    <row r="878" customFormat="false" ht="15.75" hidden="false" customHeight="false" outlineLevel="0" collapsed="false">
      <c r="Q878" s="30"/>
    </row>
    <row r="879" customFormat="false" ht="15.75" hidden="false" customHeight="false" outlineLevel="0" collapsed="false">
      <c r="Q879" s="30"/>
    </row>
    <row r="880" customFormat="false" ht="15.75" hidden="false" customHeight="false" outlineLevel="0" collapsed="false">
      <c r="Q880" s="30"/>
    </row>
    <row r="881" customFormat="false" ht="15.75" hidden="false" customHeight="false" outlineLevel="0" collapsed="false">
      <c r="Q881" s="30"/>
    </row>
    <row r="882" customFormat="false" ht="15.75" hidden="false" customHeight="false" outlineLevel="0" collapsed="false">
      <c r="Q882" s="30"/>
    </row>
    <row r="883" customFormat="false" ht="15.75" hidden="false" customHeight="false" outlineLevel="0" collapsed="false">
      <c r="Q883" s="30"/>
    </row>
    <row r="884" customFormat="false" ht="15.75" hidden="false" customHeight="false" outlineLevel="0" collapsed="false">
      <c r="Q884" s="30"/>
    </row>
    <row r="885" customFormat="false" ht="15.75" hidden="false" customHeight="false" outlineLevel="0" collapsed="false">
      <c r="Q885" s="30"/>
    </row>
    <row r="886" customFormat="false" ht="15.75" hidden="false" customHeight="false" outlineLevel="0" collapsed="false">
      <c r="Q886" s="30"/>
    </row>
    <row r="887" customFormat="false" ht="15.75" hidden="false" customHeight="false" outlineLevel="0" collapsed="false">
      <c r="Q887" s="30"/>
    </row>
    <row r="888" customFormat="false" ht="15.75" hidden="false" customHeight="false" outlineLevel="0" collapsed="false">
      <c r="Q888" s="30"/>
    </row>
    <row r="889" customFormat="false" ht="15.75" hidden="false" customHeight="false" outlineLevel="0" collapsed="false">
      <c r="Q889" s="30"/>
    </row>
    <row r="890" customFormat="false" ht="15.75" hidden="false" customHeight="false" outlineLevel="0" collapsed="false">
      <c r="Q890" s="30"/>
    </row>
    <row r="891" customFormat="false" ht="15.75" hidden="false" customHeight="false" outlineLevel="0" collapsed="false">
      <c r="Q891" s="30"/>
    </row>
    <row r="892" customFormat="false" ht="15.75" hidden="false" customHeight="false" outlineLevel="0" collapsed="false">
      <c r="Q892" s="30"/>
    </row>
    <row r="893" customFormat="false" ht="15.75" hidden="false" customHeight="false" outlineLevel="0" collapsed="false">
      <c r="Q893" s="30"/>
    </row>
    <row r="894" customFormat="false" ht="15.75" hidden="false" customHeight="false" outlineLevel="0" collapsed="false">
      <c r="Q894" s="30"/>
    </row>
    <row r="895" customFormat="false" ht="15.75" hidden="false" customHeight="false" outlineLevel="0" collapsed="false">
      <c r="Q895" s="30"/>
    </row>
    <row r="896" customFormat="false" ht="15.75" hidden="false" customHeight="false" outlineLevel="0" collapsed="false">
      <c r="Q896" s="30"/>
    </row>
    <row r="897" customFormat="false" ht="15.75" hidden="false" customHeight="false" outlineLevel="0" collapsed="false">
      <c r="Q897" s="30"/>
    </row>
    <row r="898" customFormat="false" ht="15.75" hidden="false" customHeight="false" outlineLevel="0" collapsed="false">
      <c r="Q898" s="30"/>
    </row>
    <row r="899" customFormat="false" ht="15.75" hidden="false" customHeight="false" outlineLevel="0" collapsed="false">
      <c r="Q899" s="30"/>
    </row>
    <row r="900" customFormat="false" ht="15.75" hidden="false" customHeight="false" outlineLevel="0" collapsed="false">
      <c r="Q900" s="30"/>
    </row>
    <row r="901" customFormat="false" ht="15.75" hidden="false" customHeight="false" outlineLevel="0" collapsed="false">
      <c r="Q901" s="30"/>
    </row>
    <row r="902" customFormat="false" ht="15.75" hidden="false" customHeight="false" outlineLevel="0" collapsed="false">
      <c r="Q902" s="30"/>
    </row>
    <row r="903" customFormat="false" ht="15.75" hidden="false" customHeight="false" outlineLevel="0" collapsed="false">
      <c r="Q903" s="30"/>
    </row>
    <row r="904" customFormat="false" ht="15.75" hidden="false" customHeight="false" outlineLevel="0" collapsed="false">
      <c r="Q904" s="30"/>
    </row>
    <row r="905" customFormat="false" ht="15.75" hidden="false" customHeight="false" outlineLevel="0" collapsed="false">
      <c r="Q905" s="30"/>
    </row>
    <row r="906" customFormat="false" ht="15.75" hidden="false" customHeight="false" outlineLevel="0" collapsed="false">
      <c r="Q906" s="30"/>
    </row>
    <row r="907" customFormat="false" ht="15.75" hidden="false" customHeight="false" outlineLevel="0" collapsed="false">
      <c r="Q907" s="30"/>
    </row>
    <row r="908" customFormat="false" ht="15.75" hidden="false" customHeight="false" outlineLevel="0" collapsed="false">
      <c r="Q908" s="30"/>
    </row>
    <row r="909" customFormat="false" ht="15.75" hidden="false" customHeight="false" outlineLevel="0" collapsed="false">
      <c r="Q909" s="30"/>
    </row>
    <row r="910" customFormat="false" ht="15.75" hidden="false" customHeight="false" outlineLevel="0" collapsed="false">
      <c r="Q910" s="30"/>
    </row>
    <row r="911" customFormat="false" ht="15.75" hidden="false" customHeight="false" outlineLevel="0" collapsed="false">
      <c r="Q911" s="30"/>
    </row>
    <row r="912" customFormat="false" ht="15.75" hidden="false" customHeight="false" outlineLevel="0" collapsed="false">
      <c r="Q912" s="30"/>
    </row>
    <row r="913" customFormat="false" ht="15.75" hidden="false" customHeight="false" outlineLevel="0" collapsed="false">
      <c r="Q913" s="30"/>
    </row>
    <row r="914" customFormat="false" ht="15.75" hidden="false" customHeight="false" outlineLevel="0" collapsed="false">
      <c r="Q914" s="30"/>
    </row>
    <row r="915" customFormat="false" ht="15.75" hidden="false" customHeight="false" outlineLevel="0" collapsed="false">
      <c r="Q915" s="30"/>
    </row>
    <row r="916" customFormat="false" ht="15.75" hidden="false" customHeight="false" outlineLevel="0" collapsed="false">
      <c r="Q916" s="30"/>
    </row>
    <row r="917" customFormat="false" ht="15.75" hidden="false" customHeight="false" outlineLevel="0" collapsed="false">
      <c r="Q917" s="30"/>
    </row>
    <row r="918" customFormat="false" ht="15.75" hidden="false" customHeight="false" outlineLevel="0" collapsed="false">
      <c r="Q918" s="30"/>
    </row>
    <row r="919" customFormat="false" ht="15.75" hidden="false" customHeight="false" outlineLevel="0" collapsed="false">
      <c r="Q919" s="30"/>
    </row>
    <row r="920" customFormat="false" ht="15.75" hidden="false" customHeight="false" outlineLevel="0" collapsed="false">
      <c r="Q920" s="30"/>
    </row>
    <row r="921" customFormat="false" ht="15.75" hidden="false" customHeight="false" outlineLevel="0" collapsed="false">
      <c r="Q921" s="30"/>
    </row>
    <row r="922" customFormat="false" ht="15.75" hidden="false" customHeight="false" outlineLevel="0" collapsed="false">
      <c r="Q922" s="30"/>
    </row>
    <row r="923" customFormat="false" ht="15.75" hidden="false" customHeight="false" outlineLevel="0" collapsed="false">
      <c r="Q923" s="30"/>
    </row>
    <row r="924" customFormat="false" ht="15.75" hidden="false" customHeight="false" outlineLevel="0" collapsed="false">
      <c r="Q924" s="30"/>
    </row>
    <row r="925" customFormat="false" ht="15.75" hidden="false" customHeight="false" outlineLevel="0" collapsed="false">
      <c r="Q925" s="30"/>
    </row>
    <row r="926" customFormat="false" ht="15.75" hidden="false" customHeight="false" outlineLevel="0" collapsed="false">
      <c r="Q926" s="30"/>
    </row>
    <row r="927" customFormat="false" ht="15.75" hidden="false" customHeight="false" outlineLevel="0" collapsed="false">
      <c r="Q927" s="30"/>
    </row>
    <row r="928" customFormat="false" ht="15.75" hidden="false" customHeight="false" outlineLevel="0" collapsed="false">
      <c r="Q928" s="30"/>
    </row>
    <row r="929" customFormat="false" ht="15.75" hidden="false" customHeight="false" outlineLevel="0" collapsed="false">
      <c r="Q929" s="30"/>
    </row>
    <row r="930" customFormat="false" ht="15.75" hidden="false" customHeight="false" outlineLevel="0" collapsed="false">
      <c r="Q930" s="30"/>
    </row>
    <row r="931" customFormat="false" ht="15.75" hidden="false" customHeight="false" outlineLevel="0" collapsed="false">
      <c r="Q931" s="30"/>
    </row>
    <row r="932" customFormat="false" ht="15.75" hidden="false" customHeight="false" outlineLevel="0" collapsed="false">
      <c r="Q932" s="30"/>
    </row>
    <row r="933" customFormat="false" ht="15.75" hidden="false" customHeight="false" outlineLevel="0" collapsed="false">
      <c r="Q933" s="30"/>
    </row>
    <row r="934" customFormat="false" ht="15.75" hidden="false" customHeight="false" outlineLevel="0" collapsed="false">
      <c r="Q934" s="30"/>
    </row>
    <row r="935" customFormat="false" ht="15.75" hidden="false" customHeight="false" outlineLevel="0" collapsed="false">
      <c r="Q935" s="30"/>
    </row>
    <row r="936" customFormat="false" ht="15.75" hidden="false" customHeight="false" outlineLevel="0" collapsed="false">
      <c r="Q936" s="30"/>
    </row>
    <row r="937" customFormat="false" ht="15.75" hidden="false" customHeight="false" outlineLevel="0" collapsed="false">
      <c r="Q937" s="30"/>
    </row>
    <row r="938" customFormat="false" ht="15.75" hidden="false" customHeight="false" outlineLevel="0" collapsed="false">
      <c r="Q938" s="30"/>
    </row>
    <row r="939" customFormat="false" ht="15.75" hidden="false" customHeight="false" outlineLevel="0" collapsed="false">
      <c r="Q939" s="30"/>
    </row>
    <row r="940" customFormat="false" ht="15.75" hidden="false" customHeight="false" outlineLevel="0" collapsed="false">
      <c r="Q940" s="30"/>
    </row>
    <row r="941" customFormat="false" ht="15.75" hidden="false" customHeight="false" outlineLevel="0" collapsed="false">
      <c r="Q941" s="30"/>
    </row>
    <row r="942" customFormat="false" ht="15.75" hidden="false" customHeight="false" outlineLevel="0" collapsed="false">
      <c r="Q942" s="30"/>
    </row>
    <row r="943" customFormat="false" ht="15.75" hidden="false" customHeight="false" outlineLevel="0" collapsed="false">
      <c r="Q943" s="30"/>
    </row>
    <row r="944" customFormat="false" ht="15.75" hidden="false" customHeight="false" outlineLevel="0" collapsed="false">
      <c r="Q944" s="30"/>
    </row>
    <row r="945" customFormat="false" ht="15.75" hidden="false" customHeight="false" outlineLevel="0" collapsed="false">
      <c r="Q945" s="30"/>
    </row>
    <row r="946" customFormat="false" ht="15.75" hidden="false" customHeight="false" outlineLevel="0" collapsed="false">
      <c r="Q946" s="30"/>
    </row>
    <row r="947" customFormat="false" ht="15.75" hidden="false" customHeight="false" outlineLevel="0" collapsed="false">
      <c r="Q947" s="30"/>
    </row>
    <row r="948" customFormat="false" ht="15.75" hidden="false" customHeight="false" outlineLevel="0" collapsed="false">
      <c r="Q948" s="30"/>
    </row>
    <row r="949" customFormat="false" ht="15.75" hidden="false" customHeight="false" outlineLevel="0" collapsed="false">
      <c r="Q949" s="30"/>
    </row>
    <row r="950" customFormat="false" ht="15.75" hidden="false" customHeight="false" outlineLevel="0" collapsed="false">
      <c r="Q950" s="30"/>
    </row>
    <row r="951" customFormat="false" ht="15.75" hidden="false" customHeight="false" outlineLevel="0" collapsed="false">
      <c r="Q951" s="30"/>
    </row>
    <row r="952" customFormat="false" ht="15.75" hidden="false" customHeight="false" outlineLevel="0" collapsed="false">
      <c r="Q952" s="30"/>
    </row>
    <row r="953" customFormat="false" ht="15.75" hidden="false" customHeight="false" outlineLevel="0" collapsed="false">
      <c r="Q953" s="30"/>
    </row>
    <row r="954" customFormat="false" ht="15.75" hidden="false" customHeight="false" outlineLevel="0" collapsed="false">
      <c r="Q954" s="30"/>
    </row>
    <row r="955" customFormat="false" ht="15.75" hidden="false" customHeight="false" outlineLevel="0" collapsed="false">
      <c r="Q955" s="30"/>
    </row>
    <row r="956" customFormat="false" ht="15.75" hidden="false" customHeight="false" outlineLevel="0" collapsed="false">
      <c r="Q956" s="30"/>
    </row>
    <row r="957" customFormat="false" ht="15.75" hidden="false" customHeight="false" outlineLevel="0" collapsed="false">
      <c r="Q957" s="30"/>
    </row>
    <row r="958" customFormat="false" ht="15.75" hidden="false" customHeight="false" outlineLevel="0" collapsed="false">
      <c r="Q958" s="30"/>
    </row>
    <row r="959" customFormat="false" ht="15.75" hidden="false" customHeight="false" outlineLevel="0" collapsed="false">
      <c r="Q959" s="30"/>
    </row>
    <row r="960" customFormat="false" ht="15.75" hidden="false" customHeight="false" outlineLevel="0" collapsed="false">
      <c r="Q960" s="30"/>
    </row>
    <row r="961" customFormat="false" ht="15.75" hidden="false" customHeight="false" outlineLevel="0" collapsed="false">
      <c r="Q961" s="30"/>
    </row>
    <row r="962" customFormat="false" ht="15.75" hidden="false" customHeight="false" outlineLevel="0" collapsed="false">
      <c r="Q962" s="30"/>
    </row>
    <row r="963" customFormat="false" ht="15.75" hidden="false" customHeight="false" outlineLevel="0" collapsed="false">
      <c r="Q963" s="30"/>
    </row>
    <row r="964" customFormat="false" ht="15.75" hidden="false" customHeight="false" outlineLevel="0" collapsed="false">
      <c r="Q964" s="30"/>
    </row>
    <row r="965" customFormat="false" ht="15.75" hidden="false" customHeight="false" outlineLevel="0" collapsed="false">
      <c r="Q965" s="30"/>
    </row>
    <row r="966" customFormat="false" ht="15.75" hidden="false" customHeight="false" outlineLevel="0" collapsed="false">
      <c r="Q966" s="30"/>
    </row>
    <row r="967" customFormat="false" ht="15.75" hidden="false" customHeight="false" outlineLevel="0" collapsed="false">
      <c r="Q967" s="30"/>
    </row>
    <row r="968" customFormat="false" ht="15.75" hidden="false" customHeight="false" outlineLevel="0" collapsed="false">
      <c r="Q968" s="30"/>
    </row>
    <row r="969" customFormat="false" ht="15.75" hidden="false" customHeight="false" outlineLevel="0" collapsed="false">
      <c r="Q969" s="30"/>
    </row>
    <row r="970" customFormat="false" ht="15.75" hidden="false" customHeight="false" outlineLevel="0" collapsed="false">
      <c r="Q970" s="30"/>
    </row>
    <row r="971" customFormat="false" ht="15.75" hidden="false" customHeight="false" outlineLevel="0" collapsed="false">
      <c r="Q971" s="30"/>
    </row>
    <row r="972" customFormat="false" ht="15.75" hidden="false" customHeight="false" outlineLevel="0" collapsed="false">
      <c r="Q972" s="30"/>
    </row>
    <row r="973" customFormat="false" ht="15.75" hidden="false" customHeight="false" outlineLevel="0" collapsed="false">
      <c r="Q973" s="30"/>
    </row>
    <row r="974" customFormat="false" ht="15.75" hidden="false" customHeight="false" outlineLevel="0" collapsed="false">
      <c r="Q974" s="30"/>
    </row>
    <row r="975" customFormat="false" ht="15.75" hidden="false" customHeight="false" outlineLevel="0" collapsed="false">
      <c r="Q975" s="30"/>
    </row>
    <row r="976" customFormat="false" ht="15.75" hidden="false" customHeight="false" outlineLevel="0" collapsed="false">
      <c r="Q976" s="30"/>
    </row>
    <row r="977" customFormat="false" ht="15.75" hidden="false" customHeight="false" outlineLevel="0" collapsed="false">
      <c r="Q977" s="30"/>
    </row>
    <row r="978" customFormat="false" ht="15.75" hidden="false" customHeight="false" outlineLevel="0" collapsed="false">
      <c r="Q978" s="30"/>
    </row>
    <row r="979" customFormat="false" ht="15.75" hidden="false" customHeight="false" outlineLevel="0" collapsed="false">
      <c r="Q979" s="30"/>
    </row>
    <row r="980" customFormat="false" ht="15.75" hidden="false" customHeight="false" outlineLevel="0" collapsed="false">
      <c r="Q980" s="30"/>
    </row>
    <row r="981" customFormat="false" ht="15.75" hidden="false" customHeight="false" outlineLevel="0" collapsed="false">
      <c r="Q981" s="30"/>
    </row>
    <row r="982" customFormat="false" ht="15.75" hidden="false" customHeight="false" outlineLevel="0" collapsed="false">
      <c r="Q982" s="30"/>
    </row>
    <row r="983" customFormat="false" ht="15.75" hidden="false" customHeight="false" outlineLevel="0" collapsed="false">
      <c r="Q983" s="30"/>
    </row>
    <row r="984" customFormat="false" ht="15.75" hidden="false" customHeight="false" outlineLevel="0" collapsed="false">
      <c r="Q984" s="30"/>
    </row>
    <row r="985" customFormat="false" ht="15.75" hidden="false" customHeight="false" outlineLevel="0" collapsed="false">
      <c r="Q985" s="30"/>
    </row>
    <row r="986" customFormat="false" ht="15.75" hidden="false" customHeight="false" outlineLevel="0" collapsed="false">
      <c r="Q986" s="30"/>
    </row>
    <row r="987" customFormat="false" ht="15.75" hidden="false" customHeight="false" outlineLevel="0" collapsed="false">
      <c r="Q987" s="30"/>
    </row>
    <row r="988" customFormat="false" ht="15.75" hidden="false" customHeight="false" outlineLevel="0" collapsed="false">
      <c r="Q988" s="30"/>
    </row>
    <row r="989" customFormat="false" ht="15.75" hidden="false" customHeight="false" outlineLevel="0" collapsed="false">
      <c r="Q989" s="30"/>
    </row>
    <row r="990" customFormat="false" ht="15.75" hidden="false" customHeight="false" outlineLevel="0" collapsed="false">
      <c r="Q990" s="30"/>
    </row>
    <row r="991" customFormat="false" ht="15.75" hidden="false" customHeight="false" outlineLevel="0" collapsed="false">
      <c r="Q991" s="30"/>
    </row>
    <row r="992" customFormat="false" ht="15.75" hidden="false" customHeight="false" outlineLevel="0" collapsed="false">
      <c r="Q992" s="30"/>
    </row>
    <row r="993" customFormat="false" ht="15.75" hidden="false" customHeight="false" outlineLevel="0" collapsed="false">
      <c r="Q993" s="30"/>
    </row>
    <row r="994" customFormat="false" ht="15.75" hidden="false" customHeight="false" outlineLevel="0" collapsed="false">
      <c r="Q994" s="30"/>
    </row>
    <row r="995" customFormat="false" ht="15.75" hidden="false" customHeight="false" outlineLevel="0" collapsed="false">
      <c r="Q995" s="30"/>
    </row>
    <row r="996" customFormat="false" ht="15.75" hidden="false" customHeight="false" outlineLevel="0" collapsed="false">
      <c r="Q996" s="30"/>
    </row>
    <row r="997" customFormat="false" ht="15.75" hidden="false" customHeight="false" outlineLevel="0" collapsed="false">
      <c r="Q997" s="30"/>
    </row>
    <row r="998" customFormat="false" ht="15.75" hidden="false" customHeight="false" outlineLevel="0" collapsed="false">
      <c r="Q998" s="30"/>
    </row>
    <row r="999" customFormat="false" ht="15.75" hidden="false" customHeight="false" outlineLevel="0" collapsed="false">
      <c r="Q999" s="30"/>
    </row>
    <row r="1000" customFormat="false" ht="15.75" hidden="false" customHeight="false" outlineLevel="0" collapsed="false">
      <c r="Q1000" s="3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56.62"/>
  </cols>
  <sheetData>
    <row r="1" customFormat="false" ht="15.75" hidden="false" customHeight="false" outlineLevel="0" collapsed="false">
      <c r="A1" s="31" t="s">
        <v>140</v>
      </c>
      <c r="B1" s="31" t="s">
        <v>141</v>
      </c>
      <c r="C1" s="31" t="s">
        <v>142</v>
      </c>
      <c r="D1" s="31" t="s">
        <v>143</v>
      </c>
      <c r="E1" s="31" t="s">
        <v>144</v>
      </c>
      <c r="F1" s="31" t="s">
        <v>145</v>
      </c>
      <c r="G1" s="31" t="s">
        <v>146</v>
      </c>
      <c r="H1" s="25"/>
      <c r="I1" s="25"/>
      <c r="J1" s="25"/>
      <c r="K1" s="25"/>
    </row>
    <row r="2" customFormat="false" ht="15.75" hidden="false" customHeight="false" outlineLevel="0" collapsed="false">
      <c r="A2" s="31" t="s">
        <v>147</v>
      </c>
      <c r="B2" s="31" t="s">
        <v>148</v>
      </c>
      <c r="C2" s="13" t="n">
        <v>9</v>
      </c>
      <c r="D2" s="32" t="s">
        <v>149</v>
      </c>
      <c r="E2" s="13" t="n">
        <v>9</v>
      </c>
      <c r="F2" s="31" t="s">
        <v>150</v>
      </c>
      <c r="G2" s="13" t="n">
        <v>0</v>
      </c>
      <c r="H2" s="25"/>
      <c r="I2" s="25"/>
      <c r="J2" s="25"/>
      <c r="K2" s="25"/>
    </row>
    <row r="3" customFormat="false" ht="15.75" hidden="false" customHeight="false" outlineLevel="0" collapsed="false">
      <c r="A3" s="31" t="s">
        <v>151</v>
      </c>
      <c r="B3" s="31" t="s">
        <v>152</v>
      </c>
      <c r="C3" s="13" t="n">
        <v>6</v>
      </c>
      <c r="D3" s="32" t="s">
        <v>153</v>
      </c>
      <c r="E3" s="13" t="n">
        <v>6</v>
      </c>
      <c r="F3" s="31" t="s">
        <v>150</v>
      </c>
      <c r="G3" s="13" t="n">
        <v>0</v>
      </c>
      <c r="H3" s="25"/>
      <c r="I3" s="25"/>
      <c r="J3" s="25"/>
      <c r="K3" s="25"/>
    </row>
    <row r="4" customFormat="false" ht="15.75" hidden="false" customHeight="false" outlineLevel="0" collapsed="false">
      <c r="A4" s="31" t="s">
        <v>154</v>
      </c>
      <c r="B4" s="31" t="s">
        <v>155</v>
      </c>
      <c r="C4" s="13" t="n">
        <v>5</v>
      </c>
      <c r="D4" s="32" t="s">
        <v>156</v>
      </c>
      <c r="E4" s="13" t="n">
        <v>5</v>
      </c>
      <c r="F4" s="31" t="s">
        <v>150</v>
      </c>
      <c r="G4" s="13" t="n">
        <v>0</v>
      </c>
      <c r="H4" s="25"/>
      <c r="I4" s="25"/>
      <c r="J4" s="25"/>
      <c r="K4" s="25"/>
    </row>
    <row r="5" customFormat="false" ht="15.75" hidden="false" customHeight="false" outlineLevel="0" collapsed="false">
      <c r="A5" s="31" t="s">
        <v>157</v>
      </c>
      <c r="B5" s="31" t="s">
        <v>158</v>
      </c>
      <c r="C5" s="13" t="n">
        <v>5</v>
      </c>
      <c r="D5" s="32" t="s">
        <v>159</v>
      </c>
      <c r="E5" s="13" t="n">
        <v>5</v>
      </c>
      <c r="F5" s="31" t="s">
        <v>160</v>
      </c>
      <c r="G5" s="13" t="n">
        <v>0</v>
      </c>
      <c r="H5" s="25"/>
      <c r="I5" s="25"/>
      <c r="J5" s="25"/>
      <c r="K5" s="25"/>
    </row>
    <row r="6" customFormat="false" ht="15.75" hidden="false" customHeight="false" outlineLevel="0" collapsed="false">
      <c r="A6" s="31" t="s">
        <v>161</v>
      </c>
      <c r="B6" s="31" t="s">
        <v>162</v>
      </c>
      <c r="C6" s="13" t="n">
        <v>4</v>
      </c>
      <c r="D6" s="32" t="s">
        <v>163</v>
      </c>
      <c r="E6" s="13" t="n">
        <v>4</v>
      </c>
      <c r="F6" s="31" t="s">
        <v>150</v>
      </c>
      <c r="G6" s="13" t="n">
        <v>0</v>
      </c>
      <c r="H6" s="25"/>
      <c r="I6" s="25"/>
      <c r="J6" s="25"/>
      <c r="K6" s="25"/>
    </row>
    <row r="7" customFormat="false" ht="15.75" hidden="false" customHeight="false" outlineLevel="0" collapsed="false">
      <c r="A7" s="31" t="s">
        <v>164</v>
      </c>
      <c r="B7" s="31" t="s">
        <v>165</v>
      </c>
      <c r="C7" s="13" t="n">
        <v>3</v>
      </c>
      <c r="D7" s="32" t="s">
        <v>166</v>
      </c>
      <c r="E7" s="13" t="n">
        <v>3</v>
      </c>
      <c r="F7" s="31" t="s">
        <v>150</v>
      </c>
      <c r="G7" s="13" t="n">
        <v>0</v>
      </c>
      <c r="H7" s="25"/>
      <c r="I7" s="25"/>
      <c r="J7" s="25"/>
      <c r="K7" s="25"/>
    </row>
    <row r="8" customFormat="false" ht="15.75" hidden="false" customHeight="false" outlineLevel="0" collapsed="false">
      <c r="A8" s="31" t="s">
        <v>167</v>
      </c>
      <c r="B8" s="31" t="s">
        <v>168</v>
      </c>
      <c r="C8" s="13" t="n">
        <v>3</v>
      </c>
      <c r="D8" s="32" t="s">
        <v>169</v>
      </c>
      <c r="E8" s="13" t="n">
        <v>3</v>
      </c>
      <c r="F8" s="31" t="s">
        <v>150</v>
      </c>
      <c r="G8" s="13" t="n">
        <v>0</v>
      </c>
      <c r="H8" s="25"/>
      <c r="I8" s="25"/>
      <c r="J8" s="25"/>
      <c r="K8" s="25"/>
    </row>
    <row r="9" customFormat="false" ht="15.75" hidden="false" customHeight="false" outlineLevel="0" collapsed="false">
      <c r="A9" s="31" t="s">
        <v>170</v>
      </c>
      <c r="B9" s="31" t="s">
        <v>171</v>
      </c>
      <c r="C9" s="13" t="n">
        <v>3</v>
      </c>
      <c r="D9" s="32" t="s">
        <v>172</v>
      </c>
      <c r="E9" s="13" t="n">
        <v>3</v>
      </c>
      <c r="F9" s="31" t="s">
        <v>150</v>
      </c>
      <c r="G9" s="13" t="n">
        <v>0</v>
      </c>
      <c r="H9" s="25"/>
      <c r="I9" s="25"/>
      <c r="J9" s="25"/>
      <c r="K9" s="25"/>
    </row>
    <row r="10" customFormat="false" ht="15.75" hidden="false" customHeight="false" outlineLevel="0" collapsed="false">
      <c r="A10" s="31" t="s">
        <v>173</v>
      </c>
      <c r="B10" s="31" t="s">
        <v>174</v>
      </c>
      <c r="C10" s="13" t="n">
        <v>3</v>
      </c>
      <c r="D10" s="32" t="s">
        <v>175</v>
      </c>
      <c r="E10" s="13" t="n">
        <v>3</v>
      </c>
      <c r="F10" s="31" t="s">
        <v>150</v>
      </c>
      <c r="G10" s="13" t="n">
        <v>0</v>
      </c>
      <c r="H10" s="25"/>
      <c r="I10" s="25"/>
      <c r="J10" s="25"/>
      <c r="K10" s="25"/>
    </row>
    <row r="11" customFormat="false" ht="15.75" hidden="false" customHeight="false" outlineLevel="0" collapsed="false">
      <c r="A11" s="31" t="s">
        <v>176</v>
      </c>
      <c r="B11" s="31" t="s">
        <v>177</v>
      </c>
      <c r="C11" s="13" t="n">
        <v>3</v>
      </c>
      <c r="D11" s="31" t="s">
        <v>178</v>
      </c>
      <c r="E11" s="13" t="n">
        <v>3</v>
      </c>
      <c r="F11" s="31" t="s">
        <v>150</v>
      </c>
      <c r="G11" s="13" t="n">
        <v>0</v>
      </c>
      <c r="H11" s="25"/>
      <c r="I11" s="25"/>
      <c r="J11" s="25"/>
      <c r="K11" s="25"/>
    </row>
    <row r="12" customFormat="false" ht="15.75" hidden="false" customHeight="false" outlineLevel="0" collapsed="false">
      <c r="A12" s="31" t="s">
        <v>179</v>
      </c>
      <c r="B12" s="31" t="s">
        <v>180</v>
      </c>
      <c r="C12" s="13" t="n">
        <v>3</v>
      </c>
      <c r="D12" s="32" t="s">
        <v>181</v>
      </c>
      <c r="E12" s="13" t="n">
        <v>3</v>
      </c>
      <c r="F12" s="31" t="s">
        <v>150</v>
      </c>
      <c r="G12" s="13" t="n">
        <v>0</v>
      </c>
      <c r="H12" s="25"/>
      <c r="I12" s="25"/>
      <c r="J12" s="25"/>
      <c r="K12" s="25"/>
    </row>
    <row r="13" customFormat="false" ht="15.75" hidden="false" customHeight="false" outlineLevel="0" collapsed="false">
      <c r="A13" s="31" t="s">
        <v>182</v>
      </c>
      <c r="B13" s="31" t="s">
        <v>183</v>
      </c>
      <c r="C13" s="13" t="n">
        <v>3</v>
      </c>
      <c r="D13" s="32" t="s">
        <v>184</v>
      </c>
      <c r="E13" s="13" t="n">
        <v>3</v>
      </c>
      <c r="F13" s="31" t="s">
        <v>150</v>
      </c>
      <c r="G13" s="13" t="n">
        <v>0</v>
      </c>
      <c r="H13" s="25"/>
      <c r="I13" s="25"/>
      <c r="J13" s="25"/>
      <c r="K13" s="25"/>
    </row>
    <row r="14" customFormat="false" ht="15.75" hidden="false" customHeight="false" outlineLevel="0" collapsed="false">
      <c r="A14" s="31" t="s">
        <v>185</v>
      </c>
      <c r="B14" s="31" t="s">
        <v>186</v>
      </c>
      <c r="C14" s="13" t="n">
        <v>3</v>
      </c>
      <c r="D14" s="32" t="s">
        <v>184</v>
      </c>
      <c r="E14" s="13" t="n">
        <v>3</v>
      </c>
      <c r="F14" s="31" t="s">
        <v>150</v>
      </c>
      <c r="G14" s="13" t="n">
        <v>0</v>
      </c>
      <c r="H14" s="25"/>
      <c r="I14" s="25"/>
      <c r="J14" s="25"/>
      <c r="K14" s="25"/>
    </row>
    <row r="15" customFormat="false" ht="15.75" hidden="false" customHeight="false" outlineLevel="0" collapsed="false">
      <c r="A15" s="31" t="s">
        <v>187</v>
      </c>
      <c r="B15" s="31" t="s">
        <v>188</v>
      </c>
      <c r="C15" s="13" t="n">
        <v>3</v>
      </c>
      <c r="D15" s="32" t="s">
        <v>189</v>
      </c>
      <c r="E15" s="13" t="n">
        <v>3</v>
      </c>
      <c r="F15" s="31" t="s">
        <v>150</v>
      </c>
      <c r="G15" s="13" t="n">
        <v>0</v>
      </c>
      <c r="H15" s="25"/>
      <c r="I15" s="25"/>
      <c r="J15" s="25"/>
      <c r="K15" s="25"/>
    </row>
    <row r="16" customFormat="false" ht="15.75" hidden="false" customHeight="false" outlineLevel="0" collapsed="false">
      <c r="A16" s="31" t="s">
        <v>190</v>
      </c>
      <c r="B16" s="31" t="s">
        <v>191</v>
      </c>
      <c r="C16" s="13" t="n">
        <v>2</v>
      </c>
      <c r="D16" s="32" t="s">
        <v>192</v>
      </c>
      <c r="E16" s="13" t="n">
        <v>2</v>
      </c>
      <c r="F16" s="31" t="s">
        <v>160</v>
      </c>
      <c r="G16" s="13" t="n">
        <v>0</v>
      </c>
      <c r="H16" s="25"/>
      <c r="I16" s="25"/>
      <c r="J16" s="25"/>
      <c r="K16" s="25"/>
    </row>
    <row r="17" customFormat="false" ht="15.75" hidden="false" customHeight="false" outlineLevel="0" collapsed="false">
      <c r="A17" s="31" t="s">
        <v>193</v>
      </c>
      <c r="B17" s="31" t="s">
        <v>194</v>
      </c>
      <c r="C17" s="13" t="n">
        <v>2</v>
      </c>
      <c r="D17" s="32" t="s">
        <v>195</v>
      </c>
      <c r="E17" s="13" t="n">
        <v>2</v>
      </c>
      <c r="F17" s="31" t="s">
        <v>150</v>
      </c>
      <c r="G17" s="13" t="n">
        <v>0</v>
      </c>
      <c r="H17" s="25"/>
      <c r="I17" s="25"/>
      <c r="J17" s="25"/>
      <c r="K17" s="25"/>
    </row>
    <row r="18" customFormat="false" ht="15.75" hidden="false" customHeight="false" outlineLevel="0" collapsed="false">
      <c r="A18" s="31" t="s">
        <v>196</v>
      </c>
      <c r="B18" s="31" t="s">
        <v>197</v>
      </c>
      <c r="C18" s="13" t="n">
        <v>2</v>
      </c>
      <c r="D18" s="33" t="n">
        <v>46273</v>
      </c>
      <c r="E18" s="13" t="n">
        <v>2</v>
      </c>
      <c r="F18" s="31" t="s">
        <v>150</v>
      </c>
      <c r="G18" s="13" t="n">
        <v>0</v>
      </c>
      <c r="H18" s="25"/>
      <c r="I18" s="25"/>
      <c r="J18" s="25"/>
      <c r="K18" s="25"/>
    </row>
    <row r="19" customFormat="false" ht="15.75" hidden="false" customHeight="false" outlineLevel="0" collapsed="false">
      <c r="A19" s="31" t="s">
        <v>198</v>
      </c>
      <c r="B19" s="31" t="s">
        <v>199</v>
      </c>
      <c r="C19" s="13" t="n">
        <v>2</v>
      </c>
      <c r="D19" s="31" t="s">
        <v>200</v>
      </c>
      <c r="E19" s="13" t="n">
        <v>2</v>
      </c>
      <c r="F19" s="31" t="s">
        <v>150</v>
      </c>
      <c r="G19" s="13" t="n">
        <v>0</v>
      </c>
      <c r="H19" s="25"/>
      <c r="I19" s="25"/>
      <c r="J19" s="25"/>
      <c r="K19" s="25"/>
    </row>
    <row r="20" customFormat="false" ht="15.75" hidden="false" customHeight="false" outlineLevel="0" collapsed="false">
      <c r="A20" s="31" t="s">
        <v>201</v>
      </c>
      <c r="B20" s="31" t="s">
        <v>202</v>
      </c>
      <c r="C20" s="13" t="n">
        <v>2</v>
      </c>
      <c r="D20" s="32" t="s">
        <v>203</v>
      </c>
      <c r="E20" s="13" t="n">
        <v>2</v>
      </c>
      <c r="F20" s="31" t="s">
        <v>150</v>
      </c>
      <c r="G20" s="13" t="n">
        <v>0</v>
      </c>
      <c r="H20" s="25"/>
      <c r="I20" s="25"/>
      <c r="J20" s="25"/>
      <c r="K20" s="25"/>
    </row>
    <row r="21" customFormat="false" ht="15.75" hidden="false" customHeight="false" outlineLevel="0" collapsed="false">
      <c r="A21" s="31" t="s">
        <v>204</v>
      </c>
      <c r="B21" s="31" t="s">
        <v>205</v>
      </c>
      <c r="C21" s="13" t="n">
        <v>2</v>
      </c>
      <c r="D21" s="32" t="s">
        <v>206</v>
      </c>
      <c r="E21" s="13" t="n">
        <v>2</v>
      </c>
      <c r="F21" s="31" t="s">
        <v>150</v>
      </c>
      <c r="G21" s="13" t="n">
        <v>0</v>
      </c>
      <c r="H21" s="25"/>
      <c r="I21" s="25"/>
      <c r="J21" s="25"/>
      <c r="K21" s="25"/>
    </row>
    <row r="22" customFormat="false" ht="15.75" hidden="false" customHeight="false" outlineLevel="0" collapsed="false">
      <c r="A22" s="31" t="s">
        <v>207</v>
      </c>
      <c r="B22" s="31" t="s">
        <v>208</v>
      </c>
      <c r="C22" s="13" t="n">
        <v>2</v>
      </c>
      <c r="D22" s="32" t="s">
        <v>192</v>
      </c>
      <c r="E22" s="13" t="n">
        <v>2</v>
      </c>
      <c r="F22" s="31" t="s">
        <v>150</v>
      </c>
      <c r="G22" s="13" t="n">
        <v>0</v>
      </c>
      <c r="H22" s="25"/>
      <c r="I22" s="25"/>
      <c r="J22" s="25"/>
      <c r="K22" s="25"/>
    </row>
    <row r="23" customFormat="false" ht="15.75" hidden="false" customHeight="false" outlineLevel="0" collapsed="false">
      <c r="A23" s="31" t="s">
        <v>209</v>
      </c>
      <c r="B23" s="31" t="s">
        <v>210</v>
      </c>
      <c r="C23" s="13" t="n">
        <v>2</v>
      </c>
      <c r="D23" s="32" t="s">
        <v>211</v>
      </c>
      <c r="E23" s="13" t="n">
        <v>2</v>
      </c>
      <c r="F23" s="31" t="s">
        <v>150</v>
      </c>
      <c r="G23" s="13" t="n">
        <v>0</v>
      </c>
      <c r="H23" s="25"/>
      <c r="I23" s="25"/>
      <c r="J23" s="25"/>
      <c r="K23" s="25"/>
    </row>
    <row r="24" customFormat="false" ht="15.75" hidden="false" customHeight="false" outlineLevel="0" collapsed="false">
      <c r="A24" s="31" t="s">
        <v>212</v>
      </c>
      <c r="B24" s="31" t="s">
        <v>213</v>
      </c>
      <c r="C24" s="13" t="n">
        <v>2</v>
      </c>
      <c r="D24" s="32" t="s">
        <v>206</v>
      </c>
      <c r="E24" s="13" t="n">
        <v>2</v>
      </c>
      <c r="F24" s="31" t="s">
        <v>150</v>
      </c>
      <c r="G24" s="13" t="n">
        <v>0</v>
      </c>
      <c r="H24" s="25"/>
      <c r="I24" s="25"/>
      <c r="J24" s="25"/>
      <c r="K24" s="25"/>
    </row>
    <row r="25" customFormat="false" ht="15.75" hidden="false" customHeight="false" outlineLevel="0" collapsed="false">
      <c r="A25" s="31" t="s">
        <v>214</v>
      </c>
      <c r="B25" s="31" t="s">
        <v>215</v>
      </c>
      <c r="C25" s="13" t="n">
        <v>2</v>
      </c>
      <c r="D25" s="31" t="s">
        <v>216</v>
      </c>
      <c r="E25" s="13" t="n">
        <v>2</v>
      </c>
      <c r="F25" s="31" t="s">
        <v>150</v>
      </c>
      <c r="G25" s="13" t="n">
        <v>0</v>
      </c>
      <c r="H25" s="25"/>
      <c r="I25" s="25"/>
      <c r="J25" s="25"/>
      <c r="K25" s="25"/>
    </row>
    <row r="26" customFormat="false" ht="15.75" hidden="false" customHeight="false" outlineLevel="0" collapsed="false">
      <c r="A26" s="31" t="s">
        <v>217</v>
      </c>
      <c r="B26" s="31" t="s">
        <v>218</v>
      </c>
      <c r="C26" s="13" t="n">
        <v>2</v>
      </c>
      <c r="D26" s="32" t="s">
        <v>219</v>
      </c>
      <c r="E26" s="13" t="n">
        <v>2</v>
      </c>
      <c r="F26" s="31" t="s">
        <v>150</v>
      </c>
      <c r="G26" s="13" t="n">
        <v>0</v>
      </c>
      <c r="H26" s="25"/>
      <c r="I26" s="25"/>
      <c r="J26" s="25"/>
      <c r="K26" s="25"/>
    </row>
    <row r="27" customFormat="false" ht="15.75" hidden="false" customHeight="false" outlineLevel="0" collapsed="false">
      <c r="A27" s="31" t="s">
        <v>220</v>
      </c>
      <c r="B27" s="31" t="s">
        <v>221</v>
      </c>
      <c r="C27" s="13" t="n">
        <v>2</v>
      </c>
      <c r="D27" s="32" t="s">
        <v>222</v>
      </c>
      <c r="E27" s="13" t="n">
        <v>2</v>
      </c>
      <c r="F27" s="31" t="s">
        <v>160</v>
      </c>
      <c r="G27" s="13" t="n">
        <v>0</v>
      </c>
      <c r="H27" s="25"/>
      <c r="I27" s="25"/>
      <c r="J27" s="25"/>
      <c r="K27" s="25"/>
    </row>
    <row r="28" customFormat="false" ht="15.75" hidden="false" customHeight="false" outlineLevel="0" collapsed="false">
      <c r="A28" s="31" t="s">
        <v>223</v>
      </c>
      <c r="B28" s="31" t="s">
        <v>224</v>
      </c>
      <c r="C28" s="13" t="n">
        <v>2</v>
      </c>
      <c r="D28" s="32" t="s">
        <v>225</v>
      </c>
      <c r="E28" s="13" t="n">
        <v>2</v>
      </c>
      <c r="F28" s="31" t="s">
        <v>150</v>
      </c>
      <c r="G28" s="13" t="n">
        <v>0</v>
      </c>
      <c r="H28" s="25"/>
      <c r="I28" s="25"/>
      <c r="J28" s="25"/>
      <c r="K28" s="25"/>
    </row>
    <row r="29" customFormat="false" ht="15.75" hidden="false" customHeight="false" outlineLevel="0" collapsed="false">
      <c r="A29" s="31" t="s">
        <v>226</v>
      </c>
      <c r="B29" s="31" t="s">
        <v>227</v>
      </c>
      <c r="C29" s="13" t="n">
        <v>2</v>
      </c>
      <c r="D29" s="32" t="s">
        <v>192</v>
      </c>
      <c r="E29" s="13" t="n">
        <v>2</v>
      </c>
      <c r="F29" s="31" t="s">
        <v>160</v>
      </c>
      <c r="G29" s="13" t="n">
        <v>0</v>
      </c>
      <c r="H29" s="25"/>
      <c r="I29" s="25"/>
      <c r="J29" s="25"/>
      <c r="K29" s="25"/>
    </row>
    <row r="30" customFormat="false" ht="15.75" hidden="false" customHeight="false" outlineLevel="0" collapsed="false">
      <c r="A30" s="31" t="s">
        <v>228</v>
      </c>
      <c r="B30" s="31" t="s">
        <v>229</v>
      </c>
      <c r="C30" s="13" t="n">
        <v>2</v>
      </c>
      <c r="D30" s="31" t="s">
        <v>230</v>
      </c>
      <c r="E30" s="13" t="n">
        <v>2</v>
      </c>
      <c r="F30" s="31" t="s">
        <v>160</v>
      </c>
      <c r="G30" s="13" t="n">
        <v>0</v>
      </c>
      <c r="H30" s="25"/>
      <c r="I30" s="25"/>
      <c r="J30" s="25"/>
      <c r="K30" s="25"/>
    </row>
    <row r="31" customFormat="false" ht="15.75" hidden="false" customHeight="false" outlineLevel="0" collapsed="false">
      <c r="A31" s="31" t="s">
        <v>231</v>
      </c>
      <c r="B31" s="31" t="s">
        <v>232</v>
      </c>
      <c r="C31" s="13" t="n">
        <v>1</v>
      </c>
      <c r="D31" s="31" t="s">
        <v>233</v>
      </c>
      <c r="E31" s="13" t="n">
        <v>1</v>
      </c>
      <c r="F31" s="31" t="s">
        <v>150</v>
      </c>
      <c r="G31" s="13" t="n">
        <v>0</v>
      </c>
      <c r="H31" s="25"/>
      <c r="I31" s="25"/>
      <c r="J31" s="25"/>
      <c r="K31" s="25"/>
    </row>
    <row r="32" customFormat="false" ht="15.75" hidden="false" customHeight="false" outlineLevel="0" collapsed="false">
      <c r="A32" s="31" t="s">
        <v>234</v>
      </c>
      <c r="B32" s="31" t="s">
        <v>235</v>
      </c>
      <c r="C32" s="13" t="n">
        <v>1</v>
      </c>
      <c r="D32" s="33" t="n">
        <v>46121</v>
      </c>
      <c r="E32" s="13" t="n">
        <v>1</v>
      </c>
      <c r="F32" s="31" t="s">
        <v>160</v>
      </c>
      <c r="G32" s="13" t="n">
        <v>0</v>
      </c>
      <c r="H32" s="25"/>
      <c r="I32" s="25"/>
      <c r="J32" s="25"/>
      <c r="K32" s="25"/>
    </row>
    <row r="33" customFormat="false" ht="15.75" hidden="false" customHeight="false" outlineLevel="0" collapsed="false">
      <c r="A33" s="31" t="s">
        <v>236</v>
      </c>
      <c r="B33" s="31" t="s">
        <v>237</v>
      </c>
      <c r="C33" s="13" t="n">
        <v>1</v>
      </c>
      <c r="D33" s="31" t="s">
        <v>238</v>
      </c>
      <c r="E33" s="13" t="n">
        <v>1</v>
      </c>
      <c r="F33" s="31" t="s">
        <v>150</v>
      </c>
      <c r="G33" s="13" t="n">
        <v>0</v>
      </c>
      <c r="H33" s="25"/>
      <c r="I33" s="25"/>
      <c r="J33" s="25"/>
      <c r="K33" s="25"/>
    </row>
    <row r="34" customFormat="false" ht="15.75" hidden="false" customHeight="false" outlineLevel="0" collapsed="false">
      <c r="A34" s="31" t="s">
        <v>239</v>
      </c>
      <c r="B34" s="31" t="s">
        <v>240</v>
      </c>
      <c r="C34" s="13" t="n">
        <v>1</v>
      </c>
      <c r="D34" s="31" t="s">
        <v>238</v>
      </c>
      <c r="E34" s="13" t="n">
        <v>1</v>
      </c>
      <c r="F34" s="31" t="s">
        <v>150</v>
      </c>
      <c r="G34" s="13" t="n">
        <v>0</v>
      </c>
      <c r="H34" s="25"/>
      <c r="I34" s="25"/>
      <c r="J34" s="25"/>
      <c r="K34" s="25"/>
    </row>
    <row r="35" customFormat="false" ht="15.75" hidden="false" customHeight="false" outlineLevel="0" collapsed="false">
      <c r="A35" s="31" t="s">
        <v>241</v>
      </c>
      <c r="B35" s="31" t="s">
        <v>242</v>
      </c>
      <c r="C35" s="13" t="n">
        <v>1</v>
      </c>
      <c r="D35" s="33" t="n">
        <v>46140</v>
      </c>
      <c r="E35" s="13" t="n">
        <v>1</v>
      </c>
      <c r="F35" s="31" t="s">
        <v>150</v>
      </c>
      <c r="G35" s="13" t="n">
        <v>0</v>
      </c>
    </row>
    <row r="36" customFormat="false" ht="15.75" hidden="false" customHeight="false" outlineLevel="0" collapsed="false">
      <c r="A36" s="31" t="s">
        <v>243</v>
      </c>
      <c r="B36" s="31" t="s">
        <v>244</v>
      </c>
      <c r="C36" s="13" t="n">
        <v>1</v>
      </c>
      <c r="D36" s="31" t="s">
        <v>245</v>
      </c>
      <c r="E36" s="13" t="n">
        <v>1</v>
      </c>
      <c r="F36" s="31" t="s">
        <v>150</v>
      </c>
      <c r="G36" s="13" t="n">
        <v>0</v>
      </c>
    </row>
    <row r="37" customFormat="false" ht="15.75" hidden="false" customHeight="false" outlineLevel="0" collapsed="false">
      <c r="A37" s="31" t="s">
        <v>246</v>
      </c>
      <c r="B37" s="31" t="s">
        <v>247</v>
      </c>
      <c r="C37" s="13" t="n">
        <v>1</v>
      </c>
      <c r="D37" s="31" t="s">
        <v>245</v>
      </c>
      <c r="E37" s="13" t="n">
        <v>1</v>
      </c>
      <c r="F37" s="31" t="s">
        <v>150</v>
      </c>
      <c r="G37" s="13" t="n">
        <v>0</v>
      </c>
    </row>
    <row r="38" customFormat="false" ht="15.75" hidden="false" customHeight="false" outlineLevel="0" collapsed="false">
      <c r="A38" s="31" t="s">
        <v>248</v>
      </c>
      <c r="B38" s="31" t="s">
        <v>249</v>
      </c>
      <c r="C38" s="13" t="n">
        <v>1</v>
      </c>
      <c r="D38" s="32" t="s">
        <v>245</v>
      </c>
      <c r="E38" s="13" t="n">
        <v>1</v>
      </c>
      <c r="F38" s="31" t="s">
        <v>150</v>
      </c>
      <c r="G38" s="13" t="n">
        <v>0</v>
      </c>
    </row>
    <row r="39" customFormat="false" ht="15.75" hidden="false" customHeight="false" outlineLevel="0" collapsed="false">
      <c r="A39" s="31" t="s">
        <v>250</v>
      </c>
      <c r="B39" s="31" t="s">
        <v>251</v>
      </c>
      <c r="C39" s="13" t="n">
        <v>1</v>
      </c>
      <c r="D39" s="33" t="n">
        <v>46186</v>
      </c>
      <c r="E39" s="13" t="n">
        <v>1</v>
      </c>
      <c r="F39" s="31" t="s">
        <v>150</v>
      </c>
      <c r="G39" s="13" t="n">
        <v>0</v>
      </c>
    </row>
    <row r="40" customFormat="false" ht="15.75" hidden="false" customHeight="false" outlineLevel="0" collapsed="false">
      <c r="A40" s="31" t="s">
        <v>252</v>
      </c>
      <c r="B40" s="31" t="s">
        <v>253</v>
      </c>
      <c r="C40" s="13" t="n">
        <v>1</v>
      </c>
      <c r="D40" s="32" t="s">
        <v>233</v>
      </c>
      <c r="E40" s="13" t="n">
        <v>1</v>
      </c>
      <c r="F40" s="31" t="s">
        <v>150</v>
      </c>
      <c r="G40" s="13" t="n">
        <v>0</v>
      </c>
    </row>
    <row r="41" customFormat="false" ht="15.75" hidden="false" customHeight="false" outlineLevel="0" collapsed="false">
      <c r="A41" s="31" t="s">
        <v>254</v>
      </c>
      <c r="B41" s="31" t="s">
        <v>255</v>
      </c>
      <c r="C41" s="13" t="n">
        <v>1</v>
      </c>
      <c r="D41" s="31" t="s">
        <v>256</v>
      </c>
      <c r="E41" s="13" t="n">
        <v>1</v>
      </c>
      <c r="F41" s="31" t="s">
        <v>150</v>
      </c>
      <c r="G41" s="13" t="n">
        <v>0</v>
      </c>
    </row>
    <row r="42" customFormat="false" ht="15.75" hidden="false" customHeight="false" outlineLevel="0" collapsed="false">
      <c r="A42" s="31" t="s">
        <v>257</v>
      </c>
      <c r="B42" s="31" t="s">
        <v>258</v>
      </c>
      <c r="C42" s="13" t="n">
        <v>1</v>
      </c>
      <c r="D42" s="31" t="s">
        <v>245</v>
      </c>
      <c r="E42" s="13" t="n">
        <v>1</v>
      </c>
      <c r="F42" s="31" t="s">
        <v>150</v>
      </c>
      <c r="G42" s="13" t="n">
        <v>0</v>
      </c>
    </row>
    <row r="43" customFormat="false" ht="15.75" hidden="false" customHeight="false" outlineLevel="0" collapsed="false">
      <c r="A43" s="31" t="s">
        <v>259</v>
      </c>
      <c r="B43" s="31" t="s">
        <v>260</v>
      </c>
      <c r="C43" s="13" t="n">
        <v>1</v>
      </c>
      <c r="D43" s="31" t="s">
        <v>261</v>
      </c>
      <c r="E43" s="13" t="n">
        <v>1</v>
      </c>
      <c r="F43" s="31" t="s">
        <v>160</v>
      </c>
      <c r="G43" s="13" t="n">
        <v>0</v>
      </c>
    </row>
    <row r="44" customFormat="false" ht="15.75" hidden="false" customHeight="false" outlineLevel="0" collapsed="false">
      <c r="A44" s="31" t="s">
        <v>262</v>
      </c>
      <c r="B44" s="31" t="s">
        <v>263</v>
      </c>
      <c r="C44" s="13" t="n">
        <v>1</v>
      </c>
      <c r="D44" s="31" t="s">
        <v>264</v>
      </c>
      <c r="E44" s="13" t="n">
        <v>1</v>
      </c>
      <c r="F44" s="31" t="s">
        <v>150</v>
      </c>
      <c r="G44" s="13" t="n">
        <v>0</v>
      </c>
    </row>
    <row r="45" customFormat="false" ht="15.75" hidden="false" customHeight="false" outlineLevel="0" collapsed="false">
      <c r="A45" s="31" t="s">
        <v>265</v>
      </c>
      <c r="B45" s="31" t="s">
        <v>266</v>
      </c>
      <c r="C45" s="13" t="n">
        <v>1</v>
      </c>
      <c r="D45" s="33" t="n">
        <v>46287</v>
      </c>
      <c r="E45" s="13" t="n">
        <v>1</v>
      </c>
      <c r="F45" s="31" t="s">
        <v>150</v>
      </c>
      <c r="G45" s="13" t="n">
        <v>0</v>
      </c>
    </row>
    <row r="46" customFormat="false" ht="15.75" hidden="false" customHeight="false" outlineLevel="0" collapsed="false">
      <c r="A46" s="31" t="s">
        <v>267</v>
      </c>
      <c r="B46" s="31" t="s">
        <v>268</v>
      </c>
      <c r="C46" s="13" t="n">
        <v>1</v>
      </c>
      <c r="D46" s="31" t="s">
        <v>245</v>
      </c>
      <c r="E46" s="13" t="n">
        <v>1</v>
      </c>
      <c r="F46" s="31" t="s">
        <v>150</v>
      </c>
      <c r="G46" s="13" t="n">
        <v>0</v>
      </c>
    </row>
    <row r="47" customFormat="false" ht="15.75" hidden="false" customHeight="false" outlineLevel="0" collapsed="false">
      <c r="A47" s="31" t="s">
        <v>269</v>
      </c>
      <c r="B47" s="31" t="s">
        <v>270</v>
      </c>
      <c r="C47" s="13" t="n">
        <v>1</v>
      </c>
      <c r="D47" s="31" t="s">
        <v>233</v>
      </c>
      <c r="E47" s="13" t="n">
        <v>1</v>
      </c>
      <c r="F47" s="31" t="s">
        <v>150</v>
      </c>
      <c r="G47" s="13" t="n">
        <v>0</v>
      </c>
    </row>
    <row r="48" customFormat="false" ht="15.75" hidden="false" customHeight="false" outlineLevel="0" collapsed="false">
      <c r="A48" s="31" t="s">
        <v>271</v>
      </c>
      <c r="B48" s="31" t="s">
        <v>272</v>
      </c>
      <c r="C48" s="13" t="n">
        <v>1</v>
      </c>
      <c r="D48" s="31" t="s">
        <v>233</v>
      </c>
      <c r="E48" s="13" t="n">
        <v>1</v>
      </c>
      <c r="F48" s="31" t="s">
        <v>150</v>
      </c>
      <c r="G48" s="13" t="n">
        <v>0</v>
      </c>
    </row>
    <row r="49" customFormat="false" ht="15.75" hidden="false" customHeight="false" outlineLevel="0" collapsed="false">
      <c r="A49" s="31" t="s">
        <v>273</v>
      </c>
      <c r="B49" s="31" t="s">
        <v>274</v>
      </c>
      <c r="C49" s="13" t="n">
        <v>1</v>
      </c>
      <c r="D49" s="33" t="n">
        <v>46186</v>
      </c>
      <c r="E49" s="13" t="n">
        <v>1</v>
      </c>
      <c r="F49" s="31" t="s">
        <v>150</v>
      </c>
      <c r="G49" s="13" t="n">
        <v>0</v>
      </c>
    </row>
    <row r="50" customFormat="false" ht="15.75" hidden="false" customHeight="false" outlineLevel="0" collapsed="false">
      <c r="A50" s="31" t="s">
        <v>275</v>
      </c>
      <c r="B50" s="31" t="s">
        <v>276</v>
      </c>
      <c r="C50" s="13" t="n">
        <v>1</v>
      </c>
      <c r="D50" s="31" t="s">
        <v>277</v>
      </c>
      <c r="E50" s="13" t="n">
        <v>1</v>
      </c>
      <c r="F50" s="31" t="s">
        <v>150</v>
      </c>
      <c r="G50" s="13" t="n">
        <v>0</v>
      </c>
    </row>
    <row r="51" customFormat="false" ht="15.75" hidden="false" customHeight="false" outlineLevel="0" collapsed="false">
      <c r="A51" s="31" t="s">
        <v>278</v>
      </c>
      <c r="B51" s="31" t="s">
        <v>279</v>
      </c>
      <c r="C51" s="13" t="n">
        <v>1</v>
      </c>
      <c r="D51" s="31" t="s">
        <v>280</v>
      </c>
      <c r="E51" s="13" t="n">
        <v>1</v>
      </c>
      <c r="F51" s="31" t="s">
        <v>150</v>
      </c>
      <c r="G51" s="13" t="n">
        <v>0</v>
      </c>
    </row>
    <row r="52" customFormat="false" ht="15.75" hidden="false" customHeight="false" outlineLevel="0" collapsed="false">
      <c r="A52" s="31" t="s">
        <v>281</v>
      </c>
      <c r="B52" s="31" t="s">
        <v>282</v>
      </c>
      <c r="C52" s="13" t="n">
        <v>1</v>
      </c>
      <c r="D52" s="31" t="s">
        <v>264</v>
      </c>
      <c r="E52" s="13" t="n">
        <v>1</v>
      </c>
      <c r="F52" s="31" t="s">
        <v>160</v>
      </c>
      <c r="G52" s="13" t="n">
        <v>0</v>
      </c>
    </row>
    <row r="53" customFormat="false" ht="15.75" hidden="false" customHeight="false" outlineLevel="0" collapsed="false">
      <c r="A53" s="31" t="s">
        <v>283</v>
      </c>
      <c r="B53" s="31" t="s">
        <v>284</v>
      </c>
      <c r="C53" s="13" t="n">
        <v>1</v>
      </c>
      <c r="D53" s="33" t="n">
        <v>46353</v>
      </c>
      <c r="E53" s="13" t="n">
        <v>1</v>
      </c>
      <c r="F53" s="31" t="s">
        <v>150</v>
      </c>
      <c r="G53" s="13" t="n">
        <v>0</v>
      </c>
    </row>
    <row r="54" customFormat="false" ht="15.75" hidden="false" customHeight="false" outlineLevel="0" collapsed="false">
      <c r="A54" s="31" t="s">
        <v>285</v>
      </c>
      <c r="B54" s="31" t="s">
        <v>286</v>
      </c>
      <c r="C54" s="13" t="n">
        <v>1</v>
      </c>
      <c r="D54" s="31" t="s">
        <v>287</v>
      </c>
      <c r="E54" s="13" t="n">
        <v>1</v>
      </c>
      <c r="F54" s="31" t="s">
        <v>150</v>
      </c>
      <c r="G54" s="13" t="n">
        <v>0</v>
      </c>
    </row>
    <row r="55" customFormat="false" ht="15.75" hidden="false" customHeight="false" outlineLevel="0" collapsed="false">
      <c r="A55" s="31" t="s">
        <v>288</v>
      </c>
      <c r="B55" s="31" t="s">
        <v>289</v>
      </c>
      <c r="C55" s="13" t="n">
        <v>1</v>
      </c>
      <c r="D55" s="31" t="s">
        <v>290</v>
      </c>
      <c r="E55" s="13" t="n">
        <v>1</v>
      </c>
      <c r="F55" s="31" t="s">
        <v>160</v>
      </c>
      <c r="G55" s="13" t="n">
        <v>0</v>
      </c>
    </row>
    <row r="56" customFormat="false" ht="15.75" hidden="false" customHeight="false" outlineLevel="0" collapsed="false">
      <c r="A56" s="31" t="s">
        <v>291</v>
      </c>
      <c r="B56" s="31" t="s">
        <v>292</v>
      </c>
      <c r="C56" s="13" t="n">
        <v>1</v>
      </c>
      <c r="D56" s="33" t="n">
        <v>46287</v>
      </c>
      <c r="E56" s="13" t="n">
        <v>1</v>
      </c>
      <c r="F56" s="31" t="s">
        <v>160</v>
      </c>
      <c r="G56" s="13" t="n">
        <v>0</v>
      </c>
    </row>
    <row r="57" customFormat="false" ht="15.75" hidden="false" customHeight="false" outlineLevel="0" collapsed="false">
      <c r="A57" s="31" t="s">
        <v>293</v>
      </c>
      <c r="B57" s="31" t="s">
        <v>294</v>
      </c>
      <c r="C57" s="13" t="n">
        <v>1</v>
      </c>
      <c r="D57" s="33" t="n">
        <v>46287</v>
      </c>
      <c r="E57" s="13" t="n">
        <v>1</v>
      </c>
      <c r="F57" s="31" t="s">
        <v>160</v>
      </c>
      <c r="G57" s="13" t="n">
        <v>0</v>
      </c>
    </row>
    <row r="58" customFormat="false" ht="15.75" hidden="false" customHeight="false" outlineLevel="0" collapsed="false">
      <c r="A58" s="31" t="s">
        <v>295</v>
      </c>
      <c r="B58" s="31" t="s">
        <v>296</v>
      </c>
      <c r="C58" s="13" t="n">
        <v>1</v>
      </c>
      <c r="D58" s="31" t="s">
        <v>290</v>
      </c>
      <c r="E58" s="13" t="n">
        <v>1</v>
      </c>
      <c r="F58" s="31" t="s">
        <v>160</v>
      </c>
      <c r="G58" s="13" t="n">
        <v>0</v>
      </c>
    </row>
    <row r="59" customFormat="false" ht="15.75" hidden="false" customHeight="false" outlineLevel="0" collapsed="false">
      <c r="A59" s="31" t="s">
        <v>297</v>
      </c>
      <c r="B59" s="31" t="s">
        <v>298</v>
      </c>
      <c r="C59" s="13" t="n">
        <v>1</v>
      </c>
      <c r="D59" s="31" t="s">
        <v>256</v>
      </c>
      <c r="E59" s="13" t="n">
        <v>1</v>
      </c>
      <c r="F59" s="31" t="s">
        <v>160</v>
      </c>
      <c r="G59" s="13" t="n">
        <v>0</v>
      </c>
    </row>
    <row r="60" customFormat="false" ht="15.75" hidden="false" customHeight="false" outlineLevel="0" collapsed="false">
      <c r="A60" s="25"/>
      <c r="B60" s="25"/>
      <c r="C60" s="34"/>
      <c r="D60" s="34"/>
      <c r="E60" s="34"/>
      <c r="F60" s="25"/>
      <c r="G60" s="34"/>
    </row>
    <row r="61" customFormat="false" ht="15.75" hidden="false" customHeight="false" outlineLevel="0" collapsed="false">
      <c r="A61" s="25"/>
      <c r="B61" s="25"/>
      <c r="C61" s="34"/>
      <c r="D61" s="34"/>
      <c r="E61" s="34"/>
      <c r="F61" s="25"/>
      <c r="G61" s="34"/>
    </row>
    <row r="62" customFormat="false" ht="15.75" hidden="false" customHeight="false" outlineLevel="0" collapsed="false">
      <c r="A62" s="25"/>
      <c r="B62" s="25"/>
      <c r="C62" s="34"/>
      <c r="D62" s="35"/>
      <c r="E62" s="34"/>
      <c r="F62" s="25"/>
      <c r="G62" s="34"/>
    </row>
    <row r="63" customFormat="false" ht="15.75" hidden="false" customHeight="false" outlineLevel="0" collapsed="false">
      <c r="A63" s="25"/>
      <c r="B63" s="25"/>
      <c r="C63" s="34"/>
      <c r="D63" s="34"/>
      <c r="E63" s="34"/>
      <c r="F63" s="25"/>
      <c r="G63" s="34"/>
    </row>
    <row r="64" customFormat="false" ht="15.75" hidden="false" customHeight="false" outlineLevel="0" collapsed="false">
      <c r="A64" s="25"/>
      <c r="B64" s="25"/>
      <c r="C64" s="34"/>
      <c r="D64" s="35"/>
      <c r="E64" s="34"/>
      <c r="F64" s="25"/>
      <c r="G64" s="34"/>
    </row>
    <row r="65" customFormat="false" ht="15.75" hidden="false" customHeight="false" outlineLevel="0" collapsed="false">
      <c r="A65" s="25"/>
      <c r="B65" s="25"/>
      <c r="C65" s="34"/>
      <c r="D65" s="35"/>
      <c r="E65" s="34"/>
      <c r="F65" s="25"/>
      <c r="G65" s="34"/>
    </row>
    <row r="66" customFormat="false" ht="15.75" hidden="false" customHeight="false" outlineLevel="0" collapsed="false">
      <c r="A66" s="25"/>
      <c r="B66" s="25"/>
      <c r="C66" s="34"/>
      <c r="D66" s="34"/>
      <c r="E66" s="34"/>
      <c r="F66" s="25"/>
      <c r="G66" s="34"/>
    </row>
    <row r="67" customFormat="false" ht="15.75" hidden="false" customHeight="false" outlineLevel="0" collapsed="false">
      <c r="D67" s="36"/>
    </row>
    <row r="68" customFormat="false" ht="15.75" hidden="false" customHeight="false" outlineLevel="0" collapsed="false">
      <c r="D68" s="13"/>
    </row>
    <row r="69" customFormat="false" ht="15.75" hidden="false" customHeight="false" outlineLevel="0" collapsed="false">
      <c r="D69" s="13"/>
    </row>
    <row r="70" customFormat="false" ht="15.75" hidden="false" customHeight="false" outlineLevel="0" collapsed="false">
      <c r="D70" s="13"/>
    </row>
    <row r="71" customFormat="false" ht="15.75" hidden="false" customHeight="false" outlineLevel="0" collapsed="false">
      <c r="D71" s="36"/>
    </row>
    <row r="72" customFormat="false" ht="15.75" hidden="false" customHeight="false" outlineLevel="0" collapsed="false">
      <c r="D72" s="13"/>
    </row>
    <row r="73" customFormat="false" ht="15.75" hidden="false" customHeight="false" outlineLevel="0" collapsed="false">
      <c r="D73" s="13"/>
    </row>
    <row r="74" customFormat="false" ht="15.75" hidden="false" customHeight="false" outlineLevel="0" collapsed="false">
      <c r="D74" s="13"/>
    </row>
    <row r="75" customFormat="false" ht="15.75" hidden="false" customHeight="false" outlineLevel="0" collapsed="false">
      <c r="D75" s="13"/>
    </row>
    <row r="76" customFormat="false" ht="15.75" hidden="false" customHeight="false" outlineLevel="0" collapsed="false">
      <c r="D76" s="13"/>
    </row>
    <row r="77" customFormat="false" ht="15.75" hidden="false" customHeight="false" outlineLevel="0" collapsed="false">
      <c r="D77" s="13"/>
    </row>
    <row r="78" customFormat="false" ht="15.75" hidden="false" customHeight="false" outlineLevel="0" collapsed="false">
      <c r="D78" s="13"/>
    </row>
    <row r="79" customFormat="false" ht="15.75" hidden="false" customHeight="false" outlineLevel="0" collapsed="false">
      <c r="D79" s="13"/>
    </row>
    <row r="80" customFormat="false" ht="15.75" hidden="false" customHeight="false" outlineLevel="0" collapsed="false">
      <c r="D80" s="13"/>
    </row>
    <row r="81" customFormat="false" ht="15.75" hidden="false" customHeight="false" outlineLevel="0" collapsed="false">
      <c r="D81" s="13"/>
    </row>
    <row r="82" customFormat="false" ht="15.75" hidden="false" customHeight="false" outlineLevel="0" collapsed="false">
      <c r="D82" s="13"/>
    </row>
    <row r="83" customFormat="false" ht="15.75" hidden="false" customHeight="false" outlineLevel="0" collapsed="false">
      <c r="D83" s="13"/>
    </row>
    <row r="84" customFormat="false" ht="15.75" hidden="false" customHeight="false" outlineLevel="0" collapsed="false">
      <c r="D84" s="13"/>
    </row>
    <row r="85" customFormat="false" ht="15.75" hidden="false" customHeight="false" outlineLevel="0" collapsed="false">
      <c r="D85" s="13"/>
    </row>
    <row r="86" customFormat="false" ht="15.75" hidden="false" customHeight="false" outlineLevel="0" collapsed="false">
      <c r="D86" s="13"/>
    </row>
    <row r="87" customFormat="false" ht="15.75" hidden="false" customHeight="false" outlineLevel="0" collapsed="false">
      <c r="D87" s="13"/>
    </row>
    <row r="88" customFormat="false" ht="15.75" hidden="false" customHeight="false" outlineLevel="0" collapsed="false">
      <c r="D88" s="13"/>
    </row>
    <row r="89" customFormat="false" ht="15.75" hidden="false" customHeight="false" outlineLevel="0" collapsed="false">
      <c r="D89" s="13"/>
    </row>
    <row r="90" customFormat="false" ht="15.75" hidden="false" customHeight="false" outlineLevel="0" collapsed="false">
      <c r="D90" s="13"/>
    </row>
    <row r="91" customFormat="false" ht="15.75" hidden="false" customHeight="false" outlineLevel="0" collapsed="false">
      <c r="D91" s="13"/>
    </row>
    <row r="92" customFormat="false" ht="15.75" hidden="false" customHeight="false" outlineLevel="0" collapsed="false">
      <c r="D92" s="13"/>
    </row>
    <row r="93" customFormat="false" ht="15.75" hidden="false" customHeight="false" outlineLevel="0" collapsed="false">
      <c r="D93" s="13"/>
    </row>
    <row r="94" customFormat="false" ht="15.75" hidden="false" customHeight="false" outlineLevel="0" collapsed="false">
      <c r="D94" s="13"/>
    </row>
    <row r="95" customFormat="false" ht="15.75" hidden="false" customHeight="false" outlineLevel="0" collapsed="false">
      <c r="D95" s="13"/>
    </row>
    <row r="96" customFormat="false" ht="15.75" hidden="false" customHeight="false" outlineLevel="0" collapsed="false">
      <c r="D96" s="13"/>
    </row>
    <row r="97" customFormat="false" ht="15.75" hidden="false" customHeight="false" outlineLevel="0" collapsed="false">
      <c r="D97" s="13"/>
    </row>
    <row r="98" customFormat="false" ht="15.75" hidden="false" customHeight="false" outlineLevel="0" collapsed="false">
      <c r="D98" s="13"/>
    </row>
    <row r="99" customFormat="false" ht="15.75" hidden="false" customHeight="false" outlineLevel="0" collapsed="false">
      <c r="D99" s="13"/>
    </row>
    <row r="100" customFormat="false" ht="15.75" hidden="false" customHeight="false" outlineLevel="0" collapsed="false">
      <c r="D100" s="13"/>
    </row>
    <row r="101" customFormat="false" ht="15.75" hidden="false" customHeight="false" outlineLevel="0" collapsed="false">
      <c r="D101" s="13"/>
    </row>
    <row r="102" customFormat="false" ht="15.75" hidden="false" customHeight="false" outlineLevel="0" collapsed="false">
      <c r="D102" s="13"/>
    </row>
    <row r="103" customFormat="false" ht="15.75" hidden="false" customHeight="false" outlineLevel="0" collapsed="false">
      <c r="D103" s="13"/>
    </row>
    <row r="104" customFormat="false" ht="15.75" hidden="false" customHeight="false" outlineLevel="0" collapsed="false">
      <c r="D104" s="13"/>
    </row>
    <row r="105" customFormat="false" ht="15.75" hidden="false" customHeight="false" outlineLevel="0" collapsed="false">
      <c r="D105" s="13"/>
    </row>
    <row r="106" customFormat="false" ht="15.75" hidden="false" customHeight="false" outlineLevel="0" collapsed="false">
      <c r="D106" s="13"/>
    </row>
    <row r="107" customFormat="false" ht="15.75" hidden="false" customHeight="false" outlineLevel="0" collapsed="false">
      <c r="D107" s="13"/>
    </row>
    <row r="108" customFormat="false" ht="15.75" hidden="false" customHeight="false" outlineLevel="0" collapsed="false">
      <c r="D108" s="13"/>
    </row>
    <row r="109" customFormat="false" ht="15.75" hidden="false" customHeight="false" outlineLevel="0" collapsed="false">
      <c r="D109" s="13"/>
    </row>
    <row r="110" customFormat="false" ht="15.75" hidden="false" customHeight="false" outlineLevel="0" collapsed="false">
      <c r="D110" s="13"/>
    </row>
    <row r="111" customFormat="false" ht="15.75" hidden="false" customHeight="false" outlineLevel="0" collapsed="false">
      <c r="D111" s="13"/>
    </row>
    <row r="112" customFormat="false" ht="15.75" hidden="false" customHeight="false" outlineLevel="0" collapsed="false">
      <c r="D112" s="13"/>
    </row>
    <row r="113" customFormat="false" ht="15.75" hidden="false" customHeight="false" outlineLevel="0" collapsed="false">
      <c r="D113" s="13"/>
    </row>
    <row r="114" customFormat="false" ht="15.75" hidden="false" customHeight="false" outlineLevel="0" collapsed="false">
      <c r="D114" s="13"/>
    </row>
    <row r="115" customFormat="false" ht="15.75" hidden="false" customHeight="false" outlineLevel="0" collapsed="false">
      <c r="D115" s="13"/>
    </row>
    <row r="116" customFormat="false" ht="15.75" hidden="false" customHeight="false" outlineLevel="0" collapsed="false">
      <c r="D116" s="13"/>
    </row>
    <row r="117" customFormat="false" ht="15.75" hidden="false" customHeight="false" outlineLevel="0" collapsed="false">
      <c r="D117" s="13"/>
    </row>
    <row r="118" customFormat="false" ht="15.75" hidden="false" customHeight="false" outlineLevel="0" collapsed="false">
      <c r="D118" s="13"/>
    </row>
    <row r="119" customFormat="false" ht="15.75" hidden="false" customHeight="false" outlineLevel="0" collapsed="false">
      <c r="D119" s="13"/>
    </row>
    <row r="120" customFormat="false" ht="15.75" hidden="false" customHeight="false" outlineLevel="0" collapsed="false">
      <c r="D120" s="13"/>
    </row>
    <row r="121" customFormat="false" ht="15.75" hidden="false" customHeight="false" outlineLevel="0" collapsed="false">
      <c r="D121" s="13"/>
    </row>
    <row r="122" customFormat="false" ht="15.75" hidden="false" customHeight="false" outlineLevel="0" collapsed="false">
      <c r="D122" s="13"/>
    </row>
    <row r="123" customFormat="false" ht="15.75" hidden="false" customHeight="false" outlineLevel="0" collapsed="false">
      <c r="D123" s="13"/>
    </row>
    <row r="124" customFormat="false" ht="15.75" hidden="false" customHeight="false" outlineLevel="0" collapsed="false">
      <c r="D124" s="13"/>
    </row>
    <row r="125" customFormat="false" ht="15.75" hidden="false" customHeight="false" outlineLevel="0" collapsed="false">
      <c r="D125" s="13"/>
    </row>
    <row r="126" customFormat="false" ht="15.75" hidden="false" customHeight="false" outlineLevel="0" collapsed="false">
      <c r="D126" s="13"/>
    </row>
    <row r="127" customFormat="false" ht="15.75" hidden="false" customHeight="false" outlineLevel="0" collapsed="false">
      <c r="D127" s="13"/>
    </row>
    <row r="128" customFormat="false" ht="15.75" hidden="false" customHeight="false" outlineLevel="0" collapsed="false">
      <c r="D128" s="13"/>
    </row>
    <row r="129" customFormat="false" ht="15.75" hidden="false" customHeight="false" outlineLevel="0" collapsed="false">
      <c r="D129" s="13"/>
    </row>
    <row r="130" customFormat="false" ht="15.75" hidden="false" customHeight="false" outlineLevel="0" collapsed="false">
      <c r="D130" s="13"/>
    </row>
    <row r="131" customFormat="false" ht="15.75" hidden="false" customHeight="false" outlineLevel="0" collapsed="false">
      <c r="D131" s="13"/>
    </row>
    <row r="132" customFormat="false" ht="15.75" hidden="false" customHeight="false" outlineLevel="0" collapsed="false">
      <c r="D132" s="13"/>
    </row>
    <row r="133" customFormat="false" ht="15.75" hidden="false" customHeight="false" outlineLevel="0" collapsed="false">
      <c r="D133" s="13"/>
    </row>
    <row r="134" customFormat="false" ht="15.75" hidden="false" customHeight="false" outlineLevel="0" collapsed="false">
      <c r="D134" s="13"/>
    </row>
    <row r="135" customFormat="false" ht="15.75" hidden="false" customHeight="false" outlineLevel="0" collapsed="false">
      <c r="D135" s="13"/>
    </row>
    <row r="136" customFormat="false" ht="15.75" hidden="false" customHeight="false" outlineLevel="0" collapsed="false">
      <c r="D136" s="13"/>
    </row>
    <row r="137" customFormat="false" ht="15.75" hidden="false" customHeight="false" outlineLevel="0" collapsed="false">
      <c r="D137" s="13"/>
    </row>
    <row r="138" customFormat="false" ht="15.75" hidden="false" customHeight="false" outlineLevel="0" collapsed="false">
      <c r="D138" s="13"/>
    </row>
    <row r="139" customFormat="false" ht="15.75" hidden="false" customHeight="false" outlineLevel="0" collapsed="false">
      <c r="D139" s="13"/>
    </row>
    <row r="140" customFormat="false" ht="15.75" hidden="false" customHeight="false" outlineLevel="0" collapsed="false">
      <c r="D140" s="13"/>
    </row>
    <row r="141" customFormat="false" ht="15.75" hidden="false" customHeight="false" outlineLevel="0" collapsed="false">
      <c r="D141" s="13"/>
    </row>
    <row r="142" customFormat="false" ht="15.75" hidden="false" customHeight="false" outlineLevel="0" collapsed="false">
      <c r="D142" s="13"/>
    </row>
    <row r="143" customFormat="false" ht="15.75" hidden="false" customHeight="false" outlineLevel="0" collapsed="false">
      <c r="D143" s="13"/>
    </row>
    <row r="144" customFormat="false" ht="15.75" hidden="false" customHeight="false" outlineLevel="0" collapsed="false">
      <c r="D144" s="13"/>
    </row>
    <row r="145" customFormat="false" ht="15.75" hidden="false" customHeight="false" outlineLevel="0" collapsed="false">
      <c r="D145" s="13"/>
    </row>
    <row r="146" customFormat="false" ht="15.75" hidden="false" customHeight="false" outlineLevel="0" collapsed="false">
      <c r="D146" s="13"/>
    </row>
    <row r="147" customFormat="false" ht="15.75" hidden="false" customHeight="false" outlineLevel="0" collapsed="false">
      <c r="D147" s="13"/>
    </row>
    <row r="148" customFormat="false" ht="15.75" hidden="false" customHeight="false" outlineLevel="0" collapsed="false">
      <c r="D148" s="13"/>
    </row>
    <row r="149" customFormat="false" ht="15.75" hidden="false" customHeight="false" outlineLevel="0" collapsed="false">
      <c r="D149" s="13"/>
    </row>
    <row r="150" customFormat="false" ht="15.75" hidden="false" customHeight="false" outlineLevel="0" collapsed="false">
      <c r="D150" s="13"/>
    </row>
    <row r="151" customFormat="false" ht="15.75" hidden="false" customHeight="false" outlineLevel="0" collapsed="false">
      <c r="D151" s="13"/>
    </row>
    <row r="152" customFormat="false" ht="15.75" hidden="false" customHeight="false" outlineLevel="0" collapsed="false">
      <c r="D152" s="13"/>
    </row>
    <row r="153" customFormat="false" ht="15.75" hidden="false" customHeight="false" outlineLevel="0" collapsed="false">
      <c r="D153" s="13"/>
    </row>
    <row r="154" customFormat="false" ht="15.75" hidden="false" customHeight="false" outlineLevel="0" collapsed="false">
      <c r="D154" s="13"/>
    </row>
    <row r="155" customFormat="false" ht="15.75" hidden="false" customHeight="false" outlineLevel="0" collapsed="false">
      <c r="D155" s="13"/>
    </row>
    <row r="156" customFormat="false" ht="15.75" hidden="false" customHeight="false" outlineLevel="0" collapsed="false">
      <c r="D156" s="13"/>
    </row>
    <row r="157" customFormat="false" ht="15.75" hidden="false" customHeight="false" outlineLevel="0" collapsed="false">
      <c r="D157" s="13"/>
    </row>
    <row r="158" customFormat="false" ht="15.75" hidden="false" customHeight="false" outlineLevel="0" collapsed="false">
      <c r="D158" s="13"/>
    </row>
    <row r="159" customFormat="false" ht="15.75" hidden="false" customHeight="false" outlineLevel="0" collapsed="false">
      <c r="D159" s="13"/>
    </row>
    <row r="160" customFormat="false" ht="15.75" hidden="false" customHeight="false" outlineLevel="0" collapsed="false">
      <c r="D160" s="13"/>
    </row>
    <row r="161" customFormat="false" ht="15.75" hidden="false" customHeight="false" outlineLevel="0" collapsed="false">
      <c r="D161" s="13"/>
    </row>
    <row r="162" customFormat="false" ht="15.75" hidden="false" customHeight="false" outlineLevel="0" collapsed="false">
      <c r="D162" s="13"/>
    </row>
    <row r="163" customFormat="false" ht="15.75" hidden="false" customHeight="false" outlineLevel="0" collapsed="false">
      <c r="D163" s="13"/>
    </row>
    <row r="164" customFormat="false" ht="15.75" hidden="false" customHeight="false" outlineLevel="0" collapsed="false">
      <c r="D164" s="13"/>
    </row>
    <row r="165" customFormat="false" ht="15.75" hidden="false" customHeight="false" outlineLevel="0" collapsed="false">
      <c r="D165" s="13"/>
    </row>
    <row r="166" customFormat="false" ht="15.75" hidden="false" customHeight="false" outlineLevel="0" collapsed="false">
      <c r="D166" s="13"/>
    </row>
    <row r="167" customFormat="false" ht="15.75" hidden="false" customHeight="false" outlineLevel="0" collapsed="false">
      <c r="D167" s="13"/>
    </row>
    <row r="168" customFormat="false" ht="15.75" hidden="false" customHeight="false" outlineLevel="0" collapsed="false">
      <c r="D168" s="13"/>
    </row>
    <row r="169" customFormat="false" ht="15.75" hidden="false" customHeight="false" outlineLevel="0" collapsed="false">
      <c r="D169" s="13"/>
    </row>
    <row r="170" customFormat="false" ht="15.75" hidden="false" customHeight="false" outlineLevel="0" collapsed="false">
      <c r="D170" s="13"/>
    </row>
    <row r="171" customFormat="false" ht="15.75" hidden="false" customHeight="false" outlineLevel="0" collapsed="false">
      <c r="D171" s="13"/>
    </row>
    <row r="172" customFormat="false" ht="15.75" hidden="false" customHeight="false" outlineLevel="0" collapsed="false">
      <c r="D172" s="13"/>
    </row>
    <row r="173" customFormat="false" ht="15.75" hidden="false" customHeight="false" outlineLevel="0" collapsed="false">
      <c r="D173" s="13"/>
    </row>
    <row r="174" customFormat="false" ht="15.75" hidden="false" customHeight="false" outlineLevel="0" collapsed="false">
      <c r="D174" s="13"/>
    </row>
    <row r="175" customFormat="false" ht="15.75" hidden="false" customHeight="false" outlineLevel="0" collapsed="false">
      <c r="D175" s="13"/>
    </row>
    <row r="176" customFormat="false" ht="15.75" hidden="false" customHeight="false" outlineLevel="0" collapsed="false">
      <c r="D176" s="13"/>
    </row>
    <row r="177" customFormat="false" ht="15.75" hidden="false" customHeight="false" outlineLevel="0" collapsed="false">
      <c r="D177" s="13"/>
    </row>
    <row r="178" customFormat="false" ht="15.75" hidden="false" customHeight="false" outlineLevel="0" collapsed="false">
      <c r="D178" s="13"/>
    </row>
    <row r="179" customFormat="false" ht="15.75" hidden="false" customHeight="false" outlineLevel="0" collapsed="false">
      <c r="D179" s="13"/>
    </row>
    <row r="180" customFormat="false" ht="15.75" hidden="false" customHeight="false" outlineLevel="0" collapsed="false">
      <c r="D180" s="13"/>
    </row>
    <row r="181" customFormat="false" ht="15.75" hidden="false" customHeight="false" outlineLevel="0" collapsed="false">
      <c r="D181" s="13"/>
    </row>
    <row r="182" customFormat="false" ht="15.75" hidden="false" customHeight="false" outlineLevel="0" collapsed="false">
      <c r="D182" s="13"/>
    </row>
    <row r="183" customFormat="false" ht="15.75" hidden="false" customHeight="false" outlineLevel="0" collapsed="false">
      <c r="D183" s="13"/>
    </row>
    <row r="184" customFormat="false" ht="15.75" hidden="false" customHeight="false" outlineLevel="0" collapsed="false">
      <c r="D184" s="13"/>
    </row>
    <row r="185" customFormat="false" ht="15.75" hidden="false" customHeight="false" outlineLevel="0" collapsed="false">
      <c r="D185" s="13"/>
    </row>
    <row r="186" customFormat="false" ht="15.75" hidden="false" customHeight="false" outlineLevel="0" collapsed="false">
      <c r="D186" s="13"/>
    </row>
    <row r="187" customFormat="false" ht="15.75" hidden="false" customHeight="false" outlineLevel="0" collapsed="false">
      <c r="D187" s="13"/>
    </row>
    <row r="188" customFormat="false" ht="15.75" hidden="false" customHeight="false" outlineLevel="0" collapsed="false">
      <c r="D188" s="13"/>
    </row>
    <row r="189" customFormat="false" ht="15.75" hidden="false" customHeight="false" outlineLevel="0" collapsed="false">
      <c r="D189" s="13"/>
    </row>
    <row r="190" customFormat="false" ht="15.75" hidden="false" customHeight="false" outlineLevel="0" collapsed="false">
      <c r="D190" s="13"/>
    </row>
    <row r="191" customFormat="false" ht="15.75" hidden="false" customHeight="false" outlineLevel="0" collapsed="false">
      <c r="D191" s="13"/>
    </row>
    <row r="192" customFormat="false" ht="15.75" hidden="false" customHeight="false" outlineLevel="0" collapsed="false">
      <c r="D192" s="13"/>
    </row>
    <row r="193" customFormat="false" ht="15.75" hidden="false" customHeight="false" outlineLevel="0" collapsed="false">
      <c r="D193" s="13"/>
    </row>
    <row r="194" customFormat="false" ht="15.75" hidden="false" customHeight="false" outlineLevel="0" collapsed="false">
      <c r="D194" s="13"/>
    </row>
    <row r="195" customFormat="false" ht="15.75" hidden="false" customHeight="false" outlineLevel="0" collapsed="false">
      <c r="D195" s="13"/>
    </row>
    <row r="196" customFormat="false" ht="15.75" hidden="false" customHeight="false" outlineLevel="0" collapsed="false">
      <c r="D196" s="13"/>
    </row>
    <row r="197" customFormat="false" ht="15.75" hidden="false" customHeight="false" outlineLevel="0" collapsed="false">
      <c r="D197" s="13"/>
    </row>
    <row r="198" customFormat="false" ht="15.75" hidden="false" customHeight="false" outlineLevel="0" collapsed="false">
      <c r="D198" s="13"/>
    </row>
    <row r="199" customFormat="false" ht="15.75" hidden="false" customHeight="false" outlineLevel="0" collapsed="false">
      <c r="D199" s="13"/>
    </row>
    <row r="200" customFormat="false" ht="15.75" hidden="false" customHeight="false" outlineLevel="0" collapsed="false">
      <c r="D200" s="13"/>
    </row>
    <row r="201" customFormat="false" ht="15.75" hidden="false" customHeight="false" outlineLevel="0" collapsed="false">
      <c r="D201" s="13"/>
    </row>
    <row r="202" customFormat="false" ht="15.75" hidden="false" customHeight="false" outlineLevel="0" collapsed="false">
      <c r="D202" s="13"/>
    </row>
    <row r="203" customFormat="false" ht="15.75" hidden="false" customHeight="false" outlineLevel="0" collapsed="false">
      <c r="D203" s="13"/>
    </row>
    <row r="204" customFormat="false" ht="15.75" hidden="false" customHeight="false" outlineLevel="0" collapsed="false">
      <c r="D204" s="13"/>
    </row>
    <row r="205" customFormat="false" ht="15.75" hidden="false" customHeight="false" outlineLevel="0" collapsed="false">
      <c r="D205" s="13"/>
    </row>
    <row r="206" customFormat="false" ht="15.75" hidden="false" customHeight="false" outlineLevel="0" collapsed="false">
      <c r="D206" s="13"/>
    </row>
    <row r="207" customFormat="false" ht="15.75" hidden="false" customHeight="false" outlineLevel="0" collapsed="false">
      <c r="D207" s="13"/>
    </row>
    <row r="208" customFormat="false" ht="15.75" hidden="false" customHeight="false" outlineLevel="0" collapsed="false">
      <c r="D208" s="13"/>
    </row>
    <row r="209" customFormat="false" ht="15.75" hidden="false" customHeight="false" outlineLevel="0" collapsed="false">
      <c r="D209" s="13"/>
    </row>
    <row r="210" customFormat="false" ht="15.75" hidden="false" customHeight="false" outlineLevel="0" collapsed="false">
      <c r="D210" s="13"/>
    </row>
    <row r="211" customFormat="false" ht="15.75" hidden="false" customHeight="false" outlineLevel="0" collapsed="false">
      <c r="D211" s="13"/>
    </row>
    <row r="212" customFormat="false" ht="15.75" hidden="false" customHeight="false" outlineLevel="0" collapsed="false">
      <c r="D212" s="13"/>
    </row>
    <row r="213" customFormat="false" ht="15.75" hidden="false" customHeight="false" outlineLevel="0" collapsed="false">
      <c r="D213" s="13"/>
    </row>
    <row r="214" customFormat="false" ht="15.75" hidden="false" customHeight="false" outlineLevel="0" collapsed="false">
      <c r="D214" s="13"/>
    </row>
    <row r="215" customFormat="false" ht="15.75" hidden="false" customHeight="false" outlineLevel="0" collapsed="false">
      <c r="D215" s="13"/>
    </row>
    <row r="216" customFormat="false" ht="15.75" hidden="false" customHeight="false" outlineLevel="0" collapsed="false">
      <c r="D216" s="13"/>
    </row>
    <row r="217" customFormat="false" ht="15.75" hidden="false" customHeight="false" outlineLevel="0" collapsed="false">
      <c r="D217" s="13"/>
    </row>
    <row r="218" customFormat="false" ht="15.75" hidden="false" customHeight="false" outlineLevel="0" collapsed="false">
      <c r="D218" s="13"/>
    </row>
    <row r="219" customFormat="false" ht="15.75" hidden="false" customHeight="false" outlineLevel="0" collapsed="false">
      <c r="D219" s="13"/>
    </row>
    <row r="220" customFormat="false" ht="15.75" hidden="false" customHeight="false" outlineLevel="0" collapsed="false">
      <c r="D220" s="13"/>
    </row>
    <row r="221" customFormat="false" ht="15.75" hidden="false" customHeight="false" outlineLevel="0" collapsed="false">
      <c r="D221" s="13"/>
    </row>
    <row r="222" customFormat="false" ht="15.75" hidden="false" customHeight="false" outlineLevel="0" collapsed="false">
      <c r="D222" s="13"/>
    </row>
    <row r="223" customFormat="false" ht="15.75" hidden="false" customHeight="false" outlineLevel="0" collapsed="false">
      <c r="D223" s="13"/>
    </row>
    <row r="224" customFormat="false" ht="15.75" hidden="false" customHeight="false" outlineLevel="0" collapsed="false">
      <c r="D224" s="13"/>
    </row>
    <row r="225" customFormat="false" ht="15.75" hidden="false" customHeight="false" outlineLevel="0" collapsed="false">
      <c r="D225" s="13"/>
    </row>
    <row r="226" customFormat="false" ht="15.75" hidden="false" customHeight="false" outlineLevel="0" collapsed="false">
      <c r="D226" s="13"/>
    </row>
    <row r="227" customFormat="false" ht="15.75" hidden="false" customHeight="false" outlineLevel="0" collapsed="false">
      <c r="D227" s="13"/>
    </row>
    <row r="228" customFormat="false" ht="15.75" hidden="false" customHeight="false" outlineLevel="0" collapsed="false">
      <c r="D228" s="13"/>
    </row>
    <row r="229" customFormat="false" ht="15.75" hidden="false" customHeight="false" outlineLevel="0" collapsed="false">
      <c r="D229" s="13"/>
    </row>
    <row r="230" customFormat="false" ht="15.75" hidden="false" customHeight="false" outlineLevel="0" collapsed="false">
      <c r="D230" s="13"/>
    </row>
    <row r="231" customFormat="false" ht="15.75" hidden="false" customHeight="false" outlineLevel="0" collapsed="false">
      <c r="D231" s="13"/>
    </row>
    <row r="232" customFormat="false" ht="15.75" hidden="false" customHeight="false" outlineLevel="0" collapsed="false">
      <c r="D232" s="13"/>
    </row>
    <row r="233" customFormat="false" ht="15.75" hidden="false" customHeight="false" outlineLevel="0" collapsed="false">
      <c r="D233" s="13"/>
    </row>
    <row r="234" customFormat="false" ht="15.75" hidden="false" customHeight="false" outlineLevel="0" collapsed="false">
      <c r="D234" s="13"/>
    </row>
    <row r="235" customFormat="false" ht="15.75" hidden="false" customHeight="false" outlineLevel="0" collapsed="false">
      <c r="D235" s="13"/>
    </row>
    <row r="236" customFormat="false" ht="15.75" hidden="false" customHeight="false" outlineLevel="0" collapsed="false">
      <c r="D236" s="13"/>
    </row>
    <row r="237" customFormat="false" ht="15.75" hidden="false" customHeight="false" outlineLevel="0" collapsed="false">
      <c r="D237" s="13"/>
    </row>
    <row r="238" customFormat="false" ht="15.75" hidden="false" customHeight="false" outlineLevel="0" collapsed="false">
      <c r="D238" s="13"/>
    </row>
    <row r="239" customFormat="false" ht="15.75" hidden="false" customHeight="false" outlineLevel="0" collapsed="false">
      <c r="D239" s="13"/>
    </row>
    <row r="240" customFormat="false" ht="15.75" hidden="false" customHeight="false" outlineLevel="0" collapsed="false">
      <c r="D240" s="13"/>
    </row>
    <row r="241" customFormat="false" ht="15.75" hidden="false" customHeight="false" outlineLevel="0" collapsed="false">
      <c r="D241" s="13"/>
    </row>
    <row r="242" customFormat="false" ht="15.75" hidden="false" customHeight="false" outlineLevel="0" collapsed="false">
      <c r="D242" s="13"/>
    </row>
    <row r="243" customFormat="false" ht="15.75" hidden="false" customHeight="false" outlineLevel="0" collapsed="false">
      <c r="D243" s="13"/>
    </row>
    <row r="244" customFormat="false" ht="15.75" hidden="false" customHeight="false" outlineLevel="0" collapsed="false">
      <c r="D244" s="13"/>
    </row>
    <row r="245" customFormat="false" ht="15.75" hidden="false" customHeight="false" outlineLevel="0" collapsed="false">
      <c r="D245" s="13"/>
    </row>
    <row r="246" customFormat="false" ht="15.75" hidden="false" customHeight="false" outlineLevel="0" collapsed="false">
      <c r="D246" s="13"/>
    </row>
    <row r="247" customFormat="false" ht="15.75" hidden="false" customHeight="false" outlineLevel="0" collapsed="false">
      <c r="D247" s="13"/>
    </row>
    <row r="248" customFormat="false" ht="15.75" hidden="false" customHeight="false" outlineLevel="0" collapsed="false">
      <c r="D248" s="13"/>
    </row>
    <row r="249" customFormat="false" ht="15.75" hidden="false" customHeight="false" outlineLevel="0" collapsed="false">
      <c r="D249" s="13"/>
    </row>
    <row r="250" customFormat="false" ht="15.75" hidden="false" customHeight="false" outlineLevel="0" collapsed="false">
      <c r="D250" s="13"/>
    </row>
    <row r="251" customFormat="false" ht="15.75" hidden="false" customHeight="false" outlineLevel="0" collapsed="false">
      <c r="D251" s="13"/>
    </row>
    <row r="252" customFormat="false" ht="15.75" hidden="false" customHeight="false" outlineLevel="0" collapsed="false">
      <c r="D252" s="13"/>
    </row>
    <row r="253" customFormat="false" ht="15.75" hidden="false" customHeight="false" outlineLevel="0" collapsed="false">
      <c r="D253" s="13"/>
    </row>
    <row r="254" customFormat="false" ht="15.75" hidden="false" customHeight="false" outlineLevel="0" collapsed="false">
      <c r="D254" s="13"/>
    </row>
    <row r="255" customFormat="false" ht="15.75" hidden="false" customHeight="false" outlineLevel="0" collapsed="false">
      <c r="D255" s="13"/>
    </row>
    <row r="256" customFormat="false" ht="15.75" hidden="false" customHeight="false" outlineLevel="0" collapsed="false">
      <c r="D256" s="13"/>
    </row>
    <row r="257" customFormat="false" ht="15.75" hidden="false" customHeight="false" outlineLevel="0" collapsed="false">
      <c r="D257" s="13"/>
    </row>
    <row r="258" customFormat="false" ht="15.75" hidden="false" customHeight="false" outlineLevel="0" collapsed="false">
      <c r="D258" s="13"/>
    </row>
    <row r="259" customFormat="false" ht="15.75" hidden="false" customHeight="false" outlineLevel="0" collapsed="false">
      <c r="D259" s="13"/>
    </row>
    <row r="260" customFormat="false" ht="15.75" hidden="false" customHeight="false" outlineLevel="0" collapsed="false">
      <c r="D260" s="13"/>
    </row>
    <row r="261" customFormat="false" ht="15.75" hidden="false" customHeight="false" outlineLevel="0" collapsed="false">
      <c r="D261" s="13"/>
    </row>
    <row r="262" customFormat="false" ht="15.75" hidden="false" customHeight="false" outlineLevel="0" collapsed="false">
      <c r="D262" s="13"/>
    </row>
    <row r="263" customFormat="false" ht="15.75" hidden="false" customHeight="false" outlineLevel="0" collapsed="false">
      <c r="D263" s="13"/>
    </row>
    <row r="264" customFormat="false" ht="15.75" hidden="false" customHeight="false" outlineLevel="0" collapsed="false">
      <c r="D264" s="13"/>
    </row>
    <row r="265" customFormat="false" ht="15.75" hidden="false" customHeight="false" outlineLevel="0" collapsed="false">
      <c r="D265" s="13"/>
    </row>
    <row r="266" customFormat="false" ht="15.75" hidden="false" customHeight="false" outlineLevel="0" collapsed="false">
      <c r="D266" s="13"/>
    </row>
    <row r="267" customFormat="false" ht="15.75" hidden="false" customHeight="false" outlineLevel="0" collapsed="false">
      <c r="D267" s="13"/>
    </row>
    <row r="268" customFormat="false" ht="15.75" hidden="false" customHeight="false" outlineLevel="0" collapsed="false">
      <c r="D268" s="13"/>
    </row>
    <row r="269" customFormat="false" ht="15.75" hidden="false" customHeight="false" outlineLevel="0" collapsed="false">
      <c r="D269" s="13"/>
    </row>
    <row r="270" customFormat="false" ht="15.75" hidden="false" customHeight="false" outlineLevel="0" collapsed="false">
      <c r="D270" s="13"/>
    </row>
    <row r="271" customFormat="false" ht="15.75" hidden="false" customHeight="false" outlineLevel="0" collapsed="false">
      <c r="D271" s="13"/>
    </row>
    <row r="272" customFormat="false" ht="15.75" hidden="false" customHeight="false" outlineLevel="0" collapsed="false">
      <c r="D272" s="13"/>
    </row>
    <row r="273" customFormat="false" ht="15.75" hidden="false" customHeight="false" outlineLevel="0" collapsed="false">
      <c r="D273" s="13"/>
    </row>
    <row r="274" customFormat="false" ht="15.75" hidden="false" customHeight="false" outlineLevel="0" collapsed="false">
      <c r="D274" s="13"/>
    </row>
    <row r="275" customFormat="false" ht="15.75" hidden="false" customHeight="false" outlineLevel="0" collapsed="false">
      <c r="D275" s="13"/>
    </row>
    <row r="276" customFormat="false" ht="15.75" hidden="false" customHeight="false" outlineLevel="0" collapsed="false">
      <c r="D276" s="13"/>
    </row>
    <row r="277" customFormat="false" ht="15.75" hidden="false" customHeight="false" outlineLevel="0" collapsed="false">
      <c r="D277" s="13"/>
    </row>
    <row r="278" customFormat="false" ht="15.75" hidden="false" customHeight="false" outlineLevel="0" collapsed="false">
      <c r="D278" s="13"/>
    </row>
    <row r="279" customFormat="false" ht="15.75" hidden="false" customHeight="false" outlineLevel="0" collapsed="false">
      <c r="D279" s="13"/>
    </row>
    <row r="280" customFormat="false" ht="15.75" hidden="false" customHeight="false" outlineLevel="0" collapsed="false">
      <c r="D280" s="13"/>
    </row>
    <row r="281" customFormat="false" ht="15.75" hidden="false" customHeight="false" outlineLevel="0" collapsed="false">
      <c r="D281" s="13"/>
    </row>
    <row r="282" customFormat="false" ht="15.75" hidden="false" customHeight="false" outlineLevel="0" collapsed="false">
      <c r="D282" s="13"/>
    </row>
    <row r="283" customFormat="false" ht="15.75" hidden="false" customHeight="false" outlineLevel="0" collapsed="false">
      <c r="D283" s="13"/>
    </row>
    <row r="284" customFormat="false" ht="15.75" hidden="false" customHeight="false" outlineLevel="0" collapsed="false">
      <c r="D284" s="13"/>
    </row>
    <row r="285" customFormat="false" ht="15.75" hidden="false" customHeight="false" outlineLevel="0" collapsed="false">
      <c r="D285" s="13"/>
    </row>
    <row r="286" customFormat="false" ht="15.75" hidden="false" customHeight="false" outlineLevel="0" collapsed="false">
      <c r="D286" s="13"/>
    </row>
    <row r="287" customFormat="false" ht="15.75" hidden="false" customHeight="false" outlineLevel="0" collapsed="false">
      <c r="D287" s="13"/>
    </row>
    <row r="288" customFormat="false" ht="15.75" hidden="false" customHeight="false" outlineLevel="0" collapsed="false">
      <c r="D288" s="13"/>
    </row>
    <row r="289" customFormat="false" ht="15.75" hidden="false" customHeight="false" outlineLevel="0" collapsed="false">
      <c r="D289" s="13"/>
    </row>
    <row r="290" customFormat="false" ht="15.75" hidden="false" customHeight="false" outlineLevel="0" collapsed="false">
      <c r="D290" s="13"/>
    </row>
    <row r="291" customFormat="false" ht="15.75" hidden="false" customHeight="false" outlineLevel="0" collapsed="false">
      <c r="D291" s="13"/>
    </row>
    <row r="292" customFormat="false" ht="15.75" hidden="false" customHeight="false" outlineLevel="0" collapsed="false">
      <c r="D292" s="13"/>
    </row>
    <row r="293" customFormat="false" ht="15.75" hidden="false" customHeight="false" outlineLevel="0" collapsed="false">
      <c r="D293" s="13"/>
    </row>
    <row r="294" customFormat="false" ht="15.75" hidden="false" customHeight="false" outlineLevel="0" collapsed="false">
      <c r="D294" s="13"/>
    </row>
    <row r="295" customFormat="false" ht="15.75" hidden="false" customHeight="false" outlineLevel="0" collapsed="false">
      <c r="D295" s="13"/>
    </row>
    <row r="296" customFormat="false" ht="15.75" hidden="false" customHeight="false" outlineLevel="0" collapsed="false">
      <c r="D296" s="13"/>
    </row>
    <row r="297" customFormat="false" ht="15.75" hidden="false" customHeight="false" outlineLevel="0" collapsed="false">
      <c r="D297" s="13"/>
    </row>
    <row r="298" customFormat="false" ht="15.75" hidden="false" customHeight="false" outlineLevel="0" collapsed="false">
      <c r="D298" s="13"/>
    </row>
    <row r="299" customFormat="false" ht="15.75" hidden="false" customHeight="false" outlineLevel="0" collapsed="false">
      <c r="D299" s="13"/>
    </row>
    <row r="300" customFormat="false" ht="15.75" hidden="false" customHeight="false" outlineLevel="0" collapsed="false">
      <c r="D300" s="13"/>
    </row>
    <row r="301" customFormat="false" ht="15.75" hidden="false" customHeight="false" outlineLevel="0" collapsed="false">
      <c r="D301" s="13"/>
    </row>
    <row r="302" customFormat="false" ht="15.75" hidden="false" customHeight="false" outlineLevel="0" collapsed="false">
      <c r="D302" s="13"/>
    </row>
    <row r="303" customFormat="false" ht="15.75" hidden="false" customHeight="false" outlineLevel="0" collapsed="false">
      <c r="D303" s="13"/>
    </row>
    <row r="304" customFormat="false" ht="15.75" hidden="false" customHeight="false" outlineLevel="0" collapsed="false">
      <c r="D304" s="13"/>
    </row>
    <row r="305" customFormat="false" ht="15.75" hidden="false" customHeight="false" outlineLevel="0" collapsed="false">
      <c r="D305" s="13"/>
    </row>
    <row r="306" customFormat="false" ht="15.75" hidden="false" customHeight="false" outlineLevel="0" collapsed="false">
      <c r="D306" s="13"/>
    </row>
    <row r="307" customFormat="false" ht="15.75" hidden="false" customHeight="false" outlineLevel="0" collapsed="false">
      <c r="D307" s="13"/>
    </row>
    <row r="308" customFormat="false" ht="15.75" hidden="false" customHeight="false" outlineLevel="0" collapsed="false">
      <c r="D308" s="13"/>
    </row>
    <row r="309" customFormat="false" ht="15.75" hidden="false" customHeight="false" outlineLevel="0" collapsed="false">
      <c r="D309" s="13"/>
    </row>
    <row r="310" customFormat="false" ht="15.75" hidden="false" customHeight="false" outlineLevel="0" collapsed="false">
      <c r="D310" s="13"/>
    </row>
    <row r="311" customFormat="false" ht="15.75" hidden="false" customHeight="false" outlineLevel="0" collapsed="false">
      <c r="D311" s="13"/>
    </row>
    <row r="312" customFormat="false" ht="15.75" hidden="false" customHeight="false" outlineLevel="0" collapsed="false">
      <c r="D312" s="13"/>
    </row>
    <row r="313" customFormat="false" ht="15.75" hidden="false" customHeight="false" outlineLevel="0" collapsed="false">
      <c r="D313" s="13"/>
    </row>
    <row r="314" customFormat="false" ht="15.75" hidden="false" customHeight="false" outlineLevel="0" collapsed="false">
      <c r="D314" s="13"/>
    </row>
    <row r="315" customFormat="false" ht="15.75" hidden="false" customHeight="false" outlineLevel="0" collapsed="false">
      <c r="D315" s="13"/>
    </row>
    <row r="316" customFormat="false" ht="15.75" hidden="false" customHeight="false" outlineLevel="0" collapsed="false">
      <c r="D316" s="13"/>
    </row>
    <row r="317" customFormat="false" ht="15.75" hidden="false" customHeight="false" outlineLevel="0" collapsed="false">
      <c r="D317" s="13"/>
    </row>
    <row r="318" customFormat="false" ht="15.75" hidden="false" customHeight="false" outlineLevel="0" collapsed="false">
      <c r="D318" s="13"/>
    </row>
    <row r="319" customFormat="false" ht="15.75" hidden="false" customHeight="false" outlineLevel="0" collapsed="false">
      <c r="D319" s="13"/>
    </row>
    <row r="320" customFormat="false" ht="15.75" hidden="false" customHeight="false" outlineLevel="0" collapsed="false">
      <c r="D320" s="13"/>
    </row>
    <row r="321" customFormat="false" ht="15.75" hidden="false" customHeight="false" outlineLevel="0" collapsed="false">
      <c r="D321" s="13"/>
    </row>
    <row r="322" customFormat="false" ht="15.75" hidden="false" customHeight="false" outlineLevel="0" collapsed="false">
      <c r="D322" s="13"/>
    </row>
    <row r="323" customFormat="false" ht="15.75" hidden="false" customHeight="false" outlineLevel="0" collapsed="false">
      <c r="D323" s="13"/>
    </row>
    <row r="324" customFormat="false" ht="15.75" hidden="false" customHeight="false" outlineLevel="0" collapsed="false">
      <c r="D324" s="13"/>
    </row>
    <row r="325" customFormat="false" ht="15.75" hidden="false" customHeight="false" outlineLevel="0" collapsed="false">
      <c r="D325" s="13"/>
    </row>
    <row r="326" customFormat="false" ht="15.75" hidden="false" customHeight="false" outlineLevel="0" collapsed="false">
      <c r="D326" s="13"/>
    </row>
    <row r="327" customFormat="false" ht="15.75" hidden="false" customHeight="false" outlineLevel="0" collapsed="false">
      <c r="D327" s="13"/>
    </row>
    <row r="328" customFormat="false" ht="15.75" hidden="false" customHeight="false" outlineLevel="0" collapsed="false">
      <c r="D328" s="13"/>
    </row>
    <row r="329" customFormat="false" ht="15.75" hidden="false" customHeight="false" outlineLevel="0" collapsed="false">
      <c r="D329" s="13"/>
    </row>
    <row r="330" customFormat="false" ht="15.75" hidden="false" customHeight="false" outlineLevel="0" collapsed="false">
      <c r="D330" s="13"/>
    </row>
    <row r="331" customFormat="false" ht="15.75" hidden="false" customHeight="false" outlineLevel="0" collapsed="false">
      <c r="D331" s="13"/>
    </row>
    <row r="332" customFormat="false" ht="15.75" hidden="false" customHeight="false" outlineLevel="0" collapsed="false">
      <c r="D332" s="13"/>
    </row>
    <row r="333" customFormat="false" ht="15.75" hidden="false" customHeight="false" outlineLevel="0" collapsed="false">
      <c r="D333" s="13"/>
    </row>
    <row r="334" customFormat="false" ht="15.75" hidden="false" customHeight="false" outlineLevel="0" collapsed="false">
      <c r="D334" s="13"/>
    </row>
    <row r="335" customFormat="false" ht="15.75" hidden="false" customHeight="false" outlineLevel="0" collapsed="false">
      <c r="D335" s="13"/>
    </row>
    <row r="336" customFormat="false" ht="15.75" hidden="false" customHeight="false" outlineLevel="0" collapsed="false">
      <c r="D336" s="13"/>
    </row>
    <row r="337" customFormat="false" ht="15.75" hidden="false" customHeight="false" outlineLevel="0" collapsed="false">
      <c r="D337" s="13"/>
    </row>
    <row r="338" customFormat="false" ht="15.75" hidden="false" customHeight="false" outlineLevel="0" collapsed="false">
      <c r="D338" s="13"/>
    </row>
    <row r="339" customFormat="false" ht="15.75" hidden="false" customHeight="false" outlineLevel="0" collapsed="false">
      <c r="D339" s="13"/>
    </row>
    <row r="340" customFormat="false" ht="15.75" hidden="false" customHeight="false" outlineLevel="0" collapsed="false">
      <c r="D340" s="13"/>
    </row>
    <row r="341" customFormat="false" ht="15.75" hidden="false" customHeight="false" outlineLevel="0" collapsed="false">
      <c r="D341" s="13"/>
    </row>
    <row r="342" customFormat="false" ht="15.75" hidden="false" customHeight="false" outlineLevel="0" collapsed="false">
      <c r="D342" s="13"/>
    </row>
    <row r="343" customFormat="false" ht="15.75" hidden="false" customHeight="false" outlineLevel="0" collapsed="false">
      <c r="D343" s="13"/>
    </row>
    <row r="344" customFormat="false" ht="15.75" hidden="false" customHeight="false" outlineLevel="0" collapsed="false">
      <c r="D344" s="13"/>
    </row>
    <row r="345" customFormat="false" ht="15.75" hidden="false" customHeight="false" outlineLevel="0" collapsed="false">
      <c r="D345" s="13"/>
    </row>
    <row r="346" customFormat="false" ht="15.75" hidden="false" customHeight="false" outlineLevel="0" collapsed="false">
      <c r="D346" s="13"/>
    </row>
    <row r="347" customFormat="false" ht="15.75" hidden="false" customHeight="false" outlineLevel="0" collapsed="false">
      <c r="D347" s="13"/>
    </row>
    <row r="348" customFormat="false" ht="15.75" hidden="false" customHeight="false" outlineLevel="0" collapsed="false">
      <c r="D348" s="13"/>
    </row>
    <row r="349" customFormat="false" ht="15.75" hidden="false" customHeight="false" outlineLevel="0" collapsed="false">
      <c r="D349" s="13"/>
    </row>
    <row r="350" customFormat="false" ht="15.75" hidden="false" customHeight="false" outlineLevel="0" collapsed="false">
      <c r="D350" s="13"/>
    </row>
    <row r="351" customFormat="false" ht="15.75" hidden="false" customHeight="false" outlineLevel="0" collapsed="false">
      <c r="D351" s="13"/>
    </row>
    <row r="352" customFormat="false" ht="15.75" hidden="false" customHeight="false" outlineLevel="0" collapsed="false">
      <c r="D352" s="13"/>
    </row>
    <row r="353" customFormat="false" ht="15.75" hidden="false" customHeight="false" outlineLevel="0" collapsed="false">
      <c r="D353" s="13"/>
    </row>
    <row r="354" customFormat="false" ht="15.75" hidden="false" customHeight="false" outlineLevel="0" collapsed="false">
      <c r="D354" s="13"/>
    </row>
    <row r="355" customFormat="false" ht="15.75" hidden="false" customHeight="false" outlineLevel="0" collapsed="false">
      <c r="D355" s="13"/>
    </row>
    <row r="356" customFormat="false" ht="15.75" hidden="false" customHeight="false" outlineLevel="0" collapsed="false">
      <c r="D356" s="13"/>
    </row>
    <row r="357" customFormat="false" ht="15.75" hidden="false" customHeight="false" outlineLevel="0" collapsed="false">
      <c r="D357" s="13"/>
    </row>
    <row r="358" customFormat="false" ht="15.75" hidden="false" customHeight="false" outlineLevel="0" collapsed="false">
      <c r="D358" s="13"/>
    </row>
    <row r="359" customFormat="false" ht="15.75" hidden="false" customHeight="false" outlineLevel="0" collapsed="false">
      <c r="D359" s="13"/>
    </row>
    <row r="360" customFormat="false" ht="15.75" hidden="false" customHeight="false" outlineLevel="0" collapsed="false">
      <c r="D360" s="13"/>
    </row>
    <row r="361" customFormat="false" ht="15.75" hidden="false" customHeight="false" outlineLevel="0" collapsed="false">
      <c r="D361" s="13"/>
    </row>
    <row r="362" customFormat="false" ht="15.75" hidden="false" customHeight="false" outlineLevel="0" collapsed="false">
      <c r="D362" s="13"/>
    </row>
    <row r="363" customFormat="false" ht="15.75" hidden="false" customHeight="false" outlineLevel="0" collapsed="false">
      <c r="D363" s="13"/>
    </row>
    <row r="364" customFormat="false" ht="15.75" hidden="false" customHeight="false" outlineLevel="0" collapsed="false">
      <c r="D364" s="13"/>
    </row>
    <row r="365" customFormat="false" ht="15.75" hidden="false" customHeight="false" outlineLevel="0" collapsed="false">
      <c r="D365" s="13"/>
    </row>
    <row r="366" customFormat="false" ht="15.75" hidden="false" customHeight="false" outlineLevel="0" collapsed="false">
      <c r="D366" s="13"/>
    </row>
    <row r="367" customFormat="false" ht="15.75" hidden="false" customHeight="false" outlineLevel="0" collapsed="false">
      <c r="D367" s="13"/>
    </row>
    <row r="368" customFormat="false" ht="15.75" hidden="false" customHeight="false" outlineLevel="0" collapsed="false">
      <c r="D368" s="13"/>
    </row>
    <row r="369" customFormat="false" ht="15.75" hidden="false" customHeight="false" outlineLevel="0" collapsed="false">
      <c r="D369" s="13"/>
    </row>
    <row r="370" customFormat="false" ht="15.75" hidden="false" customHeight="false" outlineLevel="0" collapsed="false">
      <c r="D370" s="13"/>
    </row>
    <row r="371" customFormat="false" ht="15.75" hidden="false" customHeight="false" outlineLevel="0" collapsed="false">
      <c r="D371" s="13"/>
    </row>
    <row r="372" customFormat="false" ht="15.75" hidden="false" customHeight="false" outlineLevel="0" collapsed="false">
      <c r="D372" s="13"/>
    </row>
    <row r="373" customFormat="false" ht="15.75" hidden="false" customHeight="false" outlineLevel="0" collapsed="false">
      <c r="D373" s="13"/>
    </row>
    <row r="374" customFormat="false" ht="15.75" hidden="false" customHeight="false" outlineLevel="0" collapsed="false">
      <c r="D374" s="13"/>
    </row>
    <row r="375" customFormat="false" ht="15.75" hidden="false" customHeight="false" outlineLevel="0" collapsed="false">
      <c r="D375" s="13"/>
    </row>
    <row r="376" customFormat="false" ht="15.75" hidden="false" customHeight="false" outlineLevel="0" collapsed="false">
      <c r="D376" s="13"/>
    </row>
    <row r="377" customFormat="false" ht="15.75" hidden="false" customHeight="false" outlineLevel="0" collapsed="false">
      <c r="D377" s="13"/>
    </row>
    <row r="378" customFormat="false" ht="15.75" hidden="false" customHeight="false" outlineLevel="0" collapsed="false">
      <c r="D378" s="13"/>
    </row>
    <row r="379" customFormat="false" ht="15.75" hidden="false" customHeight="false" outlineLevel="0" collapsed="false">
      <c r="D379" s="13"/>
    </row>
    <row r="380" customFormat="false" ht="15.75" hidden="false" customHeight="false" outlineLevel="0" collapsed="false">
      <c r="D380" s="13"/>
    </row>
    <row r="381" customFormat="false" ht="15.75" hidden="false" customHeight="false" outlineLevel="0" collapsed="false">
      <c r="D381" s="13"/>
    </row>
    <row r="382" customFormat="false" ht="15.75" hidden="false" customHeight="false" outlineLevel="0" collapsed="false">
      <c r="D382" s="13"/>
    </row>
    <row r="383" customFormat="false" ht="15.75" hidden="false" customHeight="false" outlineLevel="0" collapsed="false">
      <c r="D383" s="13"/>
    </row>
    <row r="384" customFormat="false" ht="15.75" hidden="false" customHeight="false" outlineLevel="0" collapsed="false">
      <c r="D384" s="13"/>
    </row>
    <row r="385" customFormat="false" ht="15.75" hidden="false" customHeight="false" outlineLevel="0" collapsed="false">
      <c r="D385" s="13"/>
    </row>
    <row r="386" customFormat="false" ht="15.75" hidden="false" customHeight="false" outlineLevel="0" collapsed="false">
      <c r="D386" s="13"/>
    </row>
    <row r="387" customFormat="false" ht="15.75" hidden="false" customHeight="false" outlineLevel="0" collapsed="false">
      <c r="D387" s="13"/>
    </row>
    <row r="388" customFormat="false" ht="15.75" hidden="false" customHeight="false" outlineLevel="0" collapsed="false">
      <c r="D388" s="13"/>
    </row>
    <row r="389" customFormat="false" ht="15.75" hidden="false" customHeight="false" outlineLevel="0" collapsed="false">
      <c r="D389" s="13"/>
    </row>
    <row r="390" customFormat="false" ht="15.75" hidden="false" customHeight="false" outlineLevel="0" collapsed="false">
      <c r="D390" s="13"/>
    </row>
    <row r="391" customFormat="false" ht="15.75" hidden="false" customHeight="false" outlineLevel="0" collapsed="false">
      <c r="D391" s="13"/>
    </row>
    <row r="392" customFormat="false" ht="15.75" hidden="false" customHeight="false" outlineLevel="0" collapsed="false">
      <c r="D392" s="13"/>
    </row>
    <row r="393" customFormat="false" ht="15.75" hidden="false" customHeight="false" outlineLevel="0" collapsed="false">
      <c r="D393" s="13"/>
    </row>
    <row r="394" customFormat="false" ht="15.75" hidden="false" customHeight="false" outlineLevel="0" collapsed="false">
      <c r="D394" s="13"/>
    </row>
    <row r="395" customFormat="false" ht="15.75" hidden="false" customHeight="false" outlineLevel="0" collapsed="false">
      <c r="D395" s="13"/>
    </row>
    <row r="396" customFormat="false" ht="15.75" hidden="false" customHeight="false" outlineLevel="0" collapsed="false">
      <c r="D396" s="13"/>
    </row>
    <row r="397" customFormat="false" ht="15.75" hidden="false" customHeight="false" outlineLevel="0" collapsed="false">
      <c r="D397" s="13"/>
    </row>
    <row r="398" customFormat="false" ht="15.75" hidden="false" customHeight="false" outlineLevel="0" collapsed="false">
      <c r="D398" s="13"/>
    </row>
    <row r="399" customFormat="false" ht="15.75" hidden="false" customHeight="false" outlineLevel="0" collapsed="false">
      <c r="D399" s="13"/>
    </row>
    <row r="400" customFormat="false" ht="15.75" hidden="false" customHeight="false" outlineLevel="0" collapsed="false">
      <c r="D400" s="13"/>
    </row>
    <row r="401" customFormat="false" ht="15.75" hidden="false" customHeight="false" outlineLevel="0" collapsed="false">
      <c r="D401" s="13"/>
    </row>
    <row r="402" customFormat="false" ht="15.75" hidden="false" customHeight="false" outlineLevel="0" collapsed="false">
      <c r="D402" s="13"/>
    </row>
    <row r="403" customFormat="false" ht="15.75" hidden="false" customHeight="false" outlineLevel="0" collapsed="false">
      <c r="D403" s="13"/>
    </row>
    <row r="404" customFormat="false" ht="15.75" hidden="false" customHeight="false" outlineLevel="0" collapsed="false">
      <c r="D404" s="13"/>
    </row>
    <row r="405" customFormat="false" ht="15.75" hidden="false" customHeight="false" outlineLevel="0" collapsed="false">
      <c r="D405" s="13"/>
    </row>
    <row r="406" customFormat="false" ht="15.75" hidden="false" customHeight="false" outlineLevel="0" collapsed="false">
      <c r="D406" s="13"/>
    </row>
    <row r="407" customFormat="false" ht="15.75" hidden="false" customHeight="false" outlineLevel="0" collapsed="false">
      <c r="D407" s="13"/>
    </row>
    <row r="408" customFormat="false" ht="15.75" hidden="false" customHeight="false" outlineLevel="0" collapsed="false">
      <c r="D408" s="13"/>
    </row>
    <row r="409" customFormat="false" ht="15.75" hidden="false" customHeight="false" outlineLevel="0" collapsed="false">
      <c r="D409" s="13"/>
    </row>
    <row r="410" customFormat="false" ht="15.75" hidden="false" customHeight="false" outlineLevel="0" collapsed="false">
      <c r="D410" s="13"/>
    </row>
    <row r="411" customFormat="false" ht="15.75" hidden="false" customHeight="false" outlineLevel="0" collapsed="false">
      <c r="D411" s="13"/>
    </row>
    <row r="412" customFormat="false" ht="15.75" hidden="false" customHeight="false" outlineLevel="0" collapsed="false">
      <c r="D412" s="13"/>
    </row>
    <row r="413" customFormat="false" ht="15.75" hidden="false" customHeight="false" outlineLevel="0" collapsed="false">
      <c r="D413" s="13"/>
    </row>
    <row r="414" customFormat="false" ht="15.75" hidden="false" customHeight="false" outlineLevel="0" collapsed="false">
      <c r="D414" s="13"/>
    </row>
    <row r="415" customFormat="false" ht="15.75" hidden="false" customHeight="false" outlineLevel="0" collapsed="false">
      <c r="D415" s="13"/>
    </row>
    <row r="416" customFormat="false" ht="15.75" hidden="false" customHeight="false" outlineLevel="0" collapsed="false">
      <c r="D416" s="13"/>
    </row>
    <row r="417" customFormat="false" ht="15.75" hidden="false" customHeight="false" outlineLevel="0" collapsed="false">
      <c r="D417" s="13"/>
    </row>
    <row r="418" customFormat="false" ht="15.75" hidden="false" customHeight="false" outlineLevel="0" collapsed="false">
      <c r="D418" s="13"/>
    </row>
    <row r="419" customFormat="false" ht="15.75" hidden="false" customHeight="false" outlineLevel="0" collapsed="false">
      <c r="D419" s="13"/>
    </row>
    <row r="420" customFormat="false" ht="15.75" hidden="false" customHeight="false" outlineLevel="0" collapsed="false">
      <c r="D420" s="13"/>
    </row>
    <row r="421" customFormat="false" ht="15.75" hidden="false" customHeight="false" outlineLevel="0" collapsed="false">
      <c r="D421" s="13"/>
    </row>
    <row r="422" customFormat="false" ht="15.75" hidden="false" customHeight="false" outlineLevel="0" collapsed="false">
      <c r="D422" s="13"/>
    </row>
    <row r="423" customFormat="false" ht="15.75" hidden="false" customHeight="false" outlineLevel="0" collapsed="false">
      <c r="D423" s="13"/>
    </row>
    <row r="424" customFormat="false" ht="15.75" hidden="false" customHeight="false" outlineLevel="0" collapsed="false">
      <c r="D424" s="13"/>
    </row>
    <row r="425" customFormat="false" ht="15.75" hidden="false" customHeight="false" outlineLevel="0" collapsed="false">
      <c r="D425" s="13"/>
    </row>
    <row r="426" customFormat="false" ht="15.75" hidden="false" customHeight="false" outlineLevel="0" collapsed="false">
      <c r="D426" s="13"/>
    </row>
    <row r="427" customFormat="false" ht="15.75" hidden="false" customHeight="false" outlineLevel="0" collapsed="false">
      <c r="D427" s="13"/>
    </row>
    <row r="428" customFormat="false" ht="15.75" hidden="false" customHeight="false" outlineLevel="0" collapsed="false">
      <c r="D428" s="13"/>
    </row>
    <row r="429" customFormat="false" ht="15.75" hidden="false" customHeight="false" outlineLevel="0" collapsed="false">
      <c r="D429" s="13"/>
    </row>
    <row r="430" customFormat="false" ht="15.75" hidden="false" customHeight="false" outlineLevel="0" collapsed="false">
      <c r="D430" s="13"/>
    </row>
    <row r="431" customFormat="false" ht="15.75" hidden="false" customHeight="false" outlineLevel="0" collapsed="false">
      <c r="D431" s="13"/>
    </row>
    <row r="432" customFormat="false" ht="15.75" hidden="false" customHeight="false" outlineLevel="0" collapsed="false">
      <c r="D432" s="13"/>
    </row>
    <row r="433" customFormat="false" ht="15.75" hidden="false" customHeight="false" outlineLevel="0" collapsed="false">
      <c r="D433" s="13"/>
    </row>
    <row r="434" customFormat="false" ht="15.75" hidden="false" customHeight="false" outlineLevel="0" collapsed="false">
      <c r="D434" s="13"/>
    </row>
    <row r="435" customFormat="false" ht="15.75" hidden="false" customHeight="false" outlineLevel="0" collapsed="false">
      <c r="D435" s="13"/>
    </row>
    <row r="436" customFormat="false" ht="15.75" hidden="false" customHeight="false" outlineLevel="0" collapsed="false">
      <c r="D436" s="13"/>
    </row>
    <row r="437" customFormat="false" ht="15.75" hidden="false" customHeight="false" outlineLevel="0" collapsed="false">
      <c r="D437" s="13"/>
    </row>
    <row r="438" customFormat="false" ht="15.75" hidden="false" customHeight="false" outlineLevel="0" collapsed="false">
      <c r="D438" s="13"/>
    </row>
    <row r="439" customFormat="false" ht="15.75" hidden="false" customHeight="false" outlineLevel="0" collapsed="false">
      <c r="D439" s="13"/>
    </row>
    <row r="440" customFormat="false" ht="15.75" hidden="false" customHeight="false" outlineLevel="0" collapsed="false">
      <c r="D440" s="13"/>
    </row>
    <row r="441" customFormat="false" ht="15.75" hidden="false" customHeight="false" outlineLevel="0" collapsed="false">
      <c r="D441" s="13"/>
    </row>
    <row r="442" customFormat="false" ht="15.75" hidden="false" customHeight="false" outlineLevel="0" collapsed="false">
      <c r="D442" s="13"/>
    </row>
    <row r="443" customFormat="false" ht="15.75" hidden="false" customHeight="false" outlineLevel="0" collapsed="false">
      <c r="D443" s="13"/>
    </row>
    <row r="444" customFormat="false" ht="15.75" hidden="false" customHeight="false" outlineLevel="0" collapsed="false">
      <c r="D444" s="13"/>
    </row>
    <row r="445" customFormat="false" ht="15.75" hidden="false" customHeight="false" outlineLevel="0" collapsed="false">
      <c r="D445" s="13"/>
    </row>
    <row r="446" customFormat="false" ht="15.75" hidden="false" customHeight="false" outlineLevel="0" collapsed="false">
      <c r="D446" s="13"/>
    </row>
    <row r="447" customFormat="false" ht="15.75" hidden="false" customHeight="false" outlineLevel="0" collapsed="false">
      <c r="D447" s="13"/>
    </row>
    <row r="448" customFormat="false" ht="15.75" hidden="false" customHeight="false" outlineLevel="0" collapsed="false">
      <c r="D448" s="13"/>
    </row>
    <row r="449" customFormat="false" ht="15.75" hidden="false" customHeight="false" outlineLevel="0" collapsed="false">
      <c r="D449" s="13"/>
    </row>
    <row r="450" customFormat="false" ht="15.75" hidden="false" customHeight="false" outlineLevel="0" collapsed="false">
      <c r="D450" s="13"/>
    </row>
    <row r="451" customFormat="false" ht="15.75" hidden="false" customHeight="false" outlineLevel="0" collapsed="false">
      <c r="D451" s="13"/>
    </row>
    <row r="452" customFormat="false" ht="15.75" hidden="false" customHeight="false" outlineLevel="0" collapsed="false">
      <c r="D452" s="13"/>
    </row>
    <row r="453" customFormat="false" ht="15.75" hidden="false" customHeight="false" outlineLevel="0" collapsed="false">
      <c r="D453" s="13"/>
    </row>
    <row r="454" customFormat="false" ht="15.75" hidden="false" customHeight="false" outlineLevel="0" collapsed="false">
      <c r="D454" s="13"/>
    </row>
    <row r="455" customFormat="false" ht="15.75" hidden="false" customHeight="false" outlineLevel="0" collapsed="false">
      <c r="D455" s="13"/>
    </row>
    <row r="456" customFormat="false" ht="15.75" hidden="false" customHeight="false" outlineLevel="0" collapsed="false">
      <c r="D456" s="13"/>
    </row>
    <row r="457" customFormat="false" ht="15.75" hidden="false" customHeight="false" outlineLevel="0" collapsed="false">
      <c r="D457" s="13"/>
    </row>
    <row r="458" customFormat="false" ht="15.75" hidden="false" customHeight="false" outlineLevel="0" collapsed="false">
      <c r="D458" s="13"/>
    </row>
    <row r="459" customFormat="false" ht="15.75" hidden="false" customHeight="false" outlineLevel="0" collapsed="false">
      <c r="D459" s="13"/>
    </row>
    <row r="460" customFormat="false" ht="15.75" hidden="false" customHeight="false" outlineLevel="0" collapsed="false">
      <c r="D460" s="13"/>
    </row>
    <row r="461" customFormat="false" ht="15.75" hidden="false" customHeight="false" outlineLevel="0" collapsed="false">
      <c r="D461" s="13"/>
    </row>
    <row r="462" customFormat="false" ht="15.75" hidden="false" customHeight="false" outlineLevel="0" collapsed="false">
      <c r="D462" s="13"/>
    </row>
    <row r="463" customFormat="false" ht="15.75" hidden="false" customHeight="false" outlineLevel="0" collapsed="false">
      <c r="D463" s="13"/>
    </row>
    <row r="464" customFormat="false" ht="15.75" hidden="false" customHeight="false" outlineLevel="0" collapsed="false">
      <c r="D464" s="13"/>
    </row>
    <row r="465" customFormat="false" ht="15.75" hidden="false" customHeight="false" outlineLevel="0" collapsed="false">
      <c r="D465" s="13"/>
    </row>
    <row r="466" customFormat="false" ht="15.75" hidden="false" customHeight="false" outlineLevel="0" collapsed="false">
      <c r="D466" s="13"/>
    </row>
    <row r="467" customFormat="false" ht="15.75" hidden="false" customHeight="false" outlineLevel="0" collapsed="false">
      <c r="D467" s="13"/>
    </row>
    <row r="468" customFormat="false" ht="15.75" hidden="false" customHeight="false" outlineLevel="0" collapsed="false">
      <c r="D468" s="13"/>
    </row>
    <row r="469" customFormat="false" ht="15.75" hidden="false" customHeight="false" outlineLevel="0" collapsed="false">
      <c r="D469" s="13"/>
    </row>
    <row r="470" customFormat="false" ht="15.75" hidden="false" customHeight="false" outlineLevel="0" collapsed="false">
      <c r="D470" s="13"/>
    </row>
    <row r="471" customFormat="false" ht="15.75" hidden="false" customHeight="false" outlineLevel="0" collapsed="false">
      <c r="D471" s="13"/>
    </row>
    <row r="472" customFormat="false" ht="15.75" hidden="false" customHeight="false" outlineLevel="0" collapsed="false">
      <c r="D472" s="13"/>
    </row>
    <row r="473" customFormat="false" ht="15.75" hidden="false" customHeight="false" outlineLevel="0" collapsed="false">
      <c r="D473" s="13"/>
    </row>
    <row r="474" customFormat="false" ht="15.75" hidden="false" customHeight="false" outlineLevel="0" collapsed="false">
      <c r="D474" s="13"/>
    </row>
    <row r="475" customFormat="false" ht="15.75" hidden="false" customHeight="false" outlineLevel="0" collapsed="false">
      <c r="D475" s="13"/>
    </row>
    <row r="476" customFormat="false" ht="15.75" hidden="false" customHeight="false" outlineLevel="0" collapsed="false">
      <c r="D476" s="13"/>
    </row>
    <row r="477" customFormat="false" ht="15.75" hidden="false" customHeight="false" outlineLevel="0" collapsed="false">
      <c r="D477" s="13"/>
    </row>
    <row r="478" customFormat="false" ht="15.75" hidden="false" customHeight="false" outlineLevel="0" collapsed="false">
      <c r="D478" s="13"/>
    </row>
    <row r="479" customFormat="false" ht="15.75" hidden="false" customHeight="false" outlineLevel="0" collapsed="false">
      <c r="D479" s="13"/>
    </row>
    <row r="480" customFormat="false" ht="15.75" hidden="false" customHeight="false" outlineLevel="0" collapsed="false">
      <c r="D480" s="13"/>
    </row>
    <row r="481" customFormat="false" ht="15.75" hidden="false" customHeight="false" outlineLevel="0" collapsed="false">
      <c r="D481" s="13"/>
    </row>
    <row r="482" customFormat="false" ht="15.75" hidden="false" customHeight="false" outlineLevel="0" collapsed="false">
      <c r="D482" s="13"/>
    </row>
    <row r="483" customFormat="false" ht="15.75" hidden="false" customHeight="false" outlineLevel="0" collapsed="false">
      <c r="D483" s="13"/>
    </row>
    <row r="484" customFormat="false" ht="15.75" hidden="false" customHeight="false" outlineLevel="0" collapsed="false">
      <c r="D484" s="13"/>
    </row>
    <row r="485" customFormat="false" ht="15.75" hidden="false" customHeight="false" outlineLevel="0" collapsed="false">
      <c r="D485" s="13"/>
    </row>
    <row r="486" customFormat="false" ht="15.75" hidden="false" customHeight="false" outlineLevel="0" collapsed="false">
      <c r="D486" s="13"/>
    </row>
    <row r="487" customFormat="false" ht="15.75" hidden="false" customHeight="false" outlineLevel="0" collapsed="false">
      <c r="D487" s="13"/>
    </row>
    <row r="488" customFormat="false" ht="15.75" hidden="false" customHeight="false" outlineLevel="0" collapsed="false">
      <c r="D488" s="13"/>
    </row>
    <row r="489" customFormat="false" ht="15.75" hidden="false" customHeight="false" outlineLevel="0" collapsed="false">
      <c r="D489" s="13"/>
    </row>
    <row r="490" customFormat="false" ht="15.75" hidden="false" customHeight="false" outlineLevel="0" collapsed="false">
      <c r="D490" s="13"/>
    </row>
    <row r="491" customFormat="false" ht="15.75" hidden="false" customHeight="false" outlineLevel="0" collapsed="false">
      <c r="D491" s="13"/>
    </row>
    <row r="492" customFormat="false" ht="15.75" hidden="false" customHeight="false" outlineLevel="0" collapsed="false">
      <c r="D492" s="13"/>
    </row>
    <row r="493" customFormat="false" ht="15.75" hidden="false" customHeight="false" outlineLevel="0" collapsed="false">
      <c r="D493" s="13"/>
    </row>
    <row r="494" customFormat="false" ht="15.75" hidden="false" customHeight="false" outlineLevel="0" collapsed="false">
      <c r="D494" s="13"/>
    </row>
    <row r="495" customFormat="false" ht="15.75" hidden="false" customHeight="false" outlineLevel="0" collapsed="false">
      <c r="D495" s="13"/>
    </row>
    <row r="496" customFormat="false" ht="15.75" hidden="false" customHeight="false" outlineLevel="0" collapsed="false">
      <c r="D496" s="13"/>
    </row>
    <row r="497" customFormat="false" ht="15.75" hidden="false" customHeight="false" outlineLevel="0" collapsed="false">
      <c r="D497" s="13"/>
    </row>
    <row r="498" customFormat="false" ht="15.75" hidden="false" customHeight="false" outlineLevel="0" collapsed="false">
      <c r="D498" s="13"/>
    </row>
    <row r="499" customFormat="false" ht="15.75" hidden="false" customHeight="false" outlineLevel="0" collapsed="false">
      <c r="D499" s="13"/>
    </row>
    <row r="500" customFormat="false" ht="15.75" hidden="false" customHeight="false" outlineLevel="0" collapsed="false">
      <c r="D500" s="13"/>
    </row>
    <row r="501" customFormat="false" ht="15.75" hidden="false" customHeight="false" outlineLevel="0" collapsed="false">
      <c r="D501" s="13"/>
    </row>
    <row r="502" customFormat="false" ht="15.75" hidden="false" customHeight="false" outlineLevel="0" collapsed="false">
      <c r="D502" s="13"/>
    </row>
    <row r="503" customFormat="false" ht="15.75" hidden="false" customHeight="false" outlineLevel="0" collapsed="false">
      <c r="D503" s="13"/>
    </row>
    <row r="504" customFormat="false" ht="15.75" hidden="false" customHeight="false" outlineLevel="0" collapsed="false">
      <c r="D504" s="13"/>
    </row>
    <row r="505" customFormat="false" ht="15.75" hidden="false" customHeight="false" outlineLevel="0" collapsed="false">
      <c r="D505" s="13"/>
    </row>
    <row r="506" customFormat="false" ht="15.75" hidden="false" customHeight="false" outlineLevel="0" collapsed="false">
      <c r="D506" s="13"/>
    </row>
    <row r="507" customFormat="false" ht="15.75" hidden="false" customHeight="false" outlineLevel="0" collapsed="false">
      <c r="D507" s="13"/>
    </row>
    <row r="508" customFormat="false" ht="15.75" hidden="false" customHeight="false" outlineLevel="0" collapsed="false">
      <c r="D508" s="13"/>
    </row>
    <row r="509" customFormat="false" ht="15.75" hidden="false" customHeight="false" outlineLevel="0" collapsed="false">
      <c r="D509" s="13"/>
    </row>
    <row r="510" customFormat="false" ht="15.75" hidden="false" customHeight="false" outlineLevel="0" collapsed="false">
      <c r="D510" s="13"/>
    </row>
    <row r="511" customFormat="false" ht="15.75" hidden="false" customHeight="false" outlineLevel="0" collapsed="false">
      <c r="D511" s="13"/>
    </row>
    <row r="512" customFormat="false" ht="15.75" hidden="false" customHeight="false" outlineLevel="0" collapsed="false">
      <c r="D512" s="13"/>
    </row>
    <row r="513" customFormat="false" ht="15.75" hidden="false" customHeight="false" outlineLevel="0" collapsed="false">
      <c r="D513" s="13"/>
    </row>
    <row r="514" customFormat="false" ht="15.75" hidden="false" customHeight="false" outlineLevel="0" collapsed="false">
      <c r="D514" s="13"/>
    </row>
    <row r="515" customFormat="false" ht="15.75" hidden="false" customHeight="false" outlineLevel="0" collapsed="false">
      <c r="D515" s="13"/>
    </row>
    <row r="516" customFormat="false" ht="15.75" hidden="false" customHeight="false" outlineLevel="0" collapsed="false">
      <c r="D516" s="13"/>
    </row>
    <row r="517" customFormat="false" ht="15.75" hidden="false" customHeight="false" outlineLevel="0" collapsed="false">
      <c r="D517" s="13"/>
    </row>
    <row r="518" customFormat="false" ht="15.75" hidden="false" customHeight="false" outlineLevel="0" collapsed="false">
      <c r="D518" s="13"/>
    </row>
    <row r="519" customFormat="false" ht="15.75" hidden="false" customHeight="false" outlineLevel="0" collapsed="false">
      <c r="D519" s="13"/>
    </row>
    <row r="520" customFormat="false" ht="15.75" hidden="false" customHeight="false" outlineLevel="0" collapsed="false">
      <c r="D520" s="13"/>
    </row>
    <row r="521" customFormat="false" ht="15.75" hidden="false" customHeight="false" outlineLevel="0" collapsed="false">
      <c r="D521" s="13"/>
    </row>
    <row r="522" customFormat="false" ht="15.75" hidden="false" customHeight="false" outlineLevel="0" collapsed="false">
      <c r="D522" s="13"/>
    </row>
    <row r="523" customFormat="false" ht="15.75" hidden="false" customHeight="false" outlineLevel="0" collapsed="false">
      <c r="D523" s="13"/>
    </row>
    <row r="524" customFormat="false" ht="15.75" hidden="false" customHeight="false" outlineLevel="0" collapsed="false">
      <c r="D524" s="13"/>
    </row>
    <row r="525" customFormat="false" ht="15.75" hidden="false" customHeight="false" outlineLevel="0" collapsed="false">
      <c r="D525" s="13"/>
    </row>
    <row r="526" customFormat="false" ht="15.75" hidden="false" customHeight="false" outlineLevel="0" collapsed="false">
      <c r="D526" s="13"/>
    </row>
    <row r="527" customFormat="false" ht="15.75" hidden="false" customHeight="false" outlineLevel="0" collapsed="false">
      <c r="D527" s="13"/>
    </row>
    <row r="528" customFormat="false" ht="15.75" hidden="false" customHeight="false" outlineLevel="0" collapsed="false">
      <c r="D528" s="13"/>
    </row>
    <row r="529" customFormat="false" ht="15.75" hidden="false" customHeight="false" outlineLevel="0" collapsed="false">
      <c r="D529" s="13"/>
    </row>
    <row r="530" customFormat="false" ht="15.75" hidden="false" customHeight="false" outlineLevel="0" collapsed="false">
      <c r="D530" s="13"/>
    </row>
    <row r="531" customFormat="false" ht="15.75" hidden="false" customHeight="false" outlineLevel="0" collapsed="false">
      <c r="D531" s="13"/>
    </row>
    <row r="532" customFormat="false" ht="15.75" hidden="false" customHeight="false" outlineLevel="0" collapsed="false">
      <c r="D532" s="13"/>
    </row>
    <row r="533" customFormat="false" ht="15.75" hidden="false" customHeight="false" outlineLevel="0" collapsed="false">
      <c r="D533" s="13"/>
    </row>
    <row r="534" customFormat="false" ht="15.75" hidden="false" customHeight="false" outlineLevel="0" collapsed="false">
      <c r="D534" s="13"/>
    </row>
    <row r="535" customFormat="false" ht="15.75" hidden="false" customHeight="false" outlineLevel="0" collapsed="false">
      <c r="D535" s="13"/>
    </row>
    <row r="536" customFormat="false" ht="15.75" hidden="false" customHeight="false" outlineLevel="0" collapsed="false">
      <c r="D536" s="13"/>
    </row>
    <row r="537" customFormat="false" ht="15.75" hidden="false" customHeight="false" outlineLevel="0" collapsed="false">
      <c r="D537" s="13"/>
    </row>
    <row r="538" customFormat="false" ht="15.75" hidden="false" customHeight="false" outlineLevel="0" collapsed="false">
      <c r="D538" s="13"/>
    </row>
    <row r="539" customFormat="false" ht="15.75" hidden="false" customHeight="false" outlineLevel="0" collapsed="false">
      <c r="D539" s="13"/>
    </row>
    <row r="540" customFormat="false" ht="15.75" hidden="false" customHeight="false" outlineLevel="0" collapsed="false">
      <c r="D540" s="13"/>
    </row>
    <row r="541" customFormat="false" ht="15.75" hidden="false" customHeight="false" outlineLevel="0" collapsed="false">
      <c r="D541" s="13"/>
    </row>
    <row r="542" customFormat="false" ht="15.75" hidden="false" customHeight="false" outlineLevel="0" collapsed="false">
      <c r="D542" s="13"/>
    </row>
    <row r="543" customFormat="false" ht="15.75" hidden="false" customHeight="false" outlineLevel="0" collapsed="false">
      <c r="D543" s="13"/>
    </row>
    <row r="544" customFormat="false" ht="15.75" hidden="false" customHeight="false" outlineLevel="0" collapsed="false">
      <c r="D544" s="13"/>
    </row>
    <row r="545" customFormat="false" ht="15.75" hidden="false" customHeight="false" outlineLevel="0" collapsed="false">
      <c r="D545" s="13"/>
    </row>
    <row r="546" customFormat="false" ht="15.75" hidden="false" customHeight="false" outlineLevel="0" collapsed="false">
      <c r="D546" s="13"/>
    </row>
    <row r="547" customFormat="false" ht="15.75" hidden="false" customHeight="false" outlineLevel="0" collapsed="false">
      <c r="D547" s="13"/>
    </row>
    <row r="548" customFormat="false" ht="15.75" hidden="false" customHeight="false" outlineLevel="0" collapsed="false">
      <c r="D548" s="13"/>
    </row>
    <row r="549" customFormat="false" ht="15.75" hidden="false" customHeight="false" outlineLevel="0" collapsed="false">
      <c r="D549" s="13"/>
    </row>
    <row r="550" customFormat="false" ht="15.75" hidden="false" customHeight="false" outlineLevel="0" collapsed="false">
      <c r="D550" s="13"/>
    </row>
    <row r="551" customFormat="false" ht="15.75" hidden="false" customHeight="false" outlineLevel="0" collapsed="false">
      <c r="D551" s="13"/>
    </row>
    <row r="552" customFormat="false" ht="15.75" hidden="false" customHeight="false" outlineLevel="0" collapsed="false">
      <c r="D552" s="13"/>
    </row>
    <row r="553" customFormat="false" ht="15.75" hidden="false" customHeight="false" outlineLevel="0" collapsed="false">
      <c r="D553" s="13"/>
    </row>
    <row r="554" customFormat="false" ht="15.75" hidden="false" customHeight="false" outlineLevel="0" collapsed="false">
      <c r="D554" s="13"/>
    </row>
    <row r="555" customFormat="false" ht="15.75" hidden="false" customHeight="false" outlineLevel="0" collapsed="false">
      <c r="D555" s="13"/>
    </row>
    <row r="556" customFormat="false" ht="15.75" hidden="false" customHeight="false" outlineLevel="0" collapsed="false">
      <c r="D556" s="13"/>
    </row>
    <row r="557" customFormat="false" ht="15.75" hidden="false" customHeight="false" outlineLevel="0" collapsed="false">
      <c r="D557" s="13"/>
    </row>
    <row r="558" customFormat="false" ht="15.75" hidden="false" customHeight="false" outlineLevel="0" collapsed="false">
      <c r="D558" s="13"/>
    </row>
    <row r="559" customFormat="false" ht="15.75" hidden="false" customHeight="false" outlineLevel="0" collapsed="false">
      <c r="D559" s="13"/>
    </row>
    <row r="560" customFormat="false" ht="15.75" hidden="false" customHeight="false" outlineLevel="0" collapsed="false">
      <c r="D560" s="13"/>
    </row>
    <row r="561" customFormat="false" ht="15.75" hidden="false" customHeight="false" outlineLevel="0" collapsed="false">
      <c r="D561" s="13"/>
    </row>
    <row r="562" customFormat="false" ht="15.75" hidden="false" customHeight="false" outlineLevel="0" collapsed="false">
      <c r="D562" s="13"/>
    </row>
    <row r="563" customFormat="false" ht="15.75" hidden="false" customHeight="false" outlineLevel="0" collapsed="false">
      <c r="D563" s="13"/>
    </row>
    <row r="564" customFormat="false" ht="15.75" hidden="false" customHeight="false" outlineLevel="0" collapsed="false">
      <c r="D564" s="13"/>
    </row>
    <row r="565" customFormat="false" ht="15.75" hidden="false" customHeight="false" outlineLevel="0" collapsed="false">
      <c r="D565" s="13"/>
    </row>
    <row r="566" customFormat="false" ht="15.75" hidden="false" customHeight="false" outlineLevel="0" collapsed="false">
      <c r="D566" s="13"/>
    </row>
    <row r="567" customFormat="false" ht="15.75" hidden="false" customHeight="false" outlineLevel="0" collapsed="false">
      <c r="D567" s="13"/>
    </row>
    <row r="568" customFormat="false" ht="15.75" hidden="false" customHeight="false" outlineLevel="0" collapsed="false">
      <c r="D568" s="13"/>
    </row>
    <row r="569" customFormat="false" ht="15.75" hidden="false" customHeight="false" outlineLevel="0" collapsed="false">
      <c r="D569" s="13"/>
    </row>
    <row r="570" customFormat="false" ht="15.75" hidden="false" customHeight="false" outlineLevel="0" collapsed="false">
      <c r="D570" s="13"/>
    </row>
    <row r="571" customFormat="false" ht="15.75" hidden="false" customHeight="false" outlineLevel="0" collapsed="false">
      <c r="D571" s="13"/>
    </row>
    <row r="572" customFormat="false" ht="15.75" hidden="false" customHeight="false" outlineLevel="0" collapsed="false">
      <c r="D572" s="13"/>
    </row>
    <row r="573" customFormat="false" ht="15.75" hidden="false" customHeight="false" outlineLevel="0" collapsed="false">
      <c r="D573" s="13"/>
    </row>
    <row r="574" customFormat="false" ht="15.75" hidden="false" customHeight="false" outlineLevel="0" collapsed="false">
      <c r="D574" s="13"/>
    </row>
    <row r="575" customFormat="false" ht="15.75" hidden="false" customHeight="false" outlineLevel="0" collapsed="false">
      <c r="D575" s="13"/>
    </row>
    <row r="576" customFormat="false" ht="15.75" hidden="false" customHeight="false" outlineLevel="0" collapsed="false">
      <c r="D576" s="13"/>
    </row>
    <row r="577" customFormat="false" ht="15.75" hidden="false" customHeight="false" outlineLevel="0" collapsed="false">
      <c r="D577" s="13"/>
    </row>
    <row r="578" customFormat="false" ht="15.75" hidden="false" customHeight="false" outlineLevel="0" collapsed="false">
      <c r="D578" s="13"/>
    </row>
    <row r="579" customFormat="false" ht="15.75" hidden="false" customHeight="false" outlineLevel="0" collapsed="false">
      <c r="D579" s="13"/>
    </row>
    <row r="580" customFormat="false" ht="15.75" hidden="false" customHeight="false" outlineLevel="0" collapsed="false">
      <c r="D580" s="13"/>
    </row>
    <row r="581" customFormat="false" ht="15.75" hidden="false" customHeight="false" outlineLevel="0" collapsed="false">
      <c r="D581" s="13"/>
    </row>
    <row r="582" customFormat="false" ht="15.75" hidden="false" customHeight="false" outlineLevel="0" collapsed="false">
      <c r="D582" s="13"/>
    </row>
    <row r="583" customFormat="false" ht="15.75" hidden="false" customHeight="false" outlineLevel="0" collapsed="false">
      <c r="D583" s="13"/>
    </row>
    <row r="584" customFormat="false" ht="15.75" hidden="false" customHeight="false" outlineLevel="0" collapsed="false">
      <c r="D584" s="13"/>
    </row>
    <row r="585" customFormat="false" ht="15.75" hidden="false" customHeight="false" outlineLevel="0" collapsed="false">
      <c r="D585" s="13"/>
    </row>
    <row r="586" customFormat="false" ht="15.75" hidden="false" customHeight="false" outlineLevel="0" collapsed="false">
      <c r="D586" s="13"/>
    </row>
    <row r="587" customFormat="false" ht="15.75" hidden="false" customHeight="false" outlineLevel="0" collapsed="false">
      <c r="D587" s="13"/>
    </row>
    <row r="588" customFormat="false" ht="15.75" hidden="false" customHeight="false" outlineLevel="0" collapsed="false">
      <c r="D588" s="13"/>
    </row>
    <row r="589" customFormat="false" ht="15.75" hidden="false" customHeight="false" outlineLevel="0" collapsed="false">
      <c r="D589" s="13"/>
    </row>
    <row r="590" customFormat="false" ht="15.75" hidden="false" customHeight="false" outlineLevel="0" collapsed="false">
      <c r="D590" s="13"/>
    </row>
    <row r="591" customFormat="false" ht="15.75" hidden="false" customHeight="false" outlineLevel="0" collapsed="false">
      <c r="D591" s="13"/>
    </row>
    <row r="592" customFormat="false" ht="15.75" hidden="false" customHeight="false" outlineLevel="0" collapsed="false">
      <c r="D592" s="13"/>
    </row>
    <row r="593" customFormat="false" ht="15.75" hidden="false" customHeight="false" outlineLevel="0" collapsed="false">
      <c r="D593" s="13"/>
    </row>
    <row r="594" customFormat="false" ht="15.75" hidden="false" customHeight="false" outlineLevel="0" collapsed="false">
      <c r="D594" s="13"/>
    </row>
    <row r="595" customFormat="false" ht="15.75" hidden="false" customHeight="false" outlineLevel="0" collapsed="false">
      <c r="D595" s="13"/>
    </row>
    <row r="596" customFormat="false" ht="15.75" hidden="false" customHeight="false" outlineLevel="0" collapsed="false">
      <c r="D596" s="13"/>
    </row>
    <row r="597" customFormat="false" ht="15.75" hidden="false" customHeight="false" outlineLevel="0" collapsed="false">
      <c r="D597" s="13"/>
    </row>
    <row r="598" customFormat="false" ht="15.75" hidden="false" customHeight="false" outlineLevel="0" collapsed="false">
      <c r="D598" s="13"/>
    </row>
    <row r="599" customFormat="false" ht="15.75" hidden="false" customHeight="false" outlineLevel="0" collapsed="false">
      <c r="D599" s="13"/>
    </row>
    <row r="600" customFormat="false" ht="15.75" hidden="false" customHeight="false" outlineLevel="0" collapsed="false">
      <c r="D600" s="13"/>
    </row>
    <row r="601" customFormat="false" ht="15.75" hidden="false" customHeight="false" outlineLevel="0" collapsed="false">
      <c r="D601" s="13"/>
    </row>
    <row r="602" customFormat="false" ht="15.75" hidden="false" customHeight="false" outlineLevel="0" collapsed="false">
      <c r="D602" s="13"/>
    </row>
    <row r="603" customFormat="false" ht="15.75" hidden="false" customHeight="false" outlineLevel="0" collapsed="false">
      <c r="D603" s="13"/>
    </row>
    <row r="604" customFormat="false" ht="15.75" hidden="false" customHeight="false" outlineLevel="0" collapsed="false">
      <c r="D604" s="13"/>
    </row>
    <row r="605" customFormat="false" ht="15.75" hidden="false" customHeight="false" outlineLevel="0" collapsed="false">
      <c r="D605" s="13"/>
    </row>
    <row r="606" customFormat="false" ht="15.75" hidden="false" customHeight="false" outlineLevel="0" collapsed="false">
      <c r="D606" s="13"/>
    </row>
    <row r="607" customFormat="false" ht="15.75" hidden="false" customHeight="false" outlineLevel="0" collapsed="false">
      <c r="D607" s="13"/>
    </row>
    <row r="608" customFormat="false" ht="15.75" hidden="false" customHeight="false" outlineLevel="0" collapsed="false">
      <c r="D608" s="13"/>
    </row>
    <row r="609" customFormat="false" ht="15.75" hidden="false" customHeight="false" outlineLevel="0" collapsed="false">
      <c r="D609" s="13"/>
    </row>
    <row r="610" customFormat="false" ht="15.75" hidden="false" customHeight="false" outlineLevel="0" collapsed="false">
      <c r="D610" s="13"/>
    </row>
    <row r="611" customFormat="false" ht="15.75" hidden="false" customHeight="false" outlineLevel="0" collapsed="false">
      <c r="D611" s="13"/>
    </row>
    <row r="612" customFormat="false" ht="15.75" hidden="false" customHeight="false" outlineLevel="0" collapsed="false">
      <c r="D612" s="13"/>
    </row>
    <row r="613" customFormat="false" ht="15.75" hidden="false" customHeight="false" outlineLevel="0" collapsed="false">
      <c r="D613" s="13"/>
    </row>
    <row r="614" customFormat="false" ht="15.75" hidden="false" customHeight="false" outlineLevel="0" collapsed="false">
      <c r="D614" s="13"/>
    </row>
    <row r="615" customFormat="false" ht="15.75" hidden="false" customHeight="false" outlineLevel="0" collapsed="false">
      <c r="D615" s="13"/>
    </row>
    <row r="616" customFormat="false" ht="15.75" hidden="false" customHeight="false" outlineLevel="0" collapsed="false">
      <c r="D616" s="13"/>
    </row>
    <row r="617" customFormat="false" ht="15.75" hidden="false" customHeight="false" outlineLevel="0" collapsed="false">
      <c r="D617" s="13"/>
    </row>
    <row r="618" customFormat="false" ht="15.75" hidden="false" customHeight="false" outlineLevel="0" collapsed="false">
      <c r="D618" s="13"/>
    </row>
    <row r="619" customFormat="false" ht="15.75" hidden="false" customHeight="false" outlineLevel="0" collapsed="false">
      <c r="D619" s="13"/>
    </row>
    <row r="620" customFormat="false" ht="15.75" hidden="false" customHeight="false" outlineLevel="0" collapsed="false">
      <c r="D620" s="13"/>
    </row>
    <row r="621" customFormat="false" ht="15.75" hidden="false" customHeight="false" outlineLevel="0" collapsed="false">
      <c r="D621" s="13"/>
    </row>
    <row r="622" customFormat="false" ht="15.75" hidden="false" customHeight="false" outlineLevel="0" collapsed="false">
      <c r="D622" s="13"/>
    </row>
    <row r="623" customFormat="false" ht="15.75" hidden="false" customHeight="false" outlineLevel="0" collapsed="false">
      <c r="D623" s="13"/>
    </row>
    <row r="624" customFormat="false" ht="15.75" hidden="false" customHeight="false" outlineLevel="0" collapsed="false">
      <c r="D624" s="13"/>
    </row>
    <row r="625" customFormat="false" ht="15.75" hidden="false" customHeight="false" outlineLevel="0" collapsed="false">
      <c r="D625" s="13"/>
    </row>
    <row r="626" customFormat="false" ht="15.75" hidden="false" customHeight="false" outlineLevel="0" collapsed="false">
      <c r="D626" s="13"/>
    </row>
    <row r="627" customFormat="false" ht="15.75" hidden="false" customHeight="false" outlineLevel="0" collapsed="false">
      <c r="D627" s="13"/>
    </row>
    <row r="628" customFormat="false" ht="15.75" hidden="false" customHeight="false" outlineLevel="0" collapsed="false">
      <c r="D628" s="13"/>
    </row>
    <row r="629" customFormat="false" ht="15.75" hidden="false" customHeight="false" outlineLevel="0" collapsed="false">
      <c r="D629" s="13"/>
    </row>
    <row r="630" customFormat="false" ht="15.75" hidden="false" customHeight="false" outlineLevel="0" collapsed="false">
      <c r="D630" s="13"/>
    </row>
    <row r="631" customFormat="false" ht="15.75" hidden="false" customHeight="false" outlineLevel="0" collapsed="false">
      <c r="D631" s="13"/>
    </row>
    <row r="632" customFormat="false" ht="15.75" hidden="false" customHeight="false" outlineLevel="0" collapsed="false">
      <c r="D632" s="13"/>
    </row>
    <row r="633" customFormat="false" ht="15.75" hidden="false" customHeight="false" outlineLevel="0" collapsed="false">
      <c r="D633" s="13"/>
    </row>
    <row r="634" customFormat="false" ht="15.75" hidden="false" customHeight="false" outlineLevel="0" collapsed="false">
      <c r="D634" s="13"/>
    </row>
    <row r="635" customFormat="false" ht="15.75" hidden="false" customHeight="false" outlineLevel="0" collapsed="false">
      <c r="D635" s="13"/>
    </row>
    <row r="636" customFormat="false" ht="15.75" hidden="false" customHeight="false" outlineLevel="0" collapsed="false">
      <c r="D636" s="13"/>
    </row>
    <row r="637" customFormat="false" ht="15.75" hidden="false" customHeight="false" outlineLevel="0" collapsed="false">
      <c r="D637" s="13"/>
    </row>
    <row r="638" customFormat="false" ht="15.75" hidden="false" customHeight="false" outlineLevel="0" collapsed="false">
      <c r="D638" s="13"/>
    </row>
    <row r="639" customFormat="false" ht="15.75" hidden="false" customHeight="false" outlineLevel="0" collapsed="false">
      <c r="D639" s="13"/>
    </row>
    <row r="640" customFormat="false" ht="15.75" hidden="false" customHeight="false" outlineLevel="0" collapsed="false">
      <c r="D640" s="13"/>
    </row>
    <row r="641" customFormat="false" ht="15.75" hidden="false" customHeight="false" outlineLevel="0" collapsed="false">
      <c r="D641" s="13"/>
    </row>
    <row r="642" customFormat="false" ht="15.75" hidden="false" customHeight="false" outlineLevel="0" collapsed="false">
      <c r="D642" s="13"/>
    </row>
    <row r="643" customFormat="false" ht="15.75" hidden="false" customHeight="false" outlineLevel="0" collapsed="false">
      <c r="D643" s="13"/>
    </row>
    <row r="644" customFormat="false" ht="15.75" hidden="false" customHeight="false" outlineLevel="0" collapsed="false">
      <c r="D644" s="13"/>
    </row>
    <row r="645" customFormat="false" ht="15.75" hidden="false" customHeight="false" outlineLevel="0" collapsed="false">
      <c r="D645" s="13"/>
    </row>
    <row r="646" customFormat="false" ht="15.75" hidden="false" customHeight="false" outlineLevel="0" collapsed="false">
      <c r="D646" s="13"/>
    </row>
    <row r="647" customFormat="false" ht="15.75" hidden="false" customHeight="false" outlineLevel="0" collapsed="false">
      <c r="D647" s="13"/>
    </row>
    <row r="648" customFormat="false" ht="15.75" hidden="false" customHeight="false" outlineLevel="0" collapsed="false">
      <c r="D648" s="13"/>
    </row>
    <row r="649" customFormat="false" ht="15.75" hidden="false" customHeight="false" outlineLevel="0" collapsed="false">
      <c r="D649" s="13"/>
    </row>
    <row r="650" customFormat="false" ht="15.75" hidden="false" customHeight="false" outlineLevel="0" collapsed="false">
      <c r="D650" s="13"/>
    </row>
    <row r="651" customFormat="false" ht="15.75" hidden="false" customHeight="false" outlineLevel="0" collapsed="false">
      <c r="D651" s="13"/>
    </row>
    <row r="652" customFormat="false" ht="15.75" hidden="false" customHeight="false" outlineLevel="0" collapsed="false">
      <c r="D652" s="13"/>
    </row>
    <row r="653" customFormat="false" ht="15.75" hidden="false" customHeight="false" outlineLevel="0" collapsed="false">
      <c r="D653" s="13"/>
    </row>
    <row r="654" customFormat="false" ht="15.75" hidden="false" customHeight="false" outlineLevel="0" collapsed="false">
      <c r="D654" s="13"/>
    </row>
    <row r="655" customFormat="false" ht="15.75" hidden="false" customHeight="false" outlineLevel="0" collapsed="false">
      <c r="D655" s="13"/>
    </row>
    <row r="656" customFormat="false" ht="15.75" hidden="false" customHeight="false" outlineLevel="0" collapsed="false">
      <c r="D656" s="13"/>
    </row>
    <row r="657" customFormat="false" ht="15.75" hidden="false" customHeight="false" outlineLevel="0" collapsed="false">
      <c r="D657" s="13"/>
    </row>
    <row r="658" customFormat="false" ht="15.75" hidden="false" customHeight="false" outlineLevel="0" collapsed="false">
      <c r="D658" s="13"/>
    </row>
    <row r="659" customFormat="false" ht="15.75" hidden="false" customHeight="false" outlineLevel="0" collapsed="false">
      <c r="D659" s="13"/>
    </row>
    <row r="660" customFormat="false" ht="15.75" hidden="false" customHeight="false" outlineLevel="0" collapsed="false">
      <c r="D660" s="13"/>
    </row>
    <row r="661" customFormat="false" ht="15.75" hidden="false" customHeight="false" outlineLevel="0" collapsed="false">
      <c r="D661" s="13"/>
    </row>
    <row r="662" customFormat="false" ht="15.75" hidden="false" customHeight="false" outlineLevel="0" collapsed="false">
      <c r="D662" s="13"/>
    </row>
    <row r="663" customFormat="false" ht="15.75" hidden="false" customHeight="false" outlineLevel="0" collapsed="false">
      <c r="D663" s="13"/>
    </row>
    <row r="664" customFormat="false" ht="15.75" hidden="false" customHeight="false" outlineLevel="0" collapsed="false">
      <c r="D664" s="13"/>
    </row>
    <row r="665" customFormat="false" ht="15.75" hidden="false" customHeight="false" outlineLevel="0" collapsed="false">
      <c r="D665" s="13"/>
    </row>
    <row r="666" customFormat="false" ht="15.75" hidden="false" customHeight="false" outlineLevel="0" collapsed="false">
      <c r="D666" s="13"/>
    </row>
    <row r="667" customFormat="false" ht="15.75" hidden="false" customHeight="false" outlineLevel="0" collapsed="false">
      <c r="D667" s="13"/>
    </row>
    <row r="668" customFormat="false" ht="15.75" hidden="false" customHeight="false" outlineLevel="0" collapsed="false">
      <c r="D668" s="13"/>
    </row>
    <row r="669" customFormat="false" ht="15.75" hidden="false" customHeight="false" outlineLevel="0" collapsed="false">
      <c r="D669" s="13"/>
    </row>
    <row r="670" customFormat="false" ht="15.75" hidden="false" customHeight="false" outlineLevel="0" collapsed="false">
      <c r="D670" s="13"/>
    </row>
    <row r="671" customFormat="false" ht="15.75" hidden="false" customHeight="false" outlineLevel="0" collapsed="false">
      <c r="D671" s="13"/>
    </row>
    <row r="672" customFormat="false" ht="15.75" hidden="false" customHeight="false" outlineLevel="0" collapsed="false">
      <c r="D672" s="13"/>
    </row>
    <row r="673" customFormat="false" ht="15.75" hidden="false" customHeight="false" outlineLevel="0" collapsed="false">
      <c r="D673" s="13"/>
    </row>
    <row r="674" customFormat="false" ht="15.75" hidden="false" customHeight="false" outlineLevel="0" collapsed="false">
      <c r="D674" s="13"/>
    </row>
    <row r="675" customFormat="false" ht="15.75" hidden="false" customHeight="false" outlineLevel="0" collapsed="false">
      <c r="D675" s="13"/>
    </row>
    <row r="676" customFormat="false" ht="15.75" hidden="false" customHeight="false" outlineLevel="0" collapsed="false">
      <c r="D676" s="13"/>
    </row>
    <row r="677" customFormat="false" ht="15.75" hidden="false" customHeight="false" outlineLevel="0" collapsed="false">
      <c r="D677" s="13"/>
    </row>
    <row r="678" customFormat="false" ht="15.75" hidden="false" customHeight="false" outlineLevel="0" collapsed="false">
      <c r="D678" s="13"/>
    </row>
    <row r="679" customFormat="false" ht="15.75" hidden="false" customHeight="false" outlineLevel="0" collapsed="false">
      <c r="D679" s="13"/>
    </row>
    <row r="680" customFormat="false" ht="15.75" hidden="false" customHeight="false" outlineLevel="0" collapsed="false">
      <c r="D680" s="13"/>
    </row>
    <row r="681" customFormat="false" ht="15.75" hidden="false" customHeight="false" outlineLevel="0" collapsed="false">
      <c r="D681" s="13"/>
    </row>
    <row r="682" customFormat="false" ht="15.75" hidden="false" customHeight="false" outlineLevel="0" collapsed="false">
      <c r="D682" s="13"/>
    </row>
    <row r="683" customFormat="false" ht="15.75" hidden="false" customHeight="false" outlineLevel="0" collapsed="false">
      <c r="D683" s="13"/>
    </row>
    <row r="684" customFormat="false" ht="15.75" hidden="false" customHeight="false" outlineLevel="0" collapsed="false">
      <c r="D684" s="13"/>
    </row>
    <row r="685" customFormat="false" ht="15.75" hidden="false" customHeight="false" outlineLevel="0" collapsed="false">
      <c r="D685" s="13"/>
    </row>
    <row r="686" customFormat="false" ht="15.75" hidden="false" customHeight="false" outlineLevel="0" collapsed="false">
      <c r="D686" s="13"/>
    </row>
    <row r="687" customFormat="false" ht="15.75" hidden="false" customHeight="false" outlineLevel="0" collapsed="false">
      <c r="D687" s="13"/>
    </row>
    <row r="688" customFormat="false" ht="15.75" hidden="false" customHeight="false" outlineLevel="0" collapsed="false">
      <c r="D688" s="13"/>
    </row>
    <row r="689" customFormat="false" ht="15.75" hidden="false" customHeight="false" outlineLevel="0" collapsed="false">
      <c r="D689" s="13"/>
    </row>
    <row r="690" customFormat="false" ht="15.75" hidden="false" customHeight="false" outlineLevel="0" collapsed="false">
      <c r="D690" s="13"/>
    </row>
    <row r="691" customFormat="false" ht="15.75" hidden="false" customHeight="false" outlineLevel="0" collapsed="false">
      <c r="D691" s="13"/>
    </row>
    <row r="692" customFormat="false" ht="15.75" hidden="false" customHeight="false" outlineLevel="0" collapsed="false">
      <c r="D692" s="13"/>
    </row>
    <row r="693" customFormat="false" ht="15.75" hidden="false" customHeight="false" outlineLevel="0" collapsed="false">
      <c r="D693" s="13"/>
    </row>
    <row r="694" customFormat="false" ht="15.75" hidden="false" customHeight="false" outlineLevel="0" collapsed="false">
      <c r="D694" s="13"/>
    </row>
    <row r="695" customFormat="false" ht="15.75" hidden="false" customHeight="false" outlineLevel="0" collapsed="false">
      <c r="D695" s="13"/>
    </row>
    <row r="696" customFormat="false" ht="15.75" hidden="false" customHeight="false" outlineLevel="0" collapsed="false">
      <c r="D696" s="13"/>
    </row>
    <row r="697" customFormat="false" ht="15.75" hidden="false" customHeight="false" outlineLevel="0" collapsed="false">
      <c r="D697" s="13"/>
    </row>
    <row r="698" customFormat="false" ht="15.75" hidden="false" customHeight="false" outlineLevel="0" collapsed="false">
      <c r="D698" s="13"/>
    </row>
    <row r="699" customFormat="false" ht="15.75" hidden="false" customHeight="false" outlineLevel="0" collapsed="false">
      <c r="D699" s="13"/>
    </row>
    <row r="700" customFormat="false" ht="15.75" hidden="false" customHeight="false" outlineLevel="0" collapsed="false">
      <c r="D700" s="13"/>
    </row>
    <row r="701" customFormat="false" ht="15.75" hidden="false" customHeight="false" outlineLevel="0" collapsed="false">
      <c r="D701" s="13"/>
    </row>
    <row r="702" customFormat="false" ht="15.75" hidden="false" customHeight="false" outlineLevel="0" collapsed="false">
      <c r="D702" s="13"/>
    </row>
    <row r="703" customFormat="false" ht="15.75" hidden="false" customHeight="false" outlineLevel="0" collapsed="false">
      <c r="D703" s="13"/>
    </row>
    <row r="704" customFormat="false" ht="15.75" hidden="false" customHeight="false" outlineLevel="0" collapsed="false">
      <c r="D704" s="13"/>
    </row>
    <row r="705" customFormat="false" ht="15.75" hidden="false" customHeight="false" outlineLevel="0" collapsed="false">
      <c r="D705" s="13"/>
    </row>
    <row r="706" customFormat="false" ht="15.75" hidden="false" customHeight="false" outlineLevel="0" collapsed="false">
      <c r="D706" s="13"/>
    </row>
    <row r="707" customFormat="false" ht="15.75" hidden="false" customHeight="false" outlineLevel="0" collapsed="false">
      <c r="D707" s="13"/>
    </row>
    <row r="708" customFormat="false" ht="15.75" hidden="false" customHeight="false" outlineLevel="0" collapsed="false">
      <c r="D708" s="13"/>
    </row>
    <row r="709" customFormat="false" ht="15.75" hidden="false" customHeight="false" outlineLevel="0" collapsed="false">
      <c r="D709" s="13"/>
    </row>
    <row r="710" customFormat="false" ht="15.75" hidden="false" customHeight="false" outlineLevel="0" collapsed="false">
      <c r="D710" s="13"/>
    </row>
    <row r="711" customFormat="false" ht="15.75" hidden="false" customHeight="false" outlineLevel="0" collapsed="false">
      <c r="D711" s="13"/>
    </row>
    <row r="712" customFormat="false" ht="15.75" hidden="false" customHeight="false" outlineLevel="0" collapsed="false">
      <c r="D712" s="13"/>
    </row>
    <row r="713" customFormat="false" ht="15.75" hidden="false" customHeight="false" outlineLevel="0" collapsed="false">
      <c r="D713" s="13"/>
    </row>
    <row r="714" customFormat="false" ht="15.75" hidden="false" customHeight="false" outlineLevel="0" collapsed="false">
      <c r="D714" s="13"/>
    </row>
    <row r="715" customFormat="false" ht="15.75" hidden="false" customHeight="false" outlineLevel="0" collapsed="false">
      <c r="D715" s="13"/>
    </row>
    <row r="716" customFormat="false" ht="15.75" hidden="false" customHeight="false" outlineLevel="0" collapsed="false">
      <c r="D716" s="13"/>
    </row>
    <row r="717" customFormat="false" ht="15.75" hidden="false" customHeight="false" outlineLevel="0" collapsed="false">
      <c r="D717" s="13"/>
    </row>
    <row r="718" customFormat="false" ht="15.75" hidden="false" customHeight="false" outlineLevel="0" collapsed="false">
      <c r="D718" s="13"/>
    </row>
    <row r="719" customFormat="false" ht="15.75" hidden="false" customHeight="false" outlineLevel="0" collapsed="false">
      <c r="D719" s="13"/>
    </row>
    <row r="720" customFormat="false" ht="15.75" hidden="false" customHeight="false" outlineLevel="0" collapsed="false">
      <c r="D720" s="13"/>
    </row>
    <row r="721" customFormat="false" ht="15.75" hidden="false" customHeight="false" outlineLevel="0" collapsed="false">
      <c r="D721" s="13"/>
    </row>
    <row r="722" customFormat="false" ht="15.75" hidden="false" customHeight="false" outlineLevel="0" collapsed="false">
      <c r="D722" s="13"/>
    </row>
    <row r="723" customFormat="false" ht="15.75" hidden="false" customHeight="false" outlineLevel="0" collapsed="false">
      <c r="D723" s="13"/>
    </row>
    <row r="724" customFormat="false" ht="15.75" hidden="false" customHeight="false" outlineLevel="0" collapsed="false">
      <c r="D724" s="13"/>
    </row>
    <row r="725" customFormat="false" ht="15.75" hidden="false" customHeight="false" outlineLevel="0" collapsed="false">
      <c r="D725" s="13"/>
    </row>
    <row r="726" customFormat="false" ht="15.75" hidden="false" customHeight="false" outlineLevel="0" collapsed="false">
      <c r="D726" s="13"/>
    </row>
    <row r="727" customFormat="false" ht="15.75" hidden="false" customHeight="false" outlineLevel="0" collapsed="false">
      <c r="D727" s="13"/>
    </row>
    <row r="728" customFormat="false" ht="15.75" hidden="false" customHeight="false" outlineLevel="0" collapsed="false">
      <c r="D728" s="13"/>
    </row>
    <row r="729" customFormat="false" ht="15.75" hidden="false" customHeight="false" outlineLevel="0" collapsed="false">
      <c r="D729" s="13"/>
    </row>
    <row r="730" customFormat="false" ht="15.75" hidden="false" customHeight="false" outlineLevel="0" collapsed="false">
      <c r="D730" s="13"/>
    </row>
    <row r="731" customFormat="false" ht="15.75" hidden="false" customHeight="false" outlineLevel="0" collapsed="false">
      <c r="D731" s="13"/>
    </row>
    <row r="732" customFormat="false" ht="15.75" hidden="false" customHeight="false" outlineLevel="0" collapsed="false">
      <c r="D732" s="13"/>
    </row>
    <row r="733" customFormat="false" ht="15.75" hidden="false" customHeight="false" outlineLevel="0" collapsed="false">
      <c r="D733" s="13"/>
    </row>
    <row r="734" customFormat="false" ht="15.75" hidden="false" customHeight="false" outlineLevel="0" collapsed="false">
      <c r="D734" s="13"/>
    </row>
    <row r="735" customFormat="false" ht="15.75" hidden="false" customHeight="false" outlineLevel="0" collapsed="false">
      <c r="D735" s="13"/>
    </row>
    <row r="736" customFormat="false" ht="15.75" hidden="false" customHeight="false" outlineLevel="0" collapsed="false">
      <c r="D736" s="13"/>
    </row>
    <row r="737" customFormat="false" ht="15.75" hidden="false" customHeight="false" outlineLevel="0" collapsed="false">
      <c r="D737" s="13"/>
    </row>
    <row r="738" customFormat="false" ht="15.75" hidden="false" customHeight="false" outlineLevel="0" collapsed="false">
      <c r="D738" s="13"/>
    </row>
    <row r="739" customFormat="false" ht="15.75" hidden="false" customHeight="false" outlineLevel="0" collapsed="false">
      <c r="D739" s="13"/>
    </row>
    <row r="740" customFormat="false" ht="15.75" hidden="false" customHeight="false" outlineLevel="0" collapsed="false">
      <c r="D740" s="13"/>
    </row>
    <row r="741" customFormat="false" ht="15.75" hidden="false" customHeight="false" outlineLevel="0" collapsed="false">
      <c r="D741" s="13"/>
    </row>
    <row r="742" customFormat="false" ht="15.75" hidden="false" customHeight="false" outlineLevel="0" collapsed="false">
      <c r="D742" s="13"/>
    </row>
    <row r="743" customFormat="false" ht="15.75" hidden="false" customHeight="false" outlineLevel="0" collapsed="false">
      <c r="D743" s="13"/>
    </row>
    <row r="744" customFormat="false" ht="15.75" hidden="false" customHeight="false" outlineLevel="0" collapsed="false">
      <c r="D744" s="13"/>
    </row>
    <row r="745" customFormat="false" ht="15.75" hidden="false" customHeight="false" outlineLevel="0" collapsed="false">
      <c r="D745" s="13"/>
    </row>
    <row r="746" customFormat="false" ht="15.75" hidden="false" customHeight="false" outlineLevel="0" collapsed="false">
      <c r="D746" s="13"/>
    </row>
    <row r="747" customFormat="false" ht="15.75" hidden="false" customHeight="false" outlineLevel="0" collapsed="false">
      <c r="D747" s="13"/>
    </row>
    <row r="748" customFormat="false" ht="15.75" hidden="false" customHeight="false" outlineLevel="0" collapsed="false">
      <c r="D748" s="13"/>
    </row>
    <row r="749" customFormat="false" ht="15.75" hidden="false" customHeight="false" outlineLevel="0" collapsed="false">
      <c r="D749" s="13"/>
    </row>
    <row r="750" customFormat="false" ht="15.75" hidden="false" customHeight="false" outlineLevel="0" collapsed="false">
      <c r="D750" s="13"/>
    </row>
    <row r="751" customFormat="false" ht="15.75" hidden="false" customHeight="false" outlineLevel="0" collapsed="false">
      <c r="D751" s="13"/>
    </row>
    <row r="752" customFormat="false" ht="15.75" hidden="false" customHeight="false" outlineLevel="0" collapsed="false">
      <c r="D752" s="13"/>
    </row>
    <row r="753" customFormat="false" ht="15.75" hidden="false" customHeight="false" outlineLevel="0" collapsed="false">
      <c r="D753" s="13"/>
    </row>
    <row r="754" customFormat="false" ht="15.75" hidden="false" customHeight="false" outlineLevel="0" collapsed="false">
      <c r="D754" s="13"/>
    </row>
    <row r="755" customFormat="false" ht="15.75" hidden="false" customHeight="false" outlineLevel="0" collapsed="false">
      <c r="D755" s="13"/>
    </row>
    <row r="756" customFormat="false" ht="15.75" hidden="false" customHeight="false" outlineLevel="0" collapsed="false">
      <c r="D756" s="13"/>
    </row>
    <row r="757" customFormat="false" ht="15.75" hidden="false" customHeight="false" outlineLevel="0" collapsed="false">
      <c r="D757" s="13"/>
    </row>
    <row r="758" customFormat="false" ht="15.75" hidden="false" customHeight="false" outlineLevel="0" collapsed="false">
      <c r="D758" s="13"/>
    </row>
    <row r="759" customFormat="false" ht="15.75" hidden="false" customHeight="false" outlineLevel="0" collapsed="false">
      <c r="D759" s="13"/>
    </row>
    <row r="760" customFormat="false" ht="15.75" hidden="false" customHeight="false" outlineLevel="0" collapsed="false">
      <c r="D760" s="13"/>
    </row>
    <row r="761" customFormat="false" ht="15.75" hidden="false" customHeight="false" outlineLevel="0" collapsed="false">
      <c r="D761" s="13"/>
    </row>
    <row r="762" customFormat="false" ht="15.75" hidden="false" customHeight="false" outlineLevel="0" collapsed="false">
      <c r="D762" s="13"/>
    </row>
    <row r="763" customFormat="false" ht="15.75" hidden="false" customHeight="false" outlineLevel="0" collapsed="false">
      <c r="D763" s="13"/>
    </row>
    <row r="764" customFormat="false" ht="15.75" hidden="false" customHeight="false" outlineLevel="0" collapsed="false">
      <c r="D764" s="13"/>
    </row>
    <row r="765" customFormat="false" ht="15.75" hidden="false" customHeight="false" outlineLevel="0" collapsed="false">
      <c r="D765" s="13"/>
    </row>
    <row r="766" customFormat="false" ht="15.75" hidden="false" customHeight="false" outlineLevel="0" collapsed="false">
      <c r="D766" s="13"/>
    </row>
    <row r="767" customFormat="false" ht="15.75" hidden="false" customHeight="false" outlineLevel="0" collapsed="false">
      <c r="D767" s="13"/>
    </row>
    <row r="768" customFormat="false" ht="15.75" hidden="false" customHeight="false" outlineLevel="0" collapsed="false">
      <c r="D768" s="13"/>
    </row>
    <row r="769" customFormat="false" ht="15.75" hidden="false" customHeight="false" outlineLevel="0" collapsed="false">
      <c r="D769" s="13"/>
    </row>
    <row r="770" customFormat="false" ht="15.75" hidden="false" customHeight="false" outlineLevel="0" collapsed="false">
      <c r="D770" s="13"/>
    </row>
    <row r="771" customFormat="false" ht="15.75" hidden="false" customHeight="false" outlineLevel="0" collapsed="false">
      <c r="D771" s="13"/>
    </row>
    <row r="772" customFormat="false" ht="15.75" hidden="false" customHeight="false" outlineLevel="0" collapsed="false">
      <c r="D772" s="13"/>
    </row>
    <row r="773" customFormat="false" ht="15.75" hidden="false" customHeight="false" outlineLevel="0" collapsed="false">
      <c r="D773" s="13"/>
    </row>
    <row r="774" customFormat="false" ht="15.75" hidden="false" customHeight="false" outlineLevel="0" collapsed="false">
      <c r="D774" s="13"/>
    </row>
    <row r="775" customFormat="false" ht="15.75" hidden="false" customHeight="false" outlineLevel="0" collapsed="false">
      <c r="D775" s="13"/>
    </row>
    <row r="776" customFormat="false" ht="15.75" hidden="false" customHeight="false" outlineLevel="0" collapsed="false">
      <c r="D776" s="13"/>
    </row>
    <row r="777" customFormat="false" ht="15.75" hidden="false" customHeight="false" outlineLevel="0" collapsed="false">
      <c r="D777" s="13"/>
    </row>
    <row r="778" customFormat="false" ht="15.75" hidden="false" customHeight="false" outlineLevel="0" collapsed="false">
      <c r="D778" s="13"/>
    </row>
    <row r="779" customFormat="false" ht="15.75" hidden="false" customHeight="false" outlineLevel="0" collapsed="false">
      <c r="D779" s="13"/>
    </row>
    <row r="780" customFormat="false" ht="15.75" hidden="false" customHeight="false" outlineLevel="0" collapsed="false">
      <c r="D780" s="13"/>
    </row>
    <row r="781" customFormat="false" ht="15.75" hidden="false" customHeight="false" outlineLevel="0" collapsed="false">
      <c r="D781" s="13"/>
    </row>
    <row r="782" customFormat="false" ht="15.75" hidden="false" customHeight="false" outlineLevel="0" collapsed="false">
      <c r="D782" s="13"/>
    </row>
    <row r="783" customFormat="false" ht="15.75" hidden="false" customHeight="false" outlineLevel="0" collapsed="false">
      <c r="D783" s="13"/>
    </row>
    <row r="784" customFormat="false" ht="15.75" hidden="false" customHeight="false" outlineLevel="0" collapsed="false">
      <c r="D784" s="13"/>
    </row>
    <row r="785" customFormat="false" ht="15.75" hidden="false" customHeight="false" outlineLevel="0" collapsed="false">
      <c r="D785" s="13"/>
    </row>
    <row r="786" customFormat="false" ht="15.75" hidden="false" customHeight="false" outlineLevel="0" collapsed="false">
      <c r="D786" s="13"/>
    </row>
    <row r="787" customFormat="false" ht="15.75" hidden="false" customHeight="false" outlineLevel="0" collapsed="false">
      <c r="D787" s="13"/>
    </row>
    <row r="788" customFormat="false" ht="15.75" hidden="false" customHeight="false" outlineLevel="0" collapsed="false">
      <c r="D788" s="13"/>
    </row>
    <row r="789" customFormat="false" ht="15.75" hidden="false" customHeight="false" outlineLevel="0" collapsed="false">
      <c r="D789" s="13"/>
    </row>
    <row r="790" customFormat="false" ht="15.75" hidden="false" customHeight="false" outlineLevel="0" collapsed="false">
      <c r="D790" s="13"/>
    </row>
    <row r="791" customFormat="false" ht="15.75" hidden="false" customHeight="false" outlineLevel="0" collapsed="false">
      <c r="D791" s="13"/>
    </row>
    <row r="792" customFormat="false" ht="15.75" hidden="false" customHeight="false" outlineLevel="0" collapsed="false">
      <c r="D792" s="13"/>
    </row>
    <row r="793" customFormat="false" ht="15.75" hidden="false" customHeight="false" outlineLevel="0" collapsed="false">
      <c r="D793" s="13"/>
    </row>
    <row r="794" customFormat="false" ht="15.75" hidden="false" customHeight="false" outlineLevel="0" collapsed="false">
      <c r="D794" s="13"/>
    </row>
    <row r="795" customFormat="false" ht="15.75" hidden="false" customHeight="false" outlineLevel="0" collapsed="false">
      <c r="D795" s="13"/>
    </row>
    <row r="796" customFormat="false" ht="15.75" hidden="false" customHeight="false" outlineLevel="0" collapsed="false">
      <c r="D796" s="13"/>
    </row>
    <row r="797" customFormat="false" ht="15.75" hidden="false" customHeight="false" outlineLevel="0" collapsed="false">
      <c r="D797" s="13"/>
    </row>
    <row r="798" customFormat="false" ht="15.75" hidden="false" customHeight="false" outlineLevel="0" collapsed="false">
      <c r="D798" s="13"/>
    </row>
    <row r="799" customFormat="false" ht="15.75" hidden="false" customHeight="false" outlineLevel="0" collapsed="false">
      <c r="D799" s="13"/>
    </row>
    <row r="800" customFormat="false" ht="15.75" hidden="false" customHeight="false" outlineLevel="0" collapsed="false">
      <c r="D800" s="13"/>
    </row>
    <row r="801" customFormat="false" ht="15.75" hidden="false" customHeight="false" outlineLevel="0" collapsed="false">
      <c r="D801" s="13"/>
    </row>
    <row r="802" customFormat="false" ht="15.75" hidden="false" customHeight="false" outlineLevel="0" collapsed="false">
      <c r="D802" s="13"/>
    </row>
    <row r="803" customFormat="false" ht="15.75" hidden="false" customHeight="false" outlineLevel="0" collapsed="false">
      <c r="D803" s="13"/>
    </row>
    <row r="804" customFormat="false" ht="15.75" hidden="false" customHeight="false" outlineLevel="0" collapsed="false">
      <c r="D804" s="13"/>
    </row>
    <row r="805" customFormat="false" ht="15.75" hidden="false" customHeight="false" outlineLevel="0" collapsed="false">
      <c r="D805" s="13"/>
    </row>
    <row r="806" customFormat="false" ht="15.75" hidden="false" customHeight="false" outlineLevel="0" collapsed="false">
      <c r="D806" s="13"/>
    </row>
    <row r="807" customFormat="false" ht="15.75" hidden="false" customHeight="false" outlineLevel="0" collapsed="false">
      <c r="D807" s="13"/>
    </row>
    <row r="808" customFormat="false" ht="15.75" hidden="false" customHeight="false" outlineLevel="0" collapsed="false">
      <c r="D808" s="13"/>
    </row>
    <row r="809" customFormat="false" ht="15.75" hidden="false" customHeight="false" outlineLevel="0" collapsed="false">
      <c r="D809" s="13"/>
    </row>
    <row r="810" customFormat="false" ht="15.75" hidden="false" customHeight="false" outlineLevel="0" collapsed="false">
      <c r="D810" s="13"/>
    </row>
    <row r="811" customFormat="false" ht="15.75" hidden="false" customHeight="false" outlineLevel="0" collapsed="false">
      <c r="D811" s="13"/>
    </row>
    <row r="812" customFormat="false" ht="15.75" hidden="false" customHeight="false" outlineLevel="0" collapsed="false">
      <c r="D812" s="13"/>
    </row>
    <row r="813" customFormat="false" ht="15.75" hidden="false" customHeight="false" outlineLevel="0" collapsed="false">
      <c r="D813" s="13"/>
    </row>
    <row r="814" customFormat="false" ht="15.75" hidden="false" customHeight="false" outlineLevel="0" collapsed="false">
      <c r="D814" s="13"/>
    </row>
    <row r="815" customFormat="false" ht="15.75" hidden="false" customHeight="false" outlineLevel="0" collapsed="false">
      <c r="D815" s="13"/>
    </row>
    <row r="816" customFormat="false" ht="15.75" hidden="false" customHeight="false" outlineLevel="0" collapsed="false">
      <c r="D816" s="13"/>
    </row>
    <row r="817" customFormat="false" ht="15.75" hidden="false" customHeight="false" outlineLevel="0" collapsed="false">
      <c r="D817" s="13"/>
    </row>
    <row r="818" customFormat="false" ht="15.75" hidden="false" customHeight="false" outlineLevel="0" collapsed="false">
      <c r="D818" s="13"/>
    </row>
    <row r="819" customFormat="false" ht="15.75" hidden="false" customHeight="false" outlineLevel="0" collapsed="false">
      <c r="D819" s="13"/>
    </row>
    <row r="820" customFormat="false" ht="15.75" hidden="false" customHeight="false" outlineLevel="0" collapsed="false">
      <c r="D820" s="13"/>
    </row>
    <row r="821" customFormat="false" ht="15.75" hidden="false" customHeight="false" outlineLevel="0" collapsed="false">
      <c r="D821" s="13"/>
    </row>
    <row r="822" customFormat="false" ht="15.75" hidden="false" customHeight="false" outlineLevel="0" collapsed="false">
      <c r="D822" s="13"/>
    </row>
    <row r="823" customFormat="false" ht="15.75" hidden="false" customHeight="false" outlineLevel="0" collapsed="false">
      <c r="D823" s="13"/>
    </row>
    <row r="824" customFormat="false" ht="15.75" hidden="false" customHeight="false" outlineLevel="0" collapsed="false">
      <c r="D824" s="13"/>
    </row>
    <row r="825" customFormat="false" ht="15.75" hidden="false" customHeight="false" outlineLevel="0" collapsed="false">
      <c r="D825" s="13"/>
    </row>
    <row r="826" customFormat="false" ht="15.75" hidden="false" customHeight="false" outlineLevel="0" collapsed="false">
      <c r="D826" s="13"/>
    </row>
    <row r="827" customFormat="false" ht="15.75" hidden="false" customHeight="false" outlineLevel="0" collapsed="false">
      <c r="D827" s="13"/>
    </row>
    <row r="828" customFormat="false" ht="15.75" hidden="false" customHeight="false" outlineLevel="0" collapsed="false">
      <c r="D828" s="13"/>
    </row>
    <row r="829" customFormat="false" ht="15.75" hidden="false" customHeight="false" outlineLevel="0" collapsed="false">
      <c r="D829" s="13"/>
    </row>
    <row r="830" customFormat="false" ht="15.75" hidden="false" customHeight="false" outlineLevel="0" collapsed="false">
      <c r="D830" s="13"/>
    </row>
    <row r="831" customFormat="false" ht="15.75" hidden="false" customHeight="false" outlineLevel="0" collapsed="false">
      <c r="D831" s="13"/>
    </row>
    <row r="832" customFormat="false" ht="15.75" hidden="false" customHeight="false" outlineLevel="0" collapsed="false">
      <c r="D832" s="13"/>
    </row>
    <row r="833" customFormat="false" ht="15.75" hidden="false" customHeight="false" outlineLevel="0" collapsed="false">
      <c r="D833" s="13"/>
    </row>
    <row r="834" customFormat="false" ht="15.75" hidden="false" customHeight="false" outlineLevel="0" collapsed="false">
      <c r="D834" s="13"/>
    </row>
    <row r="835" customFormat="false" ht="15.75" hidden="false" customHeight="false" outlineLevel="0" collapsed="false">
      <c r="D835" s="13"/>
    </row>
    <row r="836" customFormat="false" ht="15.75" hidden="false" customHeight="false" outlineLevel="0" collapsed="false">
      <c r="D836" s="13"/>
    </row>
    <row r="837" customFormat="false" ht="15.75" hidden="false" customHeight="false" outlineLevel="0" collapsed="false">
      <c r="D837" s="13"/>
    </row>
    <row r="838" customFormat="false" ht="15.75" hidden="false" customHeight="false" outlineLevel="0" collapsed="false">
      <c r="D838" s="13"/>
    </row>
    <row r="839" customFormat="false" ht="15.75" hidden="false" customHeight="false" outlineLevel="0" collapsed="false">
      <c r="D839" s="13"/>
    </row>
    <row r="840" customFormat="false" ht="15.75" hidden="false" customHeight="false" outlineLevel="0" collapsed="false">
      <c r="D840" s="13"/>
    </row>
    <row r="841" customFormat="false" ht="15.75" hidden="false" customHeight="false" outlineLevel="0" collapsed="false">
      <c r="D841" s="13"/>
    </row>
    <row r="842" customFormat="false" ht="15.75" hidden="false" customHeight="false" outlineLevel="0" collapsed="false">
      <c r="D842" s="13"/>
    </row>
    <row r="843" customFormat="false" ht="15.75" hidden="false" customHeight="false" outlineLevel="0" collapsed="false">
      <c r="D843" s="13"/>
    </row>
    <row r="844" customFormat="false" ht="15.75" hidden="false" customHeight="false" outlineLevel="0" collapsed="false">
      <c r="D844" s="13"/>
    </row>
    <row r="845" customFormat="false" ht="15.75" hidden="false" customHeight="false" outlineLevel="0" collapsed="false">
      <c r="D845" s="13"/>
    </row>
    <row r="846" customFormat="false" ht="15.75" hidden="false" customHeight="false" outlineLevel="0" collapsed="false">
      <c r="D846" s="13"/>
    </row>
    <row r="847" customFormat="false" ht="15.75" hidden="false" customHeight="false" outlineLevel="0" collapsed="false">
      <c r="D847" s="13"/>
    </row>
    <row r="848" customFormat="false" ht="15.75" hidden="false" customHeight="false" outlineLevel="0" collapsed="false">
      <c r="D848" s="13"/>
    </row>
    <row r="849" customFormat="false" ht="15.75" hidden="false" customHeight="false" outlineLevel="0" collapsed="false">
      <c r="D849" s="13"/>
    </row>
    <row r="850" customFormat="false" ht="15.75" hidden="false" customHeight="false" outlineLevel="0" collapsed="false">
      <c r="D850" s="13"/>
    </row>
    <row r="851" customFormat="false" ht="15.75" hidden="false" customHeight="false" outlineLevel="0" collapsed="false">
      <c r="D851" s="13"/>
    </row>
    <row r="852" customFormat="false" ht="15.75" hidden="false" customHeight="false" outlineLevel="0" collapsed="false">
      <c r="D852" s="13"/>
    </row>
    <row r="853" customFormat="false" ht="15.75" hidden="false" customHeight="false" outlineLevel="0" collapsed="false">
      <c r="D853" s="13"/>
    </row>
    <row r="854" customFormat="false" ht="15.75" hidden="false" customHeight="false" outlineLevel="0" collapsed="false">
      <c r="D854" s="13"/>
    </row>
    <row r="855" customFormat="false" ht="15.75" hidden="false" customHeight="false" outlineLevel="0" collapsed="false">
      <c r="D855" s="13"/>
    </row>
    <row r="856" customFormat="false" ht="15.75" hidden="false" customHeight="false" outlineLevel="0" collapsed="false">
      <c r="D856" s="13"/>
    </row>
    <row r="857" customFormat="false" ht="15.75" hidden="false" customHeight="false" outlineLevel="0" collapsed="false">
      <c r="D857" s="13"/>
    </row>
    <row r="858" customFormat="false" ht="15.75" hidden="false" customHeight="false" outlineLevel="0" collapsed="false">
      <c r="D858" s="13"/>
    </row>
    <row r="859" customFormat="false" ht="15.75" hidden="false" customHeight="false" outlineLevel="0" collapsed="false">
      <c r="D859" s="13"/>
    </row>
    <row r="860" customFormat="false" ht="15.75" hidden="false" customHeight="false" outlineLevel="0" collapsed="false">
      <c r="D860" s="13"/>
    </row>
    <row r="861" customFormat="false" ht="15.75" hidden="false" customHeight="false" outlineLevel="0" collapsed="false">
      <c r="D861" s="13"/>
    </row>
    <row r="862" customFormat="false" ht="15.75" hidden="false" customHeight="false" outlineLevel="0" collapsed="false">
      <c r="D862" s="13"/>
    </row>
    <row r="863" customFormat="false" ht="15.75" hidden="false" customHeight="false" outlineLevel="0" collapsed="false">
      <c r="D863" s="13"/>
    </row>
    <row r="864" customFormat="false" ht="15.75" hidden="false" customHeight="false" outlineLevel="0" collapsed="false">
      <c r="D864" s="13"/>
    </row>
    <row r="865" customFormat="false" ht="15.75" hidden="false" customHeight="false" outlineLevel="0" collapsed="false">
      <c r="D865" s="13"/>
    </row>
    <row r="866" customFormat="false" ht="15.75" hidden="false" customHeight="false" outlineLevel="0" collapsed="false">
      <c r="D866" s="13"/>
    </row>
    <row r="867" customFormat="false" ht="15.75" hidden="false" customHeight="false" outlineLevel="0" collapsed="false">
      <c r="D867" s="13"/>
    </row>
    <row r="868" customFormat="false" ht="15.75" hidden="false" customHeight="false" outlineLevel="0" collapsed="false">
      <c r="D868" s="13"/>
    </row>
    <row r="869" customFormat="false" ht="15.75" hidden="false" customHeight="false" outlineLevel="0" collapsed="false">
      <c r="D869" s="13"/>
    </row>
    <row r="870" customFormat="false" ht="15.75" hidden="false" customHeight="false" outlineLevel="0" collapsed="false">
      <c r="D870" s="13"/>
    </row>
    <row r="871" customFormat="false" ht="15.75" hidden="false" customHeight="false" outlineLevel="0" collapsed="false">
      <c r="D871" s="13"/>
    </row>
    <row r="872" customFormat="false" ht="15.75" hidden="false" customHeight="false" outlineLevel="0" collapsed="false">
      <c r="D872" s="13"/>
    </row>
    <row r="873" customFormat="false" ht="15.75" hidden="false" customHeight="false" outlineLevel="0" collapsed="false">
      <c r="D873" s="13"/>
    </row>
    <row r="874" customFormat="false" ht="15.75" hidden="false" customHeight="false" outlineLevel="0" collapsed="false">
      <c r="D874" s="13"/>
    </row>
    <row r="875" customFormat="false" ht="15.75" hidden="false" customHeight="false" outlineLevel="0" collapsed="false">
      <c r="D875" s="13"/>
    </row>
    <row r="876" customFormat="false" ht="15.75" hidden="false" customHeight="false" outlineLevel="0" collapsed="false">
      <c r="D876" s="13"/>
    </row>
    <row r="877" customFormat="false" ht="15.75" hidden="false" customHeight="false" outlineLevel="0" collapsed="false">
      <c r="D877" s="13"/>
    </row>
    <row r="878" customFormat="false" ht="15.75" hidden="false" customHeight="false" outlineLevel="0" collapsed="false">
      <c r="D878" s="13"/>
    </row>
    <row r="879" customFormat="false" ht="15.75" hidden="false" customHeight="false" outlineLevel="0" collapsed="false">
      <c r="D879" s="13"/>
    </row>
    <row r="880" customFormat="false" ht="15.75" hidden="false" customHeight="false" outlineLevel="0" collapsed="false">
      <c r="D880" s="13"/>
    </row>
    <row r="881" customFormat="false" ht="15.75" hidden="false" customHeight="false" outlineLevel="0" collapsed="false">
      <c r="D881" s="13"/>
    </row>
    <row r="882" customFormat="false" ht="15.75" hidden="false" customHeight="false" outlineLevel="0" collapsed="false">
      <c r="D882" s="13"/>
    </row>
    <row r="883" customFormat="false" ht="15.75" hidden="false" customHeight="false" outlineLevel="0" collapsed="false">
      <c r="D883" s="13"/>
    </row>
    <row r="884" customFormat="false" ht="15.75" hidden="false" customHeight="false" outlineLevel="0" collapsed="false">
      <c r="D884" s="13"/>
    </row>
    <row r="885" customFormat="false" ht="15.75" hidden="false" customHeight="false" outlineLevel="0" collapsed="false">
      <c r="D885" s="13"/>
    </row>
    <row r="886" customFormat="false" ht="15.75" hidden="false" customHeight="false" outlineLevel="0" collapsed="false">
      <c r="D886" s="13"/>
    </row>
    <row r="887" customFormat="false" ht="15.75" hidden="false" customHeight="false" outlineLevel="0" collapsed="false">
      <c r="D887" s="13"/>
    </row>
    <row r="888" customFormat="false" ht="15.75" hidden="false" customHeight="false" outlineLevel="0" collapsed="false">
      <c r="D888" s="13"/>
    </row>
    <row r="889" customFormat="false" ht="15.75" hidden="false" customHeight="false" outlineLevel="0" collapsed="false">
      <c r="D889" s="13"/>
    </row>
    <row r="890" customFormat="false" ht="15.75" hidden="false" customHeight="false" outlineLevel="0" collapsed="false">
      <c r="D890" s="13"/>
    </row>
    <row r="891" customFormat="false" ht="15.75" hidden="false" customHeight="false" outlineLevel="0" collapsed="false">
      <c r="D891" s="13"/>
    </row>
    <row r="892" customFormat="false" ht="15.75" hidden="false" customHeight="false" outlineLevel="0" collapsed="false">
      <c r="D892" s="13"/>
    </row>
    <row r="893" customFormat="false" ht="15.75" hidden="false" customHeight="false" outlineLevel="0" collapsed="false">
      <c r="D893" s="13"/>
    </row>
    <row r="894" customFormat="false" ht="15.75" hidden="false" customHeight="false" outlineLevel="0" collapsed="false">
      <c r="D894" s="13"/>
    </row>
    <row r="895" customFormat="false" ht="15.75" hidden="false" customHeight="false" outlineLevel="0" collapsed="false">
      <c r="D895" s="13"/>
    </row>
    <row r="896" customFormat="false" ht="15.75" hidden="false" customHeight="false" outlineLevel="0" collapsed="false">
      <c r="D896" s="13"/>
    </row>
    <row r="897" customFormat="false" ht="15.75" hidden="false" customHeight="false" outlineLevel="0" collapsed="false">
      <c r="D897" s="13"/>
    </row>
    <row r="898" customFormat="false" ht="15.75" hidden="false" customHeight="false" outlineLevel="0" collapsed="false">
      <c r="D898" s="13"/>
    </row>
    <row r="899" customFormat="false" ht="15.75" hidden="false" customHeight="false" outlineLevel="0" collapsed="false">
      <c r="D899" s="13"/>
    </row>
    <row r="900" customFormat="false" ht="15.75" hidden="false" customHeight="false" outlineLevel="0" collapsed="false">
      <c r="D900" s="13"/>
    </row>
    <row r="901" customFormat="false" ht="15.75" hidden="false" customHeight="false" outlineLevel="0" collapsed="false">
      <c r="D901" s="13"/>
    </row>
    <row r="902" customFormat="false" ht="15.75" hidden="false" customHeight="false" outlineLevel="0" collapsed="false">
      <c r="D902" s="13"/>
    </row>
    <row r="903" customFormat="false" ht="15.75" hidden="false" customHeight="false" outlineLevel="0" collapsed="false">
      <c r="D903" s="13"/>
    </row>
    <row r="904" customFormat="false" ht="15.75" hidden="false" customHeight="false" outlineLevel="0" collapsed="false">
      <c r="D904" s="13"/>
    </row>
    <row r="905" customFormat="false" ht="15.75" hidden="false" customHeight="false" outlineLevel="0" collapsed="false">
      <c r="D905" s="13"/>
    </row>
    <row r="906" customFormat="false" ht="15.75" hidden="false" customHeight="false" outlineLevel="0" collapsed="false">
      <c r="D906" s="13"/>
    </row>
    <row r="907" customFormat="false" ht="15.75" hidden="false" customHeight="false" outlineLevel="0" collapsed="false">
      <c r="D907" s="13"/>
    </row>
    <row r="908" customFormat="false" ht="15.75" hidden="false" customHeight="false" outlineLevel="0" collapsed="false">
      <c r="D908" s="13"/>
    </row>
    <row r="909" customFormat="false" ht="15.75" hidden="false" customHeight="false" outlineLevel="0" collapsed="false">
      <c r="D909" s="13"/>
    </row>
    <row r="910" customFormat="false" ht="15.75" hidden="false" customHeight="false" outlineLevel="0" collapsed="false">
      <c r="D910" s="13"/>
    </row>
    <row r="911" customFormat="false" ht="15.75" hidden="false" customHeight="false" outlineLevel="0" collapsed="false">
      <c r="D911" s="13"/>
    </row>
    <row r="912" customFormat="false" ht="15.75" hidden="false" customHeight="false" outlineLevel="0" collapsed="false">
      <c r="D912" s="13"/>
    </row>
    <row r="913" customFormat="false" ht="15.75" hidden="false" customHeight="false" outlineLevel="0" collapsed="false">
      <c r="D913" s="13"/>
    </row>
    <row r="914" customFormat="false" ht="15.75" hidden="false" customHeight="false" outlineLevel="0" collapsed="false">
      <c r="D914" s="13"/>
    </row>
    <row r="915" customFormat="false" ht="15.75" hidden="false" customHeight="false" outlineLevel="0" collapsed="false">
      <c r="D915" s="13"/>
    </row>
    <row r="916" customFormat="false" ht="15.75" hidden="false" customHeight="false" outlineLevel="0" collapsed="false">
      <c r="D916" s="13"/>
    </row>
    <row r="917" customFormat="false" ht="15.75" hidden="false" customHeight="false" outlineLevel="0" collapsed="false">
      <c r="D917" s="13"/>
    </row>
    <row r="918" customFormat="false" ht="15.75" hidden="false" customHeight="false" outlineLevel="0" collapsed="false">
      <c r="D918" s="13"/>
    </row>
    <row r="919" customFormat="false" ht="15.75" hidden="false" customHeight="false" outlineLevel="0" collapsed="false">
      <c r="D919" s="13"/>
    </row>
    <row r="920" customFormat="false" ht="15.75" hidden="false" customHeight="false" outlineLevel="0" collapsed="false">
      <c r="D920" s="13"/>
    </row>
    <row r="921" customFormat="false" ht="15.75" hidden="false" customHeight="false" outlineLevel="0" collapsed="false">
      <c r="D921" s="13"/>
    </row>
    <row r="922" customFormat="false" ht="15.75" hidden="false" customHeight="false" outlineLevel="0" collapsed="false">
      <c r="D922" s="13"/>
    </row>
    <row r="923" customFormat="false" ht="15.75" hidden="false" customHeight="false" outlineLevel="0" collapsed="false">
      <c r="D923" s="13"/>
    </row>
    <row r="924" customFormat="false" ht="15.75" hidden="false" customHeight="false" outlineLevel="0" collapsed="false">
      <c r="D924" s="13"/>
    </row>
    <row r="925" customFormat="false" ht="15.75" hidden="false" customHeight="false" outlineLevel="0" collapsed="false">
      <c r="D925" s="13"/>
    </row>
    <row r="926" customFormat="false" ht="15.75" hidden="false" customHeight="false" outlineLevel="0" collapsed="false">
      <c r="D926" s="13"/>
    </row>
    <row r="927" customFormat="false" ht="15.75" hidden="false" customHeight="false" outlineLevel="0" collapsed="false">
      <c r="D927" s="13"/>
    </row>
    <row r="928" customFormat="false" ht="15.75" hidden="false" customHeight="false" outlineLevel="0" collapsed="false">
      <c r="D928" s="13"/>
    </row>
    <row r="929" customFormat="false" ht="15.75" hidden="false" customHeight="false" outlineLevel="0" collapsed="false">
      <c r="D929" s="13"/>
    </row>
    <row r="930" customFormat="false" ht="15.75" hidden="false" customHeight="false" outlineLevel="0" collapsed="false">
      <c r="D930" s="13"/>
    </row>
    <row r="931" customFormat="false" ht="15.75" hidden="false" customHeight="false" outlineLevel="0" collapsed="false">
      <c r="D931" s="13"/>
    </row>
    <row r="932" customFormat="false" ht="15.75" hidden="false" customHeight="false" outlineLevel="0" collapsed="false">
      <c r="D932" s="13"/>
    </row>
    <row r="933" customFormat="false" ht="15.75" hidden="false" customHeight="false" outlineLevel="0" collapsed="false">
      <c r="D933" s="13"/>
    </row>
    <row r="934" customFormat="false" ht="15.75" hidden="false" customHeight="false" outlineLevel="0" collapsed="false">
      <c r="D934" s="13"/>
    </row>
    <row r="935" customFormat="false" ht="15.75" hidden="false" customHeight="false" outlineLevel="0" collapsed="false">
      <c r="D935" s="13"/>
    </row>
    <row r="936" customFormat="false" ht="15.75" hidden="false" customHeight="false" outlineLevel="0" collapsed="false">
      <c r="D936" s="13"/>
    </row>
    <row r="937" customFormat="false" ht="15.75" hidden="false" customHeight="false" outlineLevel="0" collapsed="false">
      <c r="D937" s="13"/>
    </row>
    <row r="938" customFormat="false" ht="15.75" hidden="false" customHeight="false" outlineLevel="0" collapsed="false">
      <c r="D938" s="13"/>
    </row>
    <row r="939" customFormat="false" ht="15.75" hidden="false" customHeight="false" outlineLevel="0" collapsed="false">
      <c r="D939" s="13"/>
    </row>
    <row r="940" customFormat="false" ht="15.75" hidden="false" customHeight="false" outlineLevel="0" collapsed="false">
      <c r="D940" s="13"/>
    </row>
    <row r="941" customFormat="false" ht="15.75" hidden="false" customHeight="false" outlineLevel="0" collapsed="false">
      <c r="D941" s="13"/>
    </row>
    <row r="942" customFormat="false" ht="15.75" hidden="false" customHeight="false" outlineLevel="0" collapsed="false">
      <c r="D942" s="13"/>
    </row>
    <row r="943" customFormat="false" ht="15.75" hidden="false" customHeight="false" outlineLevel="0" collapsed="false">
      <c r="D943" s="13"/>
    </row>
    <row r="944" customFormat="false" ht="15.75" hidden="false" customHeight="false" outlineLevel="0" collapsed="false">
      <c r="D944" s="13"/>
    </row>
    <row r="945" customFormat="false" ht="15.75" hidden="false" customHeight="false" outlineLevel="0" collapsed="false">
      <c r="D945" s="13"/>
    </row>
    <row r="946" customFormat="false" ht="15.75" hidden="false" customHeight="false" outlineLevel="0" collapsed="false">
      <c r="D946" s="13"/>
    </row>
    <row r="947" customFormat="false" ht="15.75" hidden="false" customHeight="false" outlineLevel="0" collapsed="false">
      <c r="D947" s="13"/>
    </row>
    <row r="948" customFormat="false" ht="15.75" hidden="false" customHeight="false" outlineLevel="0" collapsed="false">
      <c r="D948" s="13"/>
    </row>
    <row r="949" customFormat="false" ht="15.75" hidden="false" customHeight="false" outlineLevel="0" collapsed="false">
      <c r="D949" s="13"/>
    </row>
    <row r="950" customFormat="false" ht="15.75" hidden="false" customHeight="false" outlineLevel="0" collapsed="false">
      <c r="D950" s="13"/>
    </row>
    <row r="951" customFormat="false" ht="15.75" hidden="false" customHeight="false" outlineLevel="0" collapsed="false">
      <c r="D951" s="13"/>
    </row>
    <row r="952" customFormat="false" ht="15.75" hidden="false" customHeight="false" outlineLevel="0" collapsed="false">
      <c r="D952" s="13"/>
    </row>
    <row r="953" customFormat="false" ht="15.75" hidden="false" customHeight="false" outlineLevel="0" collapsed="false">
      <c r="D953" s="13"/>
    </row>
    <row r="954" customFormat="false" ht="15.75" hidden="false" customHeight="false" outlineLevel="0" collapsed="false">
      <c r="D954" s="13"/>
    </row>
    <row r="955" customFormat="false" ht="15.75" hidden="false" customHeight="false" outlineLevel="0" collapsed="false">
      <c r="D955" s="13"/>
    </row>
    <row r="956" customFormat="false" ht="15.75" hidden="false" customHeight="false" outlineLevel="0" collapsed="false">
      <c r="D956" s="13"/>
    </row>
    <row r="957" customFormat="false" ht="15.75" hidden="false" customHeight="false" outlineLevel="0" collapsed="false">
      <c r="D957" s="13"/>
    </row>
    <row r="958" customFormat="false" ht="15.75" hidden="false" customHeight="false" outlineLevel="0" collapsed="false">
      <c r="D958" s="13"/>
    </row>
    <row r="959" customFormat="false" ht="15.75" hidden="false" customHeight="false" outlineLevel="0" collapsed="false">
      <c r="D959" s="13"/>
    </row>
    <row r="960" customFormat="false" ht="15.75" hidden="false" customHeight="false" outlineLevel="0" collapsed="false">
      <c r="D960" s="13"/>
    </row>
    <row r="961" customFormat="false" ht="15.75" hidden="false" customHeight="false" outlineLevel="0" collapsed="false">
      <c r="D961" s="13"/>
    </row>
    <row r="962" customFormat="false" ht="15.75" hidden="false" customHeight="false" outlineLevel="0" collapsed="false">
      <c r="D962" s="13"/>
    </row>
    <row r="963" customFormat="false" ht="15.75" hidden="false" customHeight="false" outlineLevel="0" collapsed="false">
      <c r="D963" s="13"/>
    </row>
    <row r="964" customFormat="false" ht="15.75" hidden="false" customHeight="false" outlineLevel="0" collapsed="false">
      <c r="D964" s="13"/>
    </row>
    <row r="965" customFormat="false" ht="15.75" hidden="false" customHeight="false" outlineLevel="0" collapsed="false">
      <c r="D965" s="13"/>
    </row>
    <row r="966" customFormat="false" ht="15.75" hidden="false" customHeight="false" outlineLevel="0" collapsed="false">
      <c r="D966" s="13"/>
    </row>
    <row r="967" customFormat="false" ht="15.75" hidden="false" customHeight="false" outlineLevel="0" collapsed="false">
      <c r="D967" s="13"/>
    </row>
    <row r="968" customFormat="false" ht="15.75" hidden="false" customHeight="false" outlineLevel="0" collapsed="false">
      <c r="D968" s="13"/>
    </row>
    <row r="969" customFormat="false" ht="15.75" hidden="false" customHeight="false" outlineLevel="0" collapsed="false">
      <c r="D969" s="13"/>
    </row>
    <row r="970" customFormat="false" ht="15.75" hidden="false" customHeight="false" outlineLevel="0" collapsed="false">
      <c r="D970" s="13"/>
    </row>
    <row r="971" customFormat="false" ht="15.75" hidden="false" customHeight="false" outlineLevel="0" collapsed="false">
      <c r="D971" s="13"/>
    </row>
    <row r="972" customFormat="false" ht="15.75" hidden="false" customHeight="false" outlineLevel="0" collapsed="false">
      <c r="D972" s="13"/>
    </row>
    <row r="973" customFormat="false" ht="15.75" hidden="false" customHeight="false" outlineLevel="0" collapsed="false">
      <c r="D973" s="13"/>
    </row>
    <row r="974" customFormat="false" ht="15.75" hidden="false" customHeight="false" outlineLevel="0" collapsed="false">
      <c r="D974" s="13"/>
    </row>
    <row r="975" customFormat="false" ht="15.75" hidden="false" customHeight="false" outlineLevel="0" collapsed="false">
      <c r="D975" s="13"/>
    </row>
    <row r="976" customFormat="false" ht="15.75" hidden="false" customHeight="false" outlineLevel="0" collapsed="false">
      <c r="D976" s="13"/>
    </row>
    <row r="977" customFormat="false" ht="15.75" hidden="false" customHeight="false" outlineLevel="0" collapsed="false">
      <c r="D977" s="13"/>
    </row>
    <row r="978" customFormat="false" ht="15.75" hidden="false" customHeight="false" outlineLevel="0" collapsed="false">
      <c r="D978" s="13"/>
    </row>
    <row r="979" customFormat="false" ht="15.75" hidden="false" customHeight="false" outlineLevel="0" collapsed="false">
      <c r="D979" s="13"/>
    </row>
    <row r="980" customFormat="false" ht="15.75" hidden="false" customHeight="false" outlineLevel="0" collapsed="false">
      <c r="D980" s="13"/>
    </row>
    <row r="981" customFormat="false" ht="15.75" hidden="false" customHeight="false" outlineLevel="0" collapsed="false">
      <c r="D981" s="13"/>
    </row>
    <row r="982" customFormat="false" ht="15.75" hidden="false" customHeight="false" outlineLevel="0" collapsed="false">
      <c r="D982" s="13"/>
    </row>
    <row r="983" customFormat="false" ht="15.75" hidden="false" customHeight="false" outlineLevel="0" collapsed="false">
      <c r="D983" s="13"/>
    </row>
    <row r="984" customFormat="false" ht="15.75" hidden="false" customHeight="false" outlineLevel="0" collapsed="false">
      <c r="D984" s="13"/>
    </row>
    <row r="985" customFormat="false" ht="15.75" hidden="false" customHeight="false" outlineLevel="0" collapsed="false">
      <c r="D985" s="13"/>
    </row>
    <row r="986" customFormat="false" ht="15.75" hidden="false" customHeight="false" outlineLevel="0" collapsed="false">
      <c r="D986" s="13"/>
    </row>
    <row r="987" customFormat="false" ht="15.75" hidden="false" customHeight="false" outlineLevel="0" collapsed="false">
      <c r="D987" s="13"/>
    </row>
    <row r="988" customFormat="false" ht="15.75" hidden="false" customHeight="false" outlineLevel="0" collapsed="false">
      <c r="D988" s="13"/>
    </row>
    <row r="989" customFormat="false" ht="15.75" hidden="false" customHeight="false" outlineLevel="0" collapsed="false">
      <c r="D989" s="13"/>
    </row>
    <row r="990" customFormat="false" ht="15.75" hidden="false" customHeight="false" outlineLevel="0" collapsed="false">
      <c r="D990" s="13"/>
    </row>
    <row r="991" customFormat="false" ht="15.75" hidden="false" customHeight="false" outlineLevel="0" collapsed="false">
      <c r="D991" s="13"/>
    </row>
    <row r="992" customFormat="false" ht="15.75" hidden="false" customHeight="false" outlineLevel="0" collapsed="false">
      <c r="D992" s="13"/>
    </row>
    <row r="993" customFormat="false" ht="15.75" hidden="false" customHeight="false" outlineLevel="0" collapsed="false">
      <c r="D993" s="13"/>
    </row>
    <row r="994" customFormat="false" ht="15.75" hidden="false" customHeight="false" outlineLevel="0" collapsed="false">
      <c r="D994" s="13"/>
    </row>
    <row r="995" customFormat="false" ht="15.75" hidden="false" customHeight="false" outlineLevel="0" collapsed="false">
      <c r="D995" s="13"/>
    </row>
    <row r="996" customFormat="false" ht="15.75" hidden="false" customHeight="false" outlineLevel="0" collapsed="false">
      <c r="D996" s="13"/>
    </row>
    <row r="997" customFormat="false" ht="15.75" hidden="false" customHeight="false" outlineLevel="0" collapsed="false">
      <c r="D997" s="13"/>
    </row>
    <row r="998" customFormat="false" ht="15.75" hidden="false" customHeight="false" outlineLevel="0" collapsed="false">
      <c r="D998" s="13"/>
    </row>
    <row r="999" customFormat="false" ht="15.75" hidden="false" customHeight="false" outlineLevel="0" collapsed="false">
      <c r="D999" s="13"/>
    </row>
    <row r="1000" customFormat="false" ht="15.75" hidden="false" customHeight="false" outlineLevel="0" collapsed="false">
      <c r="D1000" s="1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9" t="s">
        <v>299</v>
      </c>
      <c r="B1" s="9" t="s">
        <v>300</v>
      </c>
      <c r="C1" s="9" t="s">
        <v>0</v>
      </c>
      <c r="D1" s="9" t="s">
        <v>301</v>
      </c>
      <c r="E1" s="9" t="s">
        <v>302</v>
      </c>
      <c r="F1" s="9" t="s">
        <v>303</v>
      </c>
      <c r="G1" s="9" t="s">
        <v>304</v>
      </c>
      <c r="H1" s="9" t="s">
        <v>305</v>
      </c>
      <c r="I1" s="37" t="s">
        <v>306</v>
      </c>
      <c r="J1" s="9" t="s">
        <v>307</v>
      </c>
      <c r="K1" s="9" t="s">
        <v>308</v>
      </c>
      <c r="L1" s="9" t="s">
        <v>309</v>
      </c>
      <c r="M1" s="9" t="s">
        <v>310</v>
      </c>
      <c r="N1" s="9" t="s">
        <v>311</v>
      </c>
      <c r="O1" s="9" t="s">
        <v>312</v>
      </c>
      <c r="P1" s="9" t="s">
        <v>313</v>
      </c>
      <c r="Q1" s="9" t="s">
        <v>314</v>
      </c>
      <c r="R1" s="9" t="s">
        <v>315</v>
      </c>
      <c r="S1" s="9" t="s">
        <v>316</v>
      </c>
      <c r="T1" s="31"/>
      <c r="U1" s="31"/>
      <c r="V1" s="31"/>
      <c r="W1" s="31"/>
      <c r="X1" s="31"/>
      <c r="Y1" s="31"/>
      <c r="Z1" s="31"/>
      <c r="AA1" s="31"/>
    </row>
    <row r="2" customFormat="false" ht="15.75" hidden="false" customHeight="false" outlineLevel="0" collapsed="false">
      <c r="A2" s="9" t="n">
        <v>1</v>
      </c>
      <c r="B2" s="9" t="n">
        <v>936603</v>
      </c>
      <c r="C2" s="9" t="s">
        <v>317</v>
      </c>
      <c r="D2" s="9" t="s">
        <v>318</v>
      </c>
      <c r="F2" s="9"/>
      <c r="G2" s="9" t="s">
        <v>319</v>
      </c>
      <c r="H2" s="9" t="s">
        <v>320</v>
      </c>
      <c r="I2" s="37"/>
      <c r="J2" s="9" t="n">
        <v>14.19</v>
      </c>
      <c r="K2" s="9" t="n">
        <v>14.9</v>
      </c>
      <c r="L2" s="9" t="n">
        <v>3</v>
      </c>
      <c r="M2" s="9" t="n">
        <v>42.57</v>
      </c>
      <c r="N2" s="9" t="n">
        <v>44.7</v>
      </c>
      <c r="O2" s="38" t="n">
        <v>0.65</v>
      </c>
      <c r="P2" s="9" t="n">
        <v>27.66</v>
      </c>
      <c r="Q2" s="39" t="n">
        <v>0.05</v>
      </c>
      <c r="R2" s="9" t="n">
        <v>1.38</v>
      </c>
      <c r="S2" s="9" t="n">
        <v>29.04</v>
      </c>
      <c r="T2" s="13"/>
      <c r="U2" s="40"/>
      <c r="V2" s="13"/>
      <c r="W2" s="13"/>
      <c r="X2" s="13"/>
      <c r="Y2" s="13"/>
      <c r="Z2" s="31"/>
      <c r="AA2" s="31"/>
    </row>
    <row r="3" customFormat="false" ht="15.75" hidden="false" customHeight="false" outlineLevel="0" collapsed="false">
      <c r="A3" s="9" t="n">
        <v>2</v>
      </c>
      <c r="B3" s="9" t="n">
        <v>385352</v>
      </c>
      <c r="C3" s="9" t="s">
        <v>100</v>
      </c>
      <c r="D3" s="9" t="s">
        <v>321</v>
      </c>
      <c r="F3" s="9"/>
      <c r="G3" s="9" t="s">
        <v>213</v>
      </c>
      <c r="H3" s="9" t="s">
        <v>322</v>
      </c>
      <c r="I3" s="37"/>
      <c r="J3" s="9" t="n">
        <v>17.05</v>
      </c>
      <c r="K3" s="9" t="n">
        <v>17.9</v>
      </c>
      <c r="L3" s="9" t="n">
        <v>2</v>
      </c>
      <c r="M3" s="9" t="n">
        <v>34.1</v>
      </c>
      <c r="N3" s="9" t="n">
        <v>35.8</v>
      </c>
      <c r="O3" s="38" t="n">
        <v>0.65</v>
      </c>
      <c r="P3" s="9" t="n">
        <v>22.15</v>
      </c>
      <c r="Q3" s="39" t="n">
        <v>0.05</v>
      </c>
      <c r="R3" s="9" t="n">
        <v>1.11</v>
      </c>
      <c r="S3" s="9" t="n">
        <v>23.26</v>
      </c>
      <c r="T3" s="13"/>
      <c r="U3" s="40"/>
      <c r="V3" s="13"/>
      <c r="W3" s="13"/>
      <c r="X3" s="13"/>
      <c r="Y3" s="13"/>
      <c r="Z3" s="31"/>
      <c r="AA3" s="31"/>
    </row>
    <row r="4" customFormat="false" ht="15.75" hidden="false" customHeight="false" outlineLevel="0" collapsed="false">
      <c r="A4" s="9" t="n">
        <v>3</v>
      </c>
      <c r="B4" s="9" t="n">
        <v>720926</v>
      </c>
      <c r="C4" s="9" t="s">
        <v>81</v>
      </c>
      <c r="D4" s="9" t="s">
        <v>323</v>
      </c>
      <c r="F4" s="9"/>
      <c r="G4" s="9" t="s">
        <v>284</v>
      </c>
      <c r="H4" s="9" t="s">
        <v>322</v>
      </c>
      <c r="I4" s="37"/>
      <c r="J4" s="9" t="n">
        <v>18.95</v>
      </c>
      <c r="K4" s="9" t="n">
        <v>19.9</v>
      </c>
      <c r="L4" s="9" t="n">
        <v>1</v>
      </c>
      <c r="M4" s="9" t="n">
        <v>18.95</v>
      </c>
      <c r="N4" s="9" t="n">
        <v>19.9</v>
      </c>
      <c r="O4" s="38" t="n">
        <v>0.65</v>
      </c>
      <c r="P4" s="9" t="n">
        <v>12.31</v>
      </c>
      <c r="Q4" s="39" t="n">
        <v>0.05</v>
      </c>
      <c r="R4" s="9" t="n">
        <v>0.62</v>
      </c>
      <c r="S4" s="9" t="n">
        <v>12.93</v>
      </c>
      <c r="T4" s="13"/>
      <c r="U4" s="40"/>
      <c r="V4" s="13"/>
      <c r="W4" s="13"/>
      <c r="X4" s="13"/>
      <c r="Y4" s="13"/>
      <c r="Z4" s="31"/>
      <c r="AA4" s="31"/>
    </row>
    <row r="5" customFormat="false" ht="15.75" hidden="false" customHeight="false" outlineLevel="0" collapsed="false">
      <c r="A5" s="9" t="n">
        <v>4</v>
      </c>
      <c r="B5" s="9" t="n">
        <v>439224</v>
      </c>
      <c r="C5" s="9" t="s">
        <v>324</v>
      </c>
      <c r="D5" s="9" t="s">
        <v>325</v>
      </c>
      <c r="F5" s="9"/>
      <c r="G5" s="9" t="s">
        <v>255</v>
      </c>
      <c r="H5" s="9" t="s">
        <v>322</v>
      </c>
      <c r="I5" s="37"/>
      <c r="J5" s="9" t="n">
        <v>18.95</v>
      </c>
      <c r="K5" s="9" t="n">
        <v>19.9</v>
      </c>
      <c r="L5" s="9" t="n">
        <v>1</v>
      </c>
      <c r="M5" s="9" t="n">
        <v>18.95</v>
      </c>
      <c r="N5" s="9" t="n">
        <v>19.9</v>
      </c>
      <c r="O5" s="38" t="n">
        <v>0.65</v>
      </c>
      <c r="P5" s="9" t="n">
        <v>12.31</v>
      </c>
      <c r="Q5" s="39" t="n">
        <v>0.05</v>
      </c>
      <c r="R5" s="9" t="n">
        <v>0.62</v>
      </c>
      <c r="S5" s="9" t="n">
        <v>12.93</v>
      </c>
      <c r="T5" s="13"/>
      <c r="U5" s="40"/>
      <c r="V5" s="13"/>
      <c r="W5" s="13"/>
      <c r="X5" s="13"/>
      <c r="Y5" s="13"/>
      <c r="Z5" s="31"/>
      <c r="AA5" s="31"/>
    </row>
    <row r="6" customFormat="false" ht="15.75" hidden="false" customHeight="false" outlineLevel="0" collapsed="false">
      <c r="A6" s="9" t="n">
        <v>5</v>
      </c>
      <c r="B6" s="9" t="n">
        <v>466025</v>
      </c>
      <c r="C6" s="9" t="s">
        <v>114</v>
      </c>
      <c r="D6" s="9" t="s">
        <v>326</v>
      </c>
      <c r="F6" s="9"/>
      <c r="G6" s="9" t="s">
        <v>327</v>
      </c>
      <c r="H6" s="9" t="s">
        <v>320</v>
      </c>
      <c r="I6" s="37"/>
      <c r="J6" s="9" t="n">
        <v>18.95</v>
      </c>
      <c r="K6" s="9" t="n">
        <v>19.9</v>
      </c>
      <c r="L6" s="9" t="n">
        <v>1</v>
      </c>
      <c r="M6" s="9" t="n">
        <v>18.95</v>
      </c>
      <c r="N6" s="9" t="n">
        <v>19.9</v>
      </c>
      <c r="O6" s="38" t="n">
        <v>0.65</v>
      </c>
      <c r="P6" s="9" t="n">
        <v>12.31</v>
      </c>
      <c r="Q6" s="39" t="n">
        <v>0.05</v>
      </c>
      <c r="R6" s="9" t="n">
        <v>0.62</v>
      </c>
      <c r="S6" s="9" t="n">
        <v>12.93</v>
      </c>
      <c r="T6" s="13"/>
      <c r="U6" s="40"/>
      <c r="V6" s="13"/>
      <c r="W6" s="13"/>
      <c r="X6" s="13"/>
      <c r="Y6" s="13"/>
      <c r="Z6" s="31"/>
      <c r="AA6" s="31"/>
    </row>
    <row r="7" customFormat="false" ht="15.75" hidden="false" customHeight="false" outlineLevel="0" collapsed="false">
      <c r="A7" s="9" t="n">
        <v>6</v>
      </c>
      <c r="B7" s="9" t="n">
        <v>545999</v>
      </c>
      <c r="C7" s="9" t="s">
        <v>328</v>
      </c>
      <c r="D7" s="9" t="s">
        <v>329</v>
      </c>
      <c r="F7" s="9"/>
      <c r="G7" s="9" t="s">
        <v>270</v>
      </c>
      <c r="H7" s="9" t="s">
        <v>322</v>
      </c>
      <c r="I7" s="37"/>
      <c r="J7" s="9" t="n">
        <v>18.95</v>
      </c>
      <c r="K7" s="9" t="n">
        <v>19.9</v>
      </c>
      <c r="L7" s="9" t="n">
        <v>1</v>
      </c>
      <c r="M7" s="9" t="n">
        <v>18.95</v>
      </c>
      <c r="N7" s="9" t="n">
        <v>19.9</v>
      </c>
      <c r="O7" s="38" t="n">
        <v>0.65</v>
      </c>
      <c r="P7" s="9" t="n">
        <v>12.31</v>
      </c>
      <c r="Q7" s="39" t="n">
        <v>0.05</v>
      </c>
      <c r="R7" s="9" t="n">
        <v>0.62</v>
      </c>
      <c r="S7" s="9" t="n">
        <v>12.93</v>
      </c>
      <c r="T7" s="13"/>
      <c r="U7" s="40"/>
      <c r="V7" s="13"/>
      <c r="W7" s="13"/>
      <c r="X7" s="13"/>
      <c r="Y7" s="13"/>
      <c r="Z7" s="31"/>
      <c r="AA7" s="31"/>
    </row>
    <row r="8" customFormat="false" ht="15.75" hidden="false" customHeight="false" outlineLevel="0" collapsed="false">
      <c r="A8" s="9" t="n">
        <v>7</v>
      </c>
      <c r="B8" s="9" t="n">
        <v>1068177</v>
      </c>
      <c r="C8" s="9" t="s">
        <v>86</v>
      </c>
      <c r="D8" s="9" t="s">
        <v>330</v>
      </c>
      <c r="F8" s="9"/>
      <c r="G8" s="9" t="s">
        <v>148</v>
      </c>
      <c r="H8" s="9" t="s">
        <v>322</v>
      </c>
      <c r="I8" s="37"/>
      <c r="J8" s="9" t="n">
        <v>18.95</v>
      </c>
      <c r="K8" s="9" t="n">
        <v>19.9</v>
      </c>
      <c r="L8" s="9" t="n">
        <v>1</v>
      </c>
      <c r="M8" s="9" t="n">
        <v>18.95</v>
      </c>
      <c r="N8" s="9" t="n">
        <v>19.9</v>
      </c>
      <c r="O8" s="38" t="n">
        <v>0.65</v>
      </c>
      <c r="P8" s="9" t="n">
        <v>12.31</v>
      </c>
      <c r="Q8" s="39" t="n">
        <v>0.05</v>
      </c>
      <c r="R8" s="9" t="n">
        <v>0.62</v>
      </c>
      <c r="S8" s="9" t="n">
        <v>12.93</v>
      </c>
      <c r="T8" s="13"/>
      <c r="U8" s="40"/>
      <c r="V8" s="13"/>
      <c r="W8" s="13"/>
      <c r="X8" s="13"/>
      <c r="Y8" s="13"/>
      <c r="Z8" s="31"/>
      <c r="AA8" s="31"/>
    </row>
    <row r="9" customFormat="false" ht="15.75" hidden="false" customHeight="false" outlineLevel="0" collapsed="false">
      <c r="A9" s="9" t="n">
        <v>8</v>
      </c>
      <c r="B9" s="9" t="n">
        <v>569794</v>
      </c>
      <c r="C9" s="9" t="s">
        <v>331</v>
      </c>
      <c r="D9" s="9" t="s">
        <v>332</v>
      </c>
      <c r="F9" s="9"/>
      <c r="G9" s="9" t="s">
        <v>155</v>
      </c>
      <c r="H9" s="9" t="s">
        <v>322</v>
      </c>
      <c r="I9" s="37"/>
      <c r="J9" s="9" t="n">
        <v>17.05</v>
      </c>
      <c r="K9" s="9" t="n">
        <v>17.9</v>
      </c>
      <c r="L9" s="9" t="n">
        <v>1</v>
      </c>
      <c r="M9" s="9" t="n">
        <v>17.05</v>
      </c>
      <c r="N9" s="37" t="n">
        <v>17.9</v>
      </c>
      <c r="O9" s="38" t="n">
        <v>0.65</v>
      </c>
      <c r="P9" s="9" t="n">
        <v>11.08</v>
      </c>
      <c r="Q9" s="39" t="n">
        <v>0.05</v>
      </c>
      <c r="R9" s="9" t="n">
        <v>0.55</v>
      </c>
      <c r="S9" s="9" t="n">
        <v>11.63</v>
      </c>
      <c r="T9" s="13"/>
      <c r="U9" s="40"/>
      <c r="V9" s="13"/>
      <c r="W9" s="13"/>
      <c r="X9" s="13"/>
      <c r="Y9" s="13"/>
      <c r="Z9" s="31"/>
      <c r="AA9" s="31"/>
    </row>
    <row r="10" customFormat="false" ht="15.75" hidden="false" customHeight="false" outlineLevel="0" collapsed="false">
      <c r="A10" s="9" t="n">
        <v>9</v>
      </c>
      <c r="B10" s="9" t="n">
        <v>255568</v>
      </c>
      <c r="C10" s="9" t="s">
        <v>45</v>
      </c>
      <c r="D10" s="9" t="s">
        <v>333</v>
      </c>
      <c r="F10" s="9"/>
      <c r="G10" s="9" t="s">
        <v>205</v>
      </c>
      <c r="H10" s="9" t="s">
        <v>322</v>
      </c>
      <c r="I10" s="37"/>
      <c r="J10" s="9" t="n">
        <v>17.05</v>
      </c>
      <c r="K10" s="9" t="n">
        <v>17.9</v>
      </c>
      <c r="L10" s="9" t="n">
        <v>1</v>
      </c>
      <c r="M10" s="9" t="n">
        <v>17.05</v>
      </c>
      <c r="N10" s="9" t="n">
        <v>17.9</v>
      </c>
      <c r="O10" s="38" t="n">
        <v>0.65</v>
      </c>
      <c r="P10" s="9" t="n">
        <v>11.08</v>
      </c>
      <c r="Q10" s="39" t="n">
        <v>0.05</v>
      </c>
      <c r="R10" s="9" t="n">
        <v>0.55</v>
      </c>
      <c r="S10" s="9" t="n">
        <v>11.63</v>
      </c>
      <c r="T10" s="13"/>
      <c r="U10" s="40"/>
      <c r="V10" s="13"/>
      <c r="W10" s="13"/>
      <c r="X10" s="13"/>
      <c r="Y10" s="13"/>
      <c r="Z10" s="31"/>
      <c r="AA10" s="31"/>
    </row>
    <row r="11" customFormat="false" ht="15.75" hidden="false" customHeight="false" outlineLevel="0" collapsed="false">
      <c r="A11" s="9" t="n">
        <v>10</v>
      </c>
      <c r="B11" s="9" t="n">
        <v>658556</v>
      </c>
      <c r="C11" s="9" t="s">
        <v>334</v>
      </c>
      <c r="D11" s="9" t="s">
        <v>335</v>
      </c>
      <c r="F11" s="9"/>
      <c r="G11" s="9" t="s">
        <v>336</v>
      </c>
      <c r="H11" s="9" t="s">
        <v>337</v>
      </c>
      <c r="I11" s="37"/>
      <c r="J11" s="9" t="n">
        <v>17.05</v>
      </c>
      <c r="K11" s="9" t="n">
        <v>17.9</v>
      </c>
      <c r="L11" s="9" t="n">
        <v>1</v>
      </c>
      <c r="M11" s="9" t="n">
        <v>17.05</v>
      </c>
      <c r="N11" s="9" t="n">
        <v>17.9</v>
      </c>
      <c r="O11" s="38" t="n">
        <v>0.65</v>
      </c>
      <c r="P11" s="9" t="n">
        <v>11.08</v>
      </c>
      <c r="Q11" s="39" t="n">
        <v>0.05</v>
      </c>
      <c r="R11" s="9" t="n">
        <v>0.55</v>
      </c>
      <c r="S11" s="9" t="n">
        <v>11.63</v>
      </c>
      <c r="T11" s="13"/>
      <c r="U11" s="40"/>
      <c r="V11" s="13"/>
      <c r="W11" s="13"/>
      <c r="X11" s="13"/>
      <c r="Y11" s="13"/>
      <c r="Z11" s="31"/>
      <c r="AA11" s="31"/>
    </row>
    <row r="12" customFormat="false" ht="15.75" hidden="false" customHeight="false" outlineLevel="0" collapsed="false">
      <c r="A12" s="9" t="n">
        <v>11</v>
      </c>
      <c r="B12" s="9" t="n">
        <v>946588</v>
      </c>
      <c r="C12" s="9" t="s">
        <v>65</v>
      </c>
      <c r="D12" s="9" t="s">
        <v>338</v>
      </c>
      <c r="F12" s="9"/>
      <c r="G12" s="9" t="s">
        <v>339</v>
      </c>
      <c r="H12" s="9" t="s">
        <v>320</v>
      </c>
      <c r="I12" s="37"/>
      <c r="J12" s="9" t="n">
        <v>14.19</v>
      </c>
      <c r="K12" s="9" t="n">
        <v>14.9</v>
      </c>
      <c r="L12" s="9" t="n">
        <v>1</v>
      </c>
      <c r="M12" s="9" t="n">
        <v>14.19</v>
      </c>
      <c r="N12" s="9" t="n">
        <v>14.9</v>
      </c>
      <c r="O12" s="38" t="n">
        <v>0.65</v>
      </c>
      <c r="P12" s="9" t="n">
        <v>9.22</v>
      </c>
      <c r="Q12" s="39" t="n">
        <v>0.05</v>
      </c>
      <c r="R12" s="9" t="n">
        <v>0.46</v>
      </c>
      <c r="S12" s="9" t="n">
        <v>9.68</v>
      </c>
      <c r="T12" s="13"/>
      <c r="U12" s="13"/>
      <c r="V12" s="13"/>
      <c r="W12" s="31"/>
      <c r="X12" s="31"/>
      <c r="Y12" s="31"/>
      <c r="Z12" s="31"/>
      <c r="AA12" s="31"/>
    </row>
    <row r="13" customFormat="false" ht="15.75" hidden="false" customHeight="false" outlineLevel="0" collapsed="false">
      <c r="A13" s="9" t="n">
        <v>12</v>
      </c>
      <c r="B13" s="9" t="n">
        <v>288630</v>
      </c>
      <c r="C13" s="9" t="s">
        <v>340</v>
      </c>
      <c r="D13" s="9" t="s">
        <v>341</v>
      </c>
      <c r="F13" s="9"/>
      <c r="G13" s="9" t="s">
        <v>342</v>
      </c>
      <c r="H13" s="9" t="s">
        <v>343</v>
      </c>
      <c r="I13" s="37"/>
      <c r="J13" s="9" t="n">
        <v>14.19</v>
      </c>
      <c r="K13" s="9" t="n">
        <v>14.9</v>
      </c>
      <c r="L13" s="9" t="n">
        <v>1</v>
      </c>
      <c r="M13" s="9" t="n">
        <v>14.19</v>
      </c>
      <c r="N13" s="9" t="n">
        <v>14.9</v>
      </c>
      <c r="O13" s="38" t="n">
        <v>0.65</v>
      </c>
      <c r="P13" s="9" t="n">
        <v>9.22</v>
      </c>
      <c r="Q13" s="39" t="n">
        <v>0.05</v>
      </c>
      <c r="R13" s="9" t="n">
        <v>0.46</v>
      </c>
      <c r="S13" s="9" t="n">
        <v>9.68</v>
      </c>
      <c r="T13" s="13"/>
      <c r="U13" s="13"/>
      <c r="V13" s="31"/>
      <c r="W13" s="31"/>
      <c r="X13" s="31"/>
      <c r="Y13" s="31"/>
      <c r="Z13" s="31"/>
      <c r="AA13" s="31"/>
    </row>
    <row r="14" customFormat="false" ht="15.75" hidden="false" customHeight="false" outlineLevel="0" collapsed="false">
      <c r="A14" s="9" t="n">
        <v>13</v>
      </c>
      <c r="B14" s="9" t="n">
        <v>179843</v>
      </c>
      <c r="C14" s="9" t="s">
        <v>344</v>
      </c>
      <c r="D14" s="9" t="s">
        <v>345</v>
      </c>
      <c r="F14" s="9"/>
      <c r="G14" s="9" t="s">
        <v>346</v>
      </c>
      <c r="H14" s="9" t="s">
        <v>322</v>
      </c>
      <c r="I14" s="37"/>
      <c r="J14" s="9" t="n">
        <v>12.29</v>
      </c>
      <c r="K14" s="9" t="n">
        <v>12.9</v>
      </c>
      <c r="L14" s="9" t="n">
        <v>1</v>
      </c>
      <c r="M14" s="9" t="n">
        <v>12.29</v>
      </c>
      <c r="N14" s="37" t="n">
        <v>12.9</v>
      </c>
      <c r="O14" s="39" t="n">
        <v>0.65</v>
      </c>
      <c r="P14" s="9" t="n">
        <v>7.98</v>
      </c>
      <c r="Q14" s="39" t="n">
        <v>0.05</v>
      </c>
      <c r="R14" s="9" t="n">
        <v>0.4</v>
      </c>
      <c r="S14" s="9" t="n">
        <v>8.38</v>
      </c>
      <c r="T14" s="13"/>
      <c r="U14" s="13"/>
      <c r="V14" s="31"/>
      <c r="W14" s="31"/>
      <c r="X14" s="31"/>
      <c r="Y14" s="31"/>
      <c r="Z14" s="31"/>
      <c r="AA14" s="31"/>
    </row>
    <row r="15" customFormat="false" ht="15.75" hidden="false" customHeight="false" outlineLevel="0" collapsed="false">
      <c r="A15" s="9" t="n">
        <v>14</v>
      </c>
      <c r="B15" s="9" t="n">
        <v>935885</v>
      </c>
      <c r="C15" s="9" t="s">
        <v>347</v>
      </c>
      <c r="D15" s="9" t="s">
        <v>348</v>
      </c>
      <c r="F15" s="9"/>
      <c r="G15" s="9" t="s">
        <v>227</v>
      </c>
      <c r="H15" s="9" t="s">
        <v>320</v>
      </c>
      <c r="I15" s="37"/>
      <c r="J15" s="9" t="n">
        <v>10.38</v>
      </c>
      <c r="K15" s="9" t="n">
        <v>10.9</v>
      </c>
      <c r="L15" s="9" t="n">
        <v>1</v>
      </c>
      <c r="M15" s="9" t="n">
        <v>10.38</v>
      </c>
      <c r="N15" s="37" t="n">
        <v>10.9</v>
      </c>
      <c r="O15" s="39" t="n">
        <v>0.65</v>
      </c>
      <c r="P15" s="9" t="n">
        <v>6.74</v>
      </c>
      <c r="Q15" s="39" t="n">
        <v>0.05</v>
      </c>
      <c r="R15" s="9" t="n">
        <v>0.34</v>
      </c>
      <c r="S15" s="9" t="n">
        <v>7.08</v>
      </c>
      <c r="T15" s="13"/>
      <c r="U15" s="13"/>
      <c r="V15" s="31"/>
      <c r="W15" s="31"/>
      <c r="X15" s="31"/>
      <c r="Y15" s="31"/>
      <c r="Z15" s="31"/>
      <c r="AA15" s="31"/>
    </row>
    <row r="16" customFormat="false" ht="15.75" hidden="false" customHeight="false" outlineLevel="0" collapsed="false">
      <c r="A16" s="9"/>
      <c r="B16" s="9"/>
      <c r="C16" s="9"/>
      <c r="D16" s="9"/>
      <c r="F16" s="9"/>
      <c r="H16" s="9"/>
      <c r="I16" s="37"/>
      <c r="J16" s="9"/>
      <c r="K16" s="9"/>
      <c r="L16" s="9" t="n">
        <v>17</v>
      </c>
      <c r="M16" s="9" t="n">
        <v>273.62</v>
      </c>
      <c r="N16" s="37" t="n">
        <v>287.3</v>
      </c>
      <c r="O16" s="39"/>
      <c r="P16" s="9" t="n">
        <v>177.76</v>
      </c>
      <c r="Q16" s="9"/>
      <c r="R16" s="9" t="n">
        <v>8.9</v>
      </c>
      <c r="S16" s="9" t="n">
        <v>186.66</v>
      </c>
      <c r="T16" s="13"/>
      <c r="U16" s="13"/>
      <c r="V16" s="31"/>
      <c r="W16" s="31"/>
      <c r="X16" s="31"/>
      <c r="Y16" s="31"/>
      <c r="Z16" s="31"/>
      <c r="AA16" s="31"/>
    </row>
    <row r="17" customFormat="false" ht="15.75" hidden="false" customHeight="false" outlineLevel="0" collapsed="false">
      <c r="A17" s="9"/>
      <c r="B17" s="9"/>
      <c r="C17" s="9"/>
      <c r="D17" s="9"/>
      <c r="F17" s="9"/>
      <c r="G17" s="9"/>
      <c r="I17" s="9"/>
      <c r="J17" s="37"/>
      <c r="K17" s="9"/>
      <c r="L17" s="9"/>
      <c r="M17" s="9"/>
      <c r="N17" s="9" t="s">
        <v>150</v>
      </c>
      <c r="O17" s="38" t="n">
        <v>0.685</v>
      </c>
      <c r="P17" s="9" t="n">
        <v>121.83</v>
      </c>
      <c r="Q17" s="9"/>
      <c r="R17" s="9" t="n">
        <v>6.1</v>
      </c>
      <c r="S17" s="9" t="n">
        <v>127.93</v>
      </c>
      <c r="T17" s="9"/>
      <c r="U17" s="41"/>
      <c r="V17" s="9"/>
      <c r="W17" s="9"/>
      <c r="X17" s="9"/>
      <c r="Y17" s="9"/>
      <c r="Z17" s="9"/>
      <c r="AA17" s="9"/>
    </row>
    <row r="18" customFormat="false" ht="15.75" hidden="false" customHeight="false" outlineLevel="0" collapsed="false">
      <c r="A18" s="9"/>
      <c r="B18" s="9"/>
      <c r="C18" s="9"/>
      <c r="D18" s="9"/>
      <c r="F18" s="9"/>
      <c r="G18" s="9"/>
      <c r="I18" s="9"/>
      <c r="J18" s="37"/>
      <c r="K18" s="9"/>
      <c r="L18" s="9"/>
      <c r="M18" s="9"/>
      <c r="N18" s="9" t="s">
        <v>322</v>
      </c>
      <c r="O18" s="38" t="n">
        <v>0.571</v>
      </c>
      <c r="P18" s="9" t="n">
        <v>101.53</v>
      </c>
      <c r="Q18" s="9"/>
      <c r="R18" s="9" t="n">
        <v>5.09</v>
      </c>
      <c r="S18" s="9" t="n">
        <v>106.62</v>
      </c>
      <c r="T18" s="9"/>
      <c r="U18" s="41"/>
      <c r="V18" s="9"/>
      <c r="W18" s="9"/>
      <c r="X18" s="9"/>
      <c r="Y18" s="9"/>
      <c r="Z18" s="9"/>
      <c r="AA18" s="9"/>
    </row>
    <row r="19" customFormat="false" ht="15.75" hidden="false" customHeight="false" outlineLevel="0" collapsed="false">
      <c r="A19" s="9"/>
      <c r="B19" s="9"/>
      <c r="C19" s="9"/>
      <c r="D19" s="9"/>
      <c r="F19" s="9"/>
      <c r="G19" s="9"/>
      <c r="I19" s="9"/>
      <c r="J19" s="37"/>
      <c r="K19" s="9"/>
      <c r="L19" s="9"/>
      <c r="M19" s="9"/>
      <c r="N19" s="9" t="s">
        <v>337</v>
      </c>
      <c r="O19" s="38" t="n">
        <v>0.062</v>
      </c>
      <c r="P19" s="9" t="n">
        <v>11.08</v>
      </c>
      <c r="Q19" s="9"/>
      <c r="R19" s="9" t="n">
        <v>0.55</v>
      </c>
      <c r="S19" s="9" t="n">
        <v>11.63</v>
      </c>
      <c r="T19" s="9"/>
      <c r="U19" s="9"/>
      <c r="V19" s="9"/>
      <c r="W19" s="9"/>
      <c r="X19" s="9"/>
      <c r="Y19" s="9"/>
      <c r="Z19" s="9"/>
      <c r="AA19" s="9"/>
    </row>
    <row r="20" customFormat="false" ht="15.75" hidden="false" customHeight="false" outlineLevel="0" collapsed="false">
      <c r="A20" s="9"/>
      <c r="B20" s="9"/>
      <c r="C20" s="9"/>
      <c r="D20" s="9"/>
      <c r="F20" s="9"/>
      <c r="G20" s="9"/>
      <c r="I20" s="9"/>
      <c r="J20" s="37"/>
      <c r="K20" s="9"/>
      <c r="L20" s="9"/>
      <c r="M20" s="9"/>
      <c r="N20" s="9" t="s">
        <v>343</v>
      </c>
      <c r="O20" s="38" t="n">
        <v>0.052</v>
      </c>
      <c r="P20" s="9" t="n">
        <v>9.22</v>
      </c>
      <c r="Q20" s="9"/>
      <c r="R20" s="9" t="n">
        <v>0.46</v>
      </c>
      <c r="S20" s="9" t="n">
        <v>9.68</v>
      </c>
      <c r="T20" s="9"/>
      <c r="U20" s="9"/>
      <c r="V20" s="9"/>
      <c r="W20" s="9"/>
      <c r="X20" s="9"/>
      <c r="Y20" s="9"/>
      <c r="Z20" s="9"/>
      <c r="AA20" s="9"/>
    </row>
    <row r="21" customFormat="false" ht="15.75" hidden="false" customHeight="false" outlineLevel="0" collapsed="false">
      <c r="A21" s="9"/>
      <c r="B21" s="9"/>
      <c r="C21" s="9"/>
      <c r="D21" s="9"/>
      <c r="F21" s="9"/>
      <c r="G21" s="9"/>
      <c r="I21" s="9"/>
      <c r="J21" s="37"/>
      <c r="K21" s="9"/>
      <c r="L21" s="9"/>
      <c r="M21" s="9"/>
      <c r="N21" s="9" t="s">
        <v>349</v>
      </c>
      <c r="O21" s="38" t="n">
        <v>0.315</v>
      </c>
      <c r="P21" s="9" t="n">
        <v>55.93</v>
      </c>
      <c r="Q21" s="9"/>
      <c r="R21" s="9" t="n">
        <v>2.8</v>
      </c>
      <c r="S21" s="9" t="n">
        <v>58.73</v>
      </c>
      <c r="T21" s="9"/>
      <c r="U21" s="9"/>
      <c r="V21" s="9"/>
      <c r="W21" s="9"/>
      <c r="X21" s="9"/>
      <c r="Y21" s="9"/>
      <c r="Z21" s="9"/>
      <c r="AA21" s="9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37"/>
      <c r="K22" s="8"/>
      <c r="L22" s="8"/>
      <c r="M22" s="8"/>
      <c r="N22" s="9"/>
      <c r="O22" s="8"/>
      <c r="P22" s="9"/>
      <c r="Q22" s="8"/>
      <c r="R22" s="8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37"/>
      <c r="K23" s="9"/>
      <c r="L23" s="9"/>
      <c r="M23" s="8"/>
      <c r="N23" s="42"/>
      <c r="O23" s="8"/>
      <c r="P23" s="9"/>
      <c r="Q23" s="8"/>
      <c r="R23" s="8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5.75" hidden="false" customHeight="false" outlineLevel="0" collapsed="false">
      <c r="A24" s="13"/>
      <c r="B24" s="13"/>
      <c r="C24" s="9"/>
      <c r="D24" s="9"/>
      <c r="E24" s="9"/>
      <c r="F24" s="9"/>
      <c r="G24" s="9"/>
      <c r="H24" s="9"/>
      <c r="I24" s="9"/>
      <c r="J24" s="37"/>
      <c r="K24" s="9"/>
      <c r="L24" s="9"/>
      <c r="M24" s="8"/>
      <c r="N24" s="41"/>
      <c r="O24" s="8"/>
      <c r="P24" s="9"/>
      <c r="Q24" s="8"/>
      <c r="R24" s="8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15.75" hidden="false" customHeight="false" outlineLevel="0" collapsed="false">
      <c r="A25" s="13"/>
      <c r="B25" s="13"/>
      <c r="C25" s="9"/>
      <c r="D25" s="9"/>
      <c r="E25" s="9"/>
      <c r="F25" s="9"/>
      <c r="G25" s="9"/>
      <c r="H25" s="9"/>
      <c r="I25" s="9"/>
      <c r="J25" s="37"/>
      <c r="K25" s="9"/>
      <c r="L25" s="9"/>
      <c r="M25" s="8"/>
      <c r="N25" s="42"/>
      <c r="O25" s="8"/>
      <c r="P25" s="9"/>
      <c r="Q25" s="8"/>
      <c r="R25" s="8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15.75" hidden="false" customHeight="false" outlineLevel="0" collapsed="false">
      <c r="A26" s="13"/>
      <c r="B26" s="13"/>
      <c r="C26" s="9"/>
      <c r="D26" s="9"/>
      <c r="E26" s="9"/>
      <c r="F26" s="9"/>
      <c r="G26" s="9"/>
      <c r="H26" s="9"/>
      <c r="I26" s="9"/>
      <c r="J26" s="37"/>
      <c r="K26" s="9"/>
      <c r="L26" s="9"/>
      <c r="M26" s="8"/>
      <c r="N26" s="42"/>
      <c r="O26" s="8"/>
      <c r="P26" s="9"/>
      <c r="Q26" s="8"/>
      <c r="R26" s="8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15.75" hidden="false" customHeight="false" outlineLevel="0" collapsed="false">
      <c r="A27" s="13"/>
      <c r="B27" s="13"/>
      <c r="C27" s="9"/>
      <c r="D27" s="9"/>
      <c r="E27" s="9"/>
      <c r="F27" s="9"/>
      <c r="G27" s="9"/>
      <c r="H27" s="9"/>
      <c r="I27" s="9"/>
      <c r="J27" s="37"/>
      <c r="K27" s="9"/>
      <c r="L27" s="9"/>
      <c r="M27" s="8"/>
      <c r="N27" s="42"/>
      <c r="O27" s="8"/>
      <c r="P27" s="9"/>
      <c r="Q27" s="8"/>
      <c r="R27" s="8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15.75" hidden="false" customHeight="false" outlineLevel="0" collapsed="false">
      <c r="A28" s="13"/>
      <c r="B28" s="13"/>
      <c r="C28" s="9"/>
      <c r="D28" s="9"/>
      <c r="E28" s="9"/>
      <c r="F28" s="9"/>
      <c r="G28" s="9"/>
      <c r="H28" s="9"/>
      <c r="I28" s="9"/>
      <c r="J28" s="37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15.75" hidden="false" customHeight="false" outlineLevel="0" collapsed="false">
      <c r="A29" s="13"/>
      <c r="B29" s="13"/>
      <c r="C29" s="9"/>
      <c r="D29" s="9"/>
      <c r="E29" s="9"/>
      <c r="F29" s="9"/>
      <c r="G29" s="9"/>
      <c r="H29" s="9"/>
      <c r="I29" s="9"/>
      <c r="J29" s="3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15.75" hidden="false" customHeight="false" outlineLevel="0" collapsed="false">
      <c r="A30" s="13"/>
      <c r="B30" s="13"/>
      <c r="C30" s="9"/>
      <c r="D30" s="9"/>
      <c r="E30" s="9"/>
      <c r="F30" s="9"/>
      <c r="G30" s="9"/>
      <c r="H30" s="9"/>
      <c r="I30" s="9"/>
      <c r="J30" s="37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15.75" hidden="false" customHeight="false" outlineLevel="0" collapsed="false">
      <c r="A31" s="13"/>
      <c r="B31" s="13"/>
      <c r="C31" s="9"/>
      <c r="D31" s="9"/>
      <c r="E31" s="9"/>
      <c r="F31" s="9"/>
      <c r="G31" s="9"/>
      <c r="H31" s="9"/>
      <c r="I31" s="9"/>
      <c r="J31" s="3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15.75" hidden="false" customHeight="false" outlineLevel="0" collapsed="false">
      <c r="A32" s="13"/>
      <c r="B32" s="13"/>
      <c r="C32" s="8"/>
      <c r="D32" s="8"/>
      <c r="E32" s="8"/>
      <c r="F32" s="8"/>
      <c r="G32" s="8"/>
      <c r="H32" s="8"/>
      <c r="I32" s="8"/>
      <c r="J32" s="43"/>
      <c r="K32" s="8"/>
      <c r="L32" s="8"/>
      <c r="M32" s="8"/>
      <c r="N32" s="8"/>
      <c r="O32" s="8"/>
      <c r="P32" s="8"/>
      <c r="Q32" s="8"/>
      <c r="R32" s="8"/>
      <c r="S32" s="8"/>
      <c r="T32" s="9"/>
      <c r="U32" s="9"/>
      <c r="V32" s="9"/>
      <c r="W32" s="9"/>
      <c r="X32" s="9"/>
      <c r="Y32" s="9"/>
      <c r="Z32" s="9"/>
      <c r="AA32" s="9"/>
    </row>
    <row r="33" customFormat="false" ht="15.75" hidden="false" customHeight="false" outlineLevel="0" collapsed="false">
      <c r="A33" s="13"/>
      <c r="B33" s="13"/>
      <c r="C33" s="8"/>
      <c r="D33" s="8"/>
      <c r="E33" s="9"/>
      <c r="F33" s="9"/>
      <c r="G33" s="8"/>
      <c r="H33" s="8"/>
      <c r="I33" s="9"/>
      <c r="J33" s="43"/>
      <c r="K33" s="8"/>
      <c r="L33" s="8"/>
      <c r="M33" s="8"/>
      <c r="N33" s="8"/>
      <c r="O33" s="8"/>
      <c r="P33" s="8"/>
      <c r="Q33" s="8"/>
      <c r="R33" s="8"/>
      <c r="S33" s="8"/>
      <c r="T33" s="41"/>
      <c r="U33" s="8"/>
      <c r="V33" s="8"/>
      <c r="W33" s="41"/>
      <c r="X33" s="8"/>
      <c r="Y33" s="8"/>
      <c r="Z33" s="8"/>
      <c r="AA33" s="8"/>
    </row>
    <row r="34" customFormat="false" ht="15.75" hidden="false" customHeight="false" outlineLevel="0" collapsed="false">
      <c r="A34" s="13"/>
      <c r="B34" s="13"/>
      <c r="C34" s="8"/>
      <c r="D34" s="8"/>
      <c r="E34" s="9"/>
      <c r="F34" s="9"/>
      <c r="G34" s="8"/>
      <c r="H34" s="8"/>
      <c r="I34" s="9"/>
      <c r="J34" s="43"/>
      <c r="K34" s="8"/>
      <c r="L34" s="8"/>
      <c r="M34" s="8"/>
      <c r="N34" s="8"/>
      <c r="O34" s="8"/>
      <c r="P34" s="8"/>
      <c r="Q34" s="8"/>
      <c r="R34" s="8"/>
      <c r="S34" s="8"/>
      <c r="T34" s="41"/>
      <c r="U34" s="8"/>
      <c r="V34" s="8"/>
      <c r="W34" s="41"/>
      <c r="X34" s="8"/>
      <c r="Y34" s="8"/>
      <c r="Z34" s="8"/>
      <c r="AA34" s="8"/>
    </row>
    <row r="35" customFormat="false" ht="15.75" hidden="false" customHeight="false" outlineLevel="0" collapsed="false">
      <c r="A35" s="13"/>
      <c r="B35" s="13"/>
      <c r="C35" s="8"/>
      <c r="D35" s="8"/>
      <c r="E35" s="9"/>
      <c r="F35" s="9"/>
      <c r="G35" s="8"/>
      <c r="H35" s="8"/>
      <c r="I35" s="9"/>
      <c r="J35" s="43"/>
      <c r="K35" s="8"/>
      <c r="L35" s="8"/>
      <c r="M35" s="8"/>
      <c r="N35" s="8"/>
      <c r="O35" s="8"/>
      <c r="P35" s="8"/>
      <c r="Q35" s="8"/>
      <c r="R35" s="8"/>
      <c r="S35" s="8"/>
      <c r="T35" s="41"/>
      <c r="U35" s="8"/>
      <c r="V35" s="8"/>
      <c r="W35" s="41"/>
      <c r="X35" s="8"/>
      <c r="Y35" s="8"/>
      <c r="Z35" s="8"/>
      <c r="AA35" s="8"/>
    </row>
    <row r="36" customFormat="false" ht="15.75" hidden="false" customHeight="false" outlineLevel="0" collapsed="false">
      <c r="A36" s="13"/>
      <c r="B36" s="13"/>
      <c r="C36" s="8"/>
      <c r="D36" s="8"/>
      <c r="E36" s="9"/>
      <c r="F36" s="9"/>
      <c r="G36" s="8"/>
      <c r="H36" s="8"/>
      <c r="I36" s="9"/>
      <c r="J36" s="43"/>
      <c r="K36" s="8"/>
      <c r="L36" s="8"/>
      <c r="M36" s="8"/>
      <c r="N36" s="8"/>
      <c r="O36" s="8"/>
      <c r="P36" s="8"/>
      <c r="Q36" s="8"/>
      <c r="R36" s="8"/>
      <c r="S36" s="8"/>
      <c r="T36" s="41"/>
      <c r="U36" s="8"/>
      <c r="V36" s="8"/>
      <c r="W36" s="41"/>
      <c r="X36" s="8"/>
      <c r="Y36" s="8"/>
      <c r="Z36" s="8"/>
      <c r="AA36" s="8"/>
    </row>
    <row r="37" customFormat="false" ht="15.75" hidden="false" customHeight="false" outlineLevel="0" collapsed="false">
      <c r="A37" s="13"/>
      <c r="B37" s="13"/>
      <c r="C37" s="8"/>
      <c r="D37" s="8"/>
      <c r="E37" s="9"/>
      <c r="F37" s="9"/>
      <c r="G37" s="8"/>
      <c r="H37" s="8"/>
      <c r="I37" s="9"/>
      <c r="J37" s="43"/>
      <c r="K37" s="8"/>
      <c r="L37" s="8"/>
      <c r="M37" s="8"/>
      <c r="N37" s="8"/>
      <c r="O37" s="8"/>
      <c r="P37" s="8"/>
      <c r="Q37" s="8"/>
      <c r="R37" s="8"/>
      <c r="S37" s="8"/>
      <c r="T37" s="41"/>
      <c r="U37" s="8"/>
      <c r="V37" s="8"/>
      <c r="W37" s="41"/>
      <c r="X37" s="8"/>
      <c r="Y37" s="8"/>
      <c r="Z37" s="8"/>
      <c r="AA37" s="8"/>
    </row>
    <row r="38" customFormat="false" ht="15.75" hidden="false" customHeight="false" outlineLevel="0" collapsed="false">
      <c r="A38" s="13"/>
      <c r="B38" s="13"/>
      <c r="C38" s="8"/>
      <c r="D38" s="8"/>
      <c r="E38" s="9"/>
      <c r="F38" s="9"/>
      <c r="G38" s="8"/>
      <c r="H38" s="8"/>
      <c r="I38" s="9"/>
      <c r="J38" s="43"/>
      <c r="K38" s="8"/>
      <c r="L38" s="8"/>
      <c r="M38" s="8"/>
      <c r="N38" s="8"/>
      <c r="O38" s="8"/>
      <c r="P38" s="8"/>
      <c r="Q38" s="8"/>
      <c r="R38" s="8"/>
      <c r="S38" s="8"/>
      <c r="T38" s="41"/>
      <c r="U38" s="8"/>
      <c r="V38" s="8"/>
      <c r="W38" s="41"/>
      <c r="X38" s="8"/>
      <c r="Y38" s="8"/>
      <c r="Z38" s="8"/>
      <c r="AA38" s="8"/>
    </row>
    <row r="39" customFormat="false" ht="15.75" hidden="false" customHeight="false" outlineLevel="0" collapsed="false">
      <c r="A39" s="13"/>
      <c r="B39" s="13"/>
      <c r="C39" s="8"/>
      <c r="D39" s="8"/>
      <c r="E39" s="9"/>
      <c r="F39" s="9"/>
      <c r="G39" s="8"/>
      <c r="H39" s="8"/>
      <c r="I39" s="9"/>
      <c r="J39" s="43"/>
      <c r="K39" s="8"/>
      <c r="L39" s="8"/>
      <c r="M39" s="8"/>
      <c r="N39" s="8"/>
      <c r="O39" s="8"/>
      <c r="P39" s="8"/>
      <c r="Q39" s="8"/>
      <c r="R39" s="8"/>
      <c r="S39" s="8"/>
      <c r="T39" s="41"/>
      <c r="U39" s="8"/>
      <c r="V39" s="8"/>
      <c r="W39" s="41"/>
      <c r="X39" s="8"/>
      <c r="Y39" s="8"/>
      <c r="Z39" s="8"/>
      <c r="AA39" s="8"/>
    </row>
    <row r="40" customFormat="false" ht="15.75" hidden="false" customHeight="false" outlineLevel="0" collapsed="false">
      <c r="A40" s="13"/>
      <c r="B40" s="13"/>
      <c r="C40" s="9"/>
      <c r="D40" s="9"/>
      <c r="E40" s="9"/>
      <c r="F40" s="9"/>
      <c r="G40" s="9"/>
      <c r="H40" s="9"/>
      <c r="I40" s="9"/>
      <c r="J40" s="37"/>
      <c r="K40" s="9"/>
      <c r="L40" s="8"/>
      <c r="M40" s="8"/>
      <c r="N40" s="8"/>
      <c r="O40" s="8"/>
      <c r="P40" s="8"/>
      <c r="Q40" s="9"/>
      <c r="R40" s="8"/>
      <c r="S40" s="8"/>
      <c r="T40" s="9"/>
      <c r="U40" s="8"/>
      <c r="V40" s="8"/>
      <c r="W40" s="8"/>
      <c r="X40" s="8"/>
      <c r="Y40" s="9"/>
      <c r="Z40" s="9"/>
      <c r="AA40" s="9"/>
    </row>
    <row r="41" customFormat="false" ht="15.75" hidden="false" customHeight="false" outlineLevel="0" collapsed="false">
      <c r="A41" s="13"/>
      <c r="B41" s="13"/>
      <c r="C41" s="9"/>
      <c r="D41" s="9"/>
      <c r="E41" s="9"/>
      <c r="F41" s="9"/>
      <c r="G41" s="9"/>
      <c r="H41" s="9"/>
      <c r="I41" s="9"/>
      <c r="J41" s="37"/>
      <c r="K41" s="9"/>
      <c r="L41" s="9"/>
      <c r="M41" s="9"/>
      <c r="N41" s="8"/>
      <c r="O41" s="8"/>
      <c r="P41" s="41"/>
      <c r="Q41" s="8"/>
      <c r="R41" s="8"/>
      <c r="S41" s="9"/>
      <c r="T41" s="8"/>
      <c r="U41" s="8"/>
      <c r="V41" s="8"/>
      <c r="W41" s="8"/>
      <c r="X41" s="9"/>
      <c r="Y41" s="9"/>
      <c r="Z41" s="9"/>
      <c r="AA41" s="9"/>
    </row>
    <row r="42" customFormat="false" ht="15.75" hidden="false" customHeight="false" outlineLevel="0" collapsed="false">
      <c r="A42" s="13"/>
      <c r="B42" s="13"/>
      <c r="C42" s="9"/>
      <c r="D42" s="9"/>
      <c r="E42" s="9"/>
      <c r="F42" s="9"/>
      <c r="G42" s="9"/>
      <c r="H42" s="9"/>
      <c r="I42" s="9"/>
      <c r="J42" s="37"/>
      <c r="K42" s="9"/>
      <c r="L42" s="9"/>
      <c r="M42" s="9"/>
      <c r="N42" s="8"/>
      <c r="O42" s="8"/>
      <c r="P42" s="41"/>
      <c r="Q42" s="8"/>
      <c r="R42" s="8"/>
      <c r="S42" s="9"/>
      <c r="T42" s="8"/>
      <c r="U42" s="8"/>
      <c r="V42" s="8"/>
      <c r="W42" s="8"/>
      <c r="X42" s="9"/>
      <c r="Y42" s="9"/>
      <c r="Z42" s="9"/>
      <c r="AA42" s="9"/>
    </row>
    <row r="43" customFormat="false" ht="15.75" hidden="false" customHeight="false" outlineLevel="0" collapsed="false">
      <c r="A43" s="13"/>
      <c r="B43" s="13"/>
      <c r="C43" s="9"/>
      <c r="D43" s="9"/>
      <c r="E43" s="9"/>
      <c r="F43" s="9"/>
      <c r="G43" s="9"/>
      <c r="H43" s="9"/>
      <c r="I43" s="9"/>
      <c r="J43" s="37"/>
      <c r="K43" s="9"/>
      <c r="L43" s="9"/>
      <c r="M43" s="9"/>
      <c r="N43" s="8"/>
      <c r="O43" s="8"/>
      <c r="P43" s="41"/>
      <c r="Q43" s="8"/>
      <c r="R43" s="8"/>
      <c r="S43" s="9"/>
      <c r="T43" s="8"/>
      <c r="U43" s="8"/>
      <c r="V43" s="8"/>
      <c r="W43" s="8"/>
      <c r="X43" s="9"/>
      <c r="Y43" s="9"/>
      <c r="Z43" s="9"/>
      <c r="AA43" s="9"/>
    </row>
    <row r="44" customFormat="false" ht="15.75" hidden="false" customHeight="false" outlineLevel="0" collapsed="false">
      <c r="A44" s="13"/>
      <c r="B44" s="13"/>
      <c r="C44" s="9"/>
      <c r="D44" s="9"/>
      <c r="E44" s="9"/>
      <c r="F44" s="9"/>
      <c r="G44" s="9"/>
      <c r="H44" s="9"/>
      <c r="I44" s="9"/>
      <c r="J44" s="37"/>
      <c r="K44" s="9"/>
      <c r="L44" s="9"/>
      <c r="M44" s="9"/>
      <c r="N44" s="8"/>
      <c r="O44" s="41"/>
      <c r="P44" s="8"/>
      <c r="Q44" s="8"/>
      <c r="R44" s="9"/>
      <c r="S44" s="8"/>
      <c r="T44" s="8"/>
      <c r="U44" s="8"/>
      <c r="V44" s="8"/>
      <c r="W44" s="9"/>
      <c r="X44" s="9"/>
      <c r="Y44" s="9"/>
      <c r="Z44" s="9"/>
      <c r="AA44" s="9"/>
    </row>
    <row r="45" customFormat="false" ht="15.75" hidden="false" customHeight="false" outlineLevel="0" collapsed="false">
      <c r="A45" s="13"/>
      <c r="B45" s="13"/>
      <c r="C45" s="9"/>
      <c r="D45" s="9"/>
      <c r="E45" s="9"/>
      <c r="F45" s="9"/>
      <c r="G45" s="9"/>
      <c r="H45" s="9"/>
      <c r="I45" s="9"/>
      <c r="J45" s="3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15.75" hidden="false" customHeight="false" outlineLevel="0" collapsed="false">
      <c r="A46" s="13"/>
      <c r="B46" s="13"/>
      <c r="C46" s="9"/>
      <c r="D46" s="9"/>
      <c r="E46" s="9"/>
      <c r="F46" s="9"/>
      <c r="G46" s="9"/>
      <c r="H46" s="9"/>
      <c r="I46" s="9"/>
      <c r="J46" s="3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15.75" hidden="false" customHeight="false" outlineLevel="0" collapsed="false">
      <c r="A47" s="13"/>
      <c r="B47" s="13"/>
      <c r="C47" s="9"/>
      <c r="D47" s="9"/>
      <c r="E47" s="9"/>
      <c r="F47" s="9"/>
      <c r="G47" s="9"/>
      <c r="H47" s="9"/>
      <c r="I47" s="9"/>
      <c r="J47" s="3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15.75" hidden="false" customHeight="false" outlineLevel="0" collapsed="false">
      <c r="A48" s="13"/>
      <c r="B48" s="13"/>
      <c r="C48" s="9"/>
      <c r="D48" s="9"/>
      <c r="E48" s="9"/>
      <c r="F48" s="9"/>
      <c r="G48" s="9"/>
      <c r="H48" s="9"/>
      <c r="I48" s="9"/>
      <c r="J48" s="3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15.75" hidden="false" customHeight="false" outlineLevel="0" collapsed="false">
      <c r="A49" s="13"/>
      <c r="B49" s="13"/>
      <c r="C49" s="9"/>
      <c r="D49" s="9"/>
      <c r="E49" s="9"/>
      <c r="F49" s="9"/>
      <c r="G49" s="9"/>
      <c r="H49" s="9"/>
      <c r="I49" s="9"/>
      <c r="J49" s="3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15.75" hidden="false" customHeight="false" outlineLevel="0" collapsed="false">
      <c r="A50" s="13"/>
      <c r="B50" s="13"/>
      <c r="C50" s="9"/>
      <c r="D50" s="9"/>
      <c r="E50" s="9"/>
      <c r="F50" s="9"/>
      <c r="G50" s="9"/>
      <c r="H50" s="9"/>
      <c r="I50" s="9"/>
      <c r="J50" s="37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15.75" hidden="false" customHeight="false" outlineLevel="0" collapsed="false">
      <c r="A51" s="13"/>
      <c r="B51" s="13"/>
      <c r="C51" s="9"/>
      <c r="D51" s="9"/>
      <c r="E51" s="9"/>
      <c r="F51" s="9"/>
      <c r="G51" s="9"/>
      <c r="H51" s="9"/>
      <c r="I51" s="9"/>
      <c r="J51" s="3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15.75" hidden="false" customHeight="false" outlineLevel="0" collapsed="false">
      <c r="A52" s="13"/>
      <c r="B52" s="13"/>
      <c r="C52" s="9"/>
      <c r="D52" s="9"/>
      <c r="E52" s="9"/>
      <c r="F52" s="9"/>
      <c r="G52" s="9"/>
      <c r="H52" s="9"/>
      <c r="I52" s="9"/>
      <c r="J52" s="3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15.75" hidden="false" customHeight="false" outlineLevel="0" collapsed="false">
      <c r="A53" s="13"/>
      <c r="B53" s="13"/>
      <c r="C53" s="9"/>
      <c r="D53" s="9"/>
      <c r="E53" s="9"/>
      <c r="F53" s="9"/>
      <c r="G53" s="9"/>
      <c r="H53" s="9"/>
      <c r="I53" s="9"/>
      <c r="J53" s="3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15.75" hidden="false" customHeight="false" outlineLevel="0" collapsed="false">
      <c r="A54" s="13"/>
      <c r="B54" s="13"/>
      <c r="C54" s="9"/>
      <c r="D54" s="9"/>
      <c r="E54" s="9"/>
      <c r="F54" s="9"/>
      <c r="G54" s="9"/>
      <c r="H54" s="9"/>
      <c r="I54" s="9"/>
      <c r="J54" s="3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15.75" hidden="false" customHeight="false" outlineLevel="0" collapsed="false">
      <c r="A55" s="13"/>
      <c r="B55" s="13"/>
      <c r="C55" s="9"/>
      <c r="D55" s="9"/>
      <c r="E55" s="9"/>
      <c r="F55" s="9"/>
      <c r="G55" s="9"/>
      <c r="H55" s="9"/>
      <c r="I55" s="9"/>
      <c r="J55" s="3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15.75" hidden="false" customHeight="false" outlineLevel="0" collapsed="false">
      <c r="A56" s="13"/>
      <c r="B56" s="13"/>
      <c r="C56" s="9"/>
      <c r="D56" s="9"/>
      <c r="E56" s="9"/>
      <c r="F56" s="9"/>
      <c r="G56" s="9"/>
      <c r="H56" s="9"/>
      <c r="I56" s="9"/>
      <c r="J56" s="3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15.75" hidden="false" customHeight="false" outlineLevel="0" collapsed="false">
      <c r="A57" s="13"/>
      <c r="B57" s="13"/>
      <c r="C57" s="9"/>
      <c r="D57" s="9"/>
      <c r="E57" s="9"/>
      <c r="F57" s="9"/>
      <c r="G57" s="9"/>
      <c r="H57" s="9"/>
      <c r="I57" s="9"/>
      <c r="J57" s="3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15.75" hidden="false" customHeight="false" outlineLevel="0" collapsed="false">
      <c r="A58" s="13"/>
      <c r="B58" s="13"/>
      <c r="C58" s="9"/>
      <c r="D58" s="9"/>
      <c r="E58" s="9"/>
      <c r="F58" s="9"/>
      <c r="G58" s="9"/>
      <c r="H58" s="9"/>
      <c r="I58" s="9"/>
      <c r="J58" s="3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15.75" hidden="false" customHeight="false" outlineLevel="0" collapsed="false">
      <c r="A59" s="13"/>
      <c r="B59" s="13"/>
      <c r="C59" s="9"/>
      <c r="D59" s="9"/>
      <c r="E59" s="9"/>
      <c r="F59" s="9"/>
      <c r="G59" s="9"/>
      <c r="H59" s="9"/>
      <c r="I59" s="9"/>
      <c r="J59" s="3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15.75" hidden="false" customHeight="false" outlineLevel="0" collapsed="false">
      <c r="A60" s="13"/>
      <c r="B60" s="13"/>
      <c r="C60" s="9"/>
      <c r="D60" s="9"/>
      <c r="E60" s="9"/>
      <c r="F60" s="9"/>
      <c r="G60" s="9"/>
      <c r="H60" s="9"/>
      <c r="I60" s="9"/>
      <c r="J60" s="3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15.75" hidden="false" customHeight="false" outlineLevel="0" collapsed="false">
      <c r="A61" s="13"/>
      <c r="B61" s="13"/>
      <c r="C61" s="9"/>
      <c r="D61" s="9"/>
      <c r="E61" s="9"/>
      <c r="F61" s="9"/>
      <c r="G61" s="9"/>
      <c r="H61" s="9"/>
      <c r="I61" s="9"/>
      <c r="J61" s="3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15.75" hidden="false" customHeight="false" outlineLevel="0" collapsed="false">
      <c r="A62" s="13"/>
      <c r="B62" s="13"/>
      <c r="C62" s="9"/>
      <c r="D62" s="9"/>
      <c r="E62" s="9"/>
      <c r="F62" s="9"/>
      <c r="G62" s="9"/>
      <c r="H62" s="9"/>
      <c r="I62" s="9"/>
      <c r="J62" s="3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15.75" hidden="false" customHeight="false" outlineLevel="0" collapsed="false">
      <c r="A63" s="13"/>
      <c r="B63" s="13"/>
      <c r="C63" s="9"/>
      <c r="D63" s="9"/>
      <c r="E63" s="9"/>
      <c r="F63" s="9"/>
      <c r="G63" s="9"/>
      <c r="H63" s="9"/>
      <c r="I63" s="9"/>
      <c r="J63" s="3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15.75" hidden="false" customHeight="false" outlineLevel="0" collapsed="false">
      <c r="A64" s="13"/>
      <c r="B64" s="13"/>
      <c r="C64" s="9"/>
      <c r="D64" s="9"/>
      <c r="E64" s="9"/>
      <c r="F64" s="9"/>
      <c r="G64" s="9"/>
      <c r="H64" s="9"/>
      <c r="I64" s="9"/>
      <c r="J64" s="3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15.75" hidden="false" customHeight="false" outlineLevel="0" collapsed="false">
      <c r="A65" s="13"/>
      <c r="B65" s="13"/>
      <c r="C65" s="9"/>
      <c r="D65" s="9"/>
      <c r="E65" s="9"/>
      <c r="F65" s="9"/>
      <c r="G65" s="9"/>
      <c r="H65" s="9"/>
      <c r="I65" s="9"/>
      <c r="J65" s="3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15.75" hidden="false" customHeight="false" outlineLevel="0" collapsed="false">
      <c r="A66" s="13"/>
      <c r="B66" s="13"/>
      <c r="C66" s="9"/>
      <c r="D66" s="9"/>
      <c r="E66" s="9"/>
      <c r="F66" s="9"/>
      <c r="G66" s="9"/>
      <c r="H66" s="9"/>
      <c r="I66" s="9"/>
      <c r="J66" s="3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15.75" hidden="false" customHeight="false" outlineLevel="0" collapsed="false">
      <c r="A67" s="13"/>
      <c r="B67" s="13"/>
      <c r="C67" s="9"/>
      <c r="D67" s="9"/>
      <c r="E67" s="9"/>
      <c r="F67" s="9"/>
      <c r="G67" s="9"/>
      <c r="H67" s="9"/>
      <c r="I67" s="9"/>
      <c r="J67" s="3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15.75" hidden="false" customHeight="false" outlineLevel="0" collapsed="false">
      <c r="A68" s="13"/>
      <c r="B68" s="13"/>
      <c r="C68" s="9"/>
      <c r="D68" s="9"/>
      <c r="E68" s="9"/>
      <c r="F68" s="9"/>
      <c r="G68" s="9"/>
      <c r="H68" s="9"/>
      <c r="I68" s="9"/>
      <c r="J68" s="3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15.75" hidden="false" customHeight="false" outlineLevel="0" collapsed="false">
      <c r="A69" s="13"/>
      <c r="B69" s="13"/>
      <c r="C69" s="9"/>
      <c r="D69" s="9"/>
      <c r="E69" s="9"/>
      <c r="F69" s="9"/>
      <c r="G69" s="9"/>
      <c r="H69" s="9"/>
      <c r="I69" s="9"/>
      <c r="J69" s="3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15.75" hidden="false" customHeight="false" outlineLevel="0" collapsed="false">
      <c r="A70" s="13"/>
      <c r="B70" s="13"/>
      <c r="C70" s="9"/>
      <c r="D70" s="9"/>
      <c r="E70" s="9"/>
      <c r="F70" s="9"/>
      <c r="G70" s="9"/>
      <c r="H70" s="9"/>
      <c r="I70" s="9"/>
      <c r="J70" s="3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15.75" hidden="false" customHeight="false" outlineLevel="0" collapsed="false">
      <c r="A71" s="13"/>
      <c r="B71" s="13"/>
      <c r="C71" s="9"/>
      <c r="D71" s="9"/>
      <c r="E71" s="9"/>
      <c r="F71" s="9"/>
      <c r="G71" s="9"/>
      <c r="H71" s="9"/>
      <c r="I71" s="9"/>
      <c r="J71" s="3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15.75" hidden="false" customHeight="false" outlineLevel="0" collapsed="false">
      <c r="A72" s="13"/>
      <c r="B72" s="13"/>
      <c r="C72" s="9"/>
      <c r="D72" s="9"/>
      <c r="E72" s="9"/>
      <c r="F72" s="9"/>
      <c r="G72" s="9"/>
      <c r="H72" s="9"/>
      <c r="I72" s="9"/>
      <c r="J72" s="3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15.75" hidden="false" customHeight="false" outlineLevel="0" collapsed="false">
      <c r="A73" s="13"/>
      <c r="B73" s="13"/>
      <c r="C73" s="9"/>
      <c r="D73" s="9"/>
      <c r="E73" s="9"/>
      <c r="F73" s="9"/>
      <c r="G73" s="9"/>
      <c r="H73" s="9"/>
      <c r="I73" s="9"/>
      <c r="J73" s="3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15.75" hidden="false" customHeight="false" outlineLevel="0" collapsed="false">
      <c r="A74" s="13"/>
      <c r="B74" s="13"/>
      <c r="C74" s="9"/>
      <c r="D74" s="9"/>
      <c r="E74" s="9"/>
      <c r="F74" s="9"/>
      <c r="G74" s="9"/>
      <c r="H74" s="9"/>
      <c r="I74" s="9"/>
      <c r="J74" s="3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15.75" hidden="false" customHeight="false" outlineLevel="0" collapsed="false">
      <c r="A75" s="13"/>
      <c r="B75" s="13"/>
      <c r="C75" s="9"/>
      <c r="D75" s="9"/>
      <c r="E75" s="9"/>
      <c r="F75" s="9"/>
      <c r="G75" s="9"/>
      <c r="H75" s="9"/>
      <c r="I75" s="9"/>
      <c r="J75" s="3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15.75" hidden="false" customHeight="false" outlineLevel="0" collapsed="false">
      <c r="A76" s="13"/>
      <c r="B76" s="13"/>
      <c r="C76" s="9"/>
      <c r="D76" s="9"/>
      <c r="E76" s="9"/>
      <c r="F76" s="9"/>
      <c r="G76" s="9"/>
      <c r="H76" s="9"/>
      <c r="I76" s="9"/>
      <c r="J76" s="3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15.75" hidden="false" customHeight="false" outlineLevel="0" collapsed="false">
      <c r="A77" s="13"/>
      <c r="B77" s="13"/>
      <c r="C77" s="9"/>
      <c r="D77" s="9"/>
      <c r="E77" s="9"/>
      <c r="F77" s="9"/>
      <c r="G77" s="9"/>
      <c r="H77" s="9"/>
      <c r="I77" s="9"/>
      <c r="J77" s="3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15.75" hidden="false" customHeight="false" outlineLevel="0" collapsed="false">
      <c r="A78" s="13"/>
      <c r="B78" s="13"/>
      <c r="C78" s="9"/>
      <c r="D78" s="9"/>
      <c r="E78" s="9"/>
      <c r="F78" s="9"/>
      <c r="G78" s="9"/>
      <c r="H78" s="9"/>
      <c r="I78" s="9"/>
      <c r="J78" s="3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15.75" hidden="false" customHeight="false" outlineLevel="0" collapsed="false">
      <c r="A79" s="13"/>
      <c r="B79" s="13"/>
      <c r="C79" s="9"/>
      <c r="D79" s="9"/>
      <c r="E79" s="9"/>
      <c r="F79" s="9"/>
      <c r="G79" s="9"/>
      <c r="H79" s="9"/>
      <c r="I79" s="9"/>
      <c r="J79" s="3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15.75" hidden="false" customHeight="false" outlineLevel="0" collapsed="false">
      <c r="A80" s="13"/>
      <c r="B80" s="13"/>
      <c r="C80" s="9"/>
      <c r="D80" s="9"/>
      <c r="E80" s="9"/>
      <c r="F80" s="9"/>
      <c r="G80" s="9"/>
      <c r="H80" s="9"/>
      <c r="I80" s="9"/>
      <c r="J80" s="3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15.75" hidden="false" customHeight="false" outlineLevel="0" collapsed="false">
      <c r="A81" s="13"/>
      <c r="B81" s="13"/>
      <c r="C81" s="9"/>
      <c r="D81" s="9"/>
      <c r="E81" s="9"/>
      <c r="F81" s="9"/>
      <c r="G81" s="9"/>
      <c r="H81" s="9"/>
      <c r="I81" s="9"/>
      <c r="J81" s="3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15.75" hidden="false" customHeight="false" outlineLevel="0" collapsed="false">
      <c r="A82" s="13"/>
      <c r="B82" s="13"/>
      <c r="C82" s="9"/>
      <c r="D82" s="9"/>
      <c r="E82" s="9"/>
      <c r="F82" s="9"/>
      <c r="G82" s="9"/>
      <c r="H82" s="9"/>
      <c r="I82" s="9"/>
      <c r="J82" s="3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15.75" hidden="false" customHeight="false" outlineLevel="0" collapsed="false">
      <c r="A83" s="13"/>
      <c r="B83" s="13"/>
      <c r="C83" s="9"/>
      <c r="D83" s="9"/>
      <c r="E83" s="9"/>
      <c r="F83" s="9"/>
      <c r="G83" s="9"/>
      <c r="H83" s="9"/>
      <c r="I83" s="9"/>
      <c r="J83" s="3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15.75" hidden="false" customHeight="false" outlineLevel="0" collapsed="false">
      <c r="A84" s="13"/>
      <c r="B84" s="13"/>
      <c r="C84" s="9"/>
      <c r="D84" s="9"/>
      <c r="E84" s="9"/>
      <c r="F84" s="9"/>
      <c r="G84" s="9"/>
      <c r="H84" s="9"/>
      <c r="I84" s="9"/>
      <c r="J84" s="3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15.75" hidden="false" customHeight="false" outlineLevel="0" collapsed="false">
      <c r="A85" s="13"/>
      <c r="B85" s="13"/>
      <c r="C85" s="9"/>
      <c r="D85" s="9"/>
      <c r="E85" s="9"/>
      <c r="F85" s="9"/>
      <c r="G85" s="9"/>
      <c r="H85" s="9"/>
      <c r="I85" s="9"/>
      <c r="J85" s="3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15.75" hidden="false" customHeight="false" outlineLevel="0" collapsed="false">
      <c r="A86" s="13"/>
      <c r="B86" s="13"/>
      <c r="C86" s="9"/>
      <c r="D86" s="9"/>
      <c r="E86" s="9"/>
      <c r="F86" s="9"/>
      <c r="G86" s="9"/>
      <c r="H86" s="9"/>
      <c r="I86" s="9"/>
      <c r="J86" s="3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15.75" hidden="false" customHeight="false" outlineLevel="0" collapsed="false">
      <c r="A87" s="13"/>
      <c r="B87" s="13"/>
      <c r="C87" s="9"/>
      <c r="D87" s="9"/>
      <c r="E87" s="9"/>
      <c r="F87" s="9"/>
      <c r="G87" s="9"/>
      <c r="H87" s="9"/>
      <c r="I87" s="9"/>
      <c r="J87" s="3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15.75" hidden="false" customHeight="false" outlineLevel="0" collapsed="false">
      <c r="A88" s="13"/>
      <c r="B88" s="13"/>
      <c r="C88" s="9"/>
      <c r="D88" s="9"/>
      <c r="E88" s="9"/>
      <c r="F88" s="9"/>
      <c r="G88" s="9"/>
      <c r="H88" s="9"/>
      <c r="I88" s="9"/>
      <c r="J88" s="3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15.75" hidden="false" customHeight="false" outlineLevel="0" collapsed="false">
      <c r="A89" s="13"/>
      <c r="B89" s="13"/>
      <c r="C89" s="9"/>
      <c r="D89" s="9"/>
      <c r="E89" s="9"/>
      <c r="F89" s="9"/>
      <c r="G89" s="9"/>
      <c r="H89" s="9"/>
      <c r="I89" s="9"/>
      <c r="J89" s="3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15.75" hidden="false" customHeight="false" outlineLevel="0" collapsed="false">
      <c r="A90" s="13"/>
      <c r="B90" s="13"/>
      <c r="C90" s="9"/>
      <c r="D90" s="9"/>
      <c r="E90" s="9"/>
      <c r="F90" s="9"/>
      <c r="G90" s="9"/>
      <c r="H90" s="9"/>
      <c r="I90" s="9"/>
      <c r="J90" s="3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15.75" hidden="false" customHeight="false" outlineLevel="0" collapsed="false">
      <c r="A91" s="13"/>
      <c r="B91" s="13"/>
      <c r="C91" s="9"/>
      <c r="D91" s="9"/>
      <c r="E91" s="9"/>
      <c r="F91" s="9"/>
      <c r="G91" s="9"/>
      <c r="H91" s="9"/>
      <c r="I91" s="9"/>
      <c r="J91" s="3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15.75" hidden="false" customHeight="false" outlineLevel="0" collapsed="false">
      <c r="A92" s="13"/>
      <c r="B92" s="13"/>
      <c r="C92" s="9"/>
      <c r="D92" s="9"/>
      <c r="E92" s="9"/>
      <c r="F92" s="9"/>
      <c r="G92" s="9"/>
      <c r="H92" s="9"/>
      <c r="I92" s="9"/>
      <c r="J92" s="3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15.75" hidden="false" customHeight="false" outlineLevel="0" collapsed="false">
      <c r="A93" s="13"/>
      <c r="B93" s="13"/>
      <c r="C93" s="9"/>
      <c r="D93" s="9"/>
      <c r="E93" s="9"/>
      <c r="F93" s="9"/>
      <c r="G93" s="9"/>
      <c r="H93" s="9"/>
      <c r="I93" s="9"/>
      <c r="J93" s="3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15.75" hidden="false" customHeight="false" outlineLevel="0" collapsed="false">
      <c r="A94" s="13"/>
      <c r="B94" s="13"/>
      <c r="C94" s="9"/>
      <c r="D94" s="9"/>
      <c r="E94" s="9"/>
      <c r="F94" s="9"/>
      <c r="G94" s="9"/>
      <c r="H94" s="9"/>
      <c r="I94" s="9"/>
      <c r="J94" s="3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15.75" hidden="false" customHeight="false" outlineLevel="0" collapsed="false">
      <c r="A95" s="13"/>
      <c r="B95" s="13"/>
      <c r="C95" s="9"/>
      <c r="D95" s="9"/>
      <c r="E95" s="9"/>
      <c r="F95" s="9"/>
      <c r="G95" s="9"/>
      <c r="H95" s="9"/>
      <c r="I95" s="9"/>
      <c r="J95" s="3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15.75" hidden="false" customHeight="false" outlineLevel="0" collapsed="false">
      <c r="A96" s="13"/>
      <c r="B96" s="13"/>
      <c r="C96" s="9"/>
      <c r="D96" s="9"/>
      <c r="E96" s="9"/>
      <c r="F96" s="9"/>
      <c r="G96" s="9"/>
      <c r="H96" s="9"/>
      <c r="I96" s="9"/>
      <c r="J96" s="3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15.75" hidden="false" customHeight="false" outlineLevel="0" collapsed="false">
      <c r="A97" s="13"/>
      <c r="B97" s="13"/>
      <c r="C97" s="9"/>
      <c r="D97" s="9"/>
      <c r="E97" s="9"/>
      <c r="F97" s="9"/>
      <c r="G97" s="9"/>
      <c r="H97" s="9"/>
      <c r="I97" s="9"/>
      <c r="J97" s="3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15.75" hidden="false" customHeight="false" outlineLevel="0" collapsed="false">
      <c r="A98" s="13"/>
      <c r="B98" s="13"/>
      <c r="C98" s="9"/>
      <c r="D98" s="9"/>
      <c r="E98" s="9"/>
      <c r="F98" s="9"/>
      <c r="G98" s="9"/>
      <c r="H98" s="9"/>
      <c r="I98" s="9"/>
      <c r="J98" s="3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15.75" hidden="false" customHeight="false" outlineLevel="0" collapsed="false">
      <c r="A99" s="13"/>
      <c r="B99" s="13"/>
      <c r="C99" s="9"/>
      <c r="D99" s="9"/>
      <c r="E99" s="9"/>
      <c r="F99" s="9"/>
      <c r="G99" s="9"/>
      <c r="H99" s="9"/>
      <c r="I99" s="9"/>
      <c r="J99" s="3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15.75" hidden="false" customHeight="false" outlineLevel="0" collapsed="false">
      <c r="A100" s="13"/>
      <c r="B100" s="13"/>
      <c r="C100" s="9"/>
      <c r="D100" s="9"/>
      <c r="E100" s="9"/>
      <c r="F100" s="9"/>
      <c r="G100" s="9"/>
      <c r="H100" s="9"/>
      <c r="I100" s="9"/>
      <c r="J100" s="3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15.75" hidden="false" customHeight="false" outlineLevel="0" collapsed="false">
      <c r="A101" s="13"/>
      <c r="B101" s="13"/>
      <c r="C101" s="9"/>
      <c r="D101" s="9"/>
      <c r="E101" s="9"/>
      <c r="F101" s="9"/>
      <c r="G101" s="9"/>
      <c r="H101" s="9"/>
      <c r="I101" s="9"/>
      <c r="J101" s="3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15.75" hidden="false" customHeight="false" outlineLevel="0" collapsed="false">
      <c r="A102" s="13"/>
      <c r="B102" s="13"/>
      <c r="C102" s="9"/>
      <c r="D102" s="9"/>
      <c r="E102" s="9"/>
      <c r="F102" s="9"/>
      <c r="G102" s="9"/>
      <c r="H102" s="9"/>
      <c r="I102" s="9"/>
      <c r="J102" s="3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15.75" hidden="false" customHeight="false" outlineLevel="0" collapsed="false">
      <c r="A103" s="13"/>
      <c r="B103" s="13"/>
      <c r="C103" s="9"/>
      <c r="D103" s="9"/>
      <c r="E103" s="9"/>
      <c r="F103" s="9"/>
      <c r="G103" s="9"/>
      <c r="H103" s="9"/>
      <c r="I103" s="9"/>
      <c r="J103" s="3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15.75" hidden="false" customHeight="false" outlineLevel="0" collapsed="false">
      <c r="A104" s="13"/>
      <c r="B104" s="13"/>
      <c r="C104" s="9"/>
      <c r="D104" s="9"/>
      <c r="E104" s="9"/>
      <c r="F104" s="9"/>
      <c r="G104" s="9"/>
      <c r="H104" s="9"/>
      <c r="I104" s="9"/>
      <c r="J104" s="3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15.75" hidden="false" customHeight="false" outlineLevel="0" collapsed="false">
      <c r="A105" s="13"/>
      <c r="B105" s="13"/>
      <c r="C105" s="9"/>
      <c r="D105" s="9"/>
      <c r="E105" s="9"/>
      <c r="F105" s="9"/>
      <c r="G105" s="9"/>
      <c r="H105" s="9"/>
      <c r="I105" s="9"/>
      <c r="J105" s="3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15.75" hidden="false" customHeight="false" outlineLevel="0" collapsed="false">
      <c r="A106" s="13"/>
      <c r="B106" s="13"/>
      <c r="C106" s="9"/>
      <c r="D106" s="9"/>
      <c r="E106" s="9"/>
      <c r="F106" s="9"/>
      <c r="G106" s="9"/>
      <c r="H106" s="9"/>
      <c r="I106" s="9"/>
      <c r="J106" s="3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15.75" hidden="false" customHeight="false" outlineLevel="0" collapsed="false">
      <c r="A107" s="13"/>
      <c r="B107" s="13"/>
      <c r="C107" s="9"/>
      <c r="D107" s="9"/>
      <c r="E107" s="9"/>
      <c r="F107" s="9"/>
      <c r="G107" s="9"/>
      <c r="H107" s="9"/>
      <c r="I107" s="9"/>
      <c r="J107" s="3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15.75" hidden="false" customHeight="false" outlineLevel="0" collapsed="false">
      <c r="A108" s="13"/>
      <c r="B108" s="13"/>
      <c r="C108" s="9"/>
      <c r="D108" s="9"/>
      <c r="E108" s="9"/>
      <c r="F108" s="9"/>
      <c r="G108" s="9"/>
      <c r="H108" s="9"/>
      <c r="I108" s="9"/>
      <c r="J108" s="3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15.75" hidden="false" customHeight="false" outlineLevel="0" collapsed="false">
      <c r="A109" s="13"/>
      <c r="B109" s="13"/>
      <c r="C109" s="9"/>
      <c r="D109" s="9"/>
      <c r="E109" s="9"/>
      <c r="F109" s="9"/>
      <c r="G109" s="9"/>
      <c r="H109" s="9"/>
      <c r="I109" s="9"/>
      <c r="J109" s="3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15.75" hidden="false" customHeight="false" outlineLevel="0" collapsed="false">
      <c r="A110" s="13"/>
      <c r="B110" s="13"/>
      <c r="C110" s="9"/>
      <c r="D110" s="9"/>
      <c r="E110" s="9"/>
      <c r="F110" s="9"/>
      <c r="G110" s="9"/>
      <c r="H110" s="9"/>
      <c r="I110" s="9"/>
      <c r="J110" s="3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15.75" hidden="false" customHeight="false" outlineLevel="0" collapsed="false">
      <c r="A111" s="13"/>
      <c r="B111" s="13"/>
      <c r="C111" s="9"/>
      <c r="D111" s="9"/>
      <c r="E111" s="9"/>
      <c r="F111" s="9"/>
      <c r="G111" s="9"/>
      <c r="H111" s="9"/>
      <c r="I111" s="9"/>
      <c r="J111" s="3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15.75" hidden="false" customHeight="false" outlineLevel="0" collapsed="false">
      <c r="A112" s="13"/>
      <c r="B112" s="13"/>
      <c r="C112" s="9"/>
      <c r="D112" s="9"/>
      <c r="E112" s="9"/>
      <c r="F112" s="9"/>
      <c r="G112" s="9"/>
      <c r="H112" s="9"/>
      <c r="I112" s="9"/>
      <c r="J112" s="3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15.75" hidden="false" customHeight="false" outlineLevel="0" collapsed="false">
      <c r="A113" s="13"/>
      <c r="B113" s="13"/>
      <c r="C113" s="9"/>
      <c r="D113" s="9"/>
      <c r="E113" s="9"/>
      <c r="F113" s="9"/>
      <c r="G113" s="9"/>
      <c r="H113" s="9"/>
      <c r="I113" s="9"/>
      <c r="J113" s="3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15.75" hidden="false" customHeight="false" outlineLevel="0" collapsed="false">
      <c r="A114" s="13"/>
      <c r="B114" s="13"/>
      <c r="C114" s="9"/>
      <c r="D114" s="9"/>
      <c r="E114" s="9"/>
      <c r="F114" s="9"/>
      <c r="G114" s="9"/>
      <c r="H114" s="9"/>
      <c r="I114" s="9"/>
      <c r="J114" s="3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15.75" hidden="false" customHeight="false" outlineLevel="0" collapsed="false">
      <c r="A115" s="13"/>
      <c r="B115" s="13"/>
      <c r="C115" s="9"/>
      <c r="D115" s="9"/>
      <c r="E115" s="9"/>
      <c r="F115" s="9"/>
      <c r="G115" s="9"/>
      <c r="H115" s="9"/>
      <c r="I115" s="9"/>
      <c r="J115" s="3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15.75" hidden="false" customHeight="false" outlineLevel="0" collapsed="false">
      <c r="A116" s="13"/>
      <c r="B116" s="13"/>
      <c r="C116" s="9"/>
      <c r="D116" s="9"/>
      <c r="E116" s="9"/>
      <c r="F116" s="9"/>
      <c r="G116" s="9"/>
      <c r="H116" s="9"/>
      <c r="I116" s="9"/>
      <c r="J116" s="3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15.75" hidden="false" customHeight="false" outlineLevel="0" collapsed="false">
      <c r="A117" s="13"/>
      <c r="B117" s="13"/>
      <c r="C117" s="9"/>
      <c r="D117" s="9"/>
      <c r="E117" s="9"/>
      <c r="F117" s="9"/>
      <c r="G117" s="9"/>
      <c r="H117" s="9"/>
      <c r="I117" s="9"/>
      <c r="J117" s="3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15.75" hidden="false" customHeight="false" outlineLevel="0" collapsed="false">
      <c r="A118" s="13"/>
      <c r="B118" s="13"/>
      <c r="C118" s="9"/>
      <c r="D118" s="9"/>
      <c r="E118" s="9"/>
      <c r="F118" s="9"/>
      <c r="G118" s="9"/>
      <c r="H118" s="9"/>
      <c r="I118" s="9"/>
      <c r="J118" s="3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15.75" hidden="false" customHeight="false" outlineLevel="0" collapsed="false">
      <c r="A119" s="13"/>
      <c r="B119" s="13"/>
      <c r="C119" s="9"/>
      <c r="D119" s="9"/>
      <c r="E119" s="9"/>
      <c r="F119" s="9"/>
      <c r="G119" s="9"/>
      <c r="H119" s="9"/>
      <c r="I119" s="9"/>
      <c r="J119" s="3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15.75" hidden="false" customHeight="false" outlineLevel="0" collapsed="false">
      <c r="A120" s="13"/>
      <c r="B120" s="13"/>
      <c r="C120" s="9"/>
      <c r="D120" s="9"/>
      <c r="E120" s="9"/>
      <c r="F120" s="9"/>
      <c r="G120" s="9"/>
      <c r="H120" s="9"/>
      <c r="I120" s="9"/>
      <c r="J120" s="3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15.75" hidden="false" customHeight="false" outlineLevel="0" collapsed="false">
      <c r="A121" s="13"/>
      <c r="B121" s="13"/>
      <c r="C121" s="9"/>
      <c r="D121" s="9"/>
      <c r="E121" s="9"/>
      <c r="F121" s="9"/>
      <c r="G121" s="9"/>
      <c r="H121" s="9"/>
      <c r="I121" s="9"/>
      <c r="J121" s="3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15.75" hidden="false" customHeight="false" outlineLevel="0" collapsed="false">
      <c r="A122" s="13"/>
      <c r="B122" s="13"/>
      <c r="C122" s="9"/>
      <c r="D122" s="9"/>
      <c r="E122" s="9"/>
      <c r="F122" s="9"/>
      <c r="G122" s="9"/>
      <c r="H122" s="9"/>
      <c r="I122" s="9"/>
      <c r="J122" s="3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15.75" hidden="false" customHeight="false" outlineLevel="0" collapsed="false">
      <c r="A123" s="13"/>
      <c r="B123" s="13"/>
      <c r="C123" s="9"/>
      <c r="D123" s="9"/>
      <c r="E123" s="9"/>
      <c r="F123" s="9"/>
      <c r="G123" s="9"/>
      <c r="H123" s="9"/>
      <c r="I123" s="9"/>
      <c r="J123" s="3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15.75" hidden="false" customHeight="false" outlineLevel="0" collapsed="false">
      <c r="A124" s="13"/>
      <c r="B124" s="13"/>
      <c r="C124" s="9"/>
      <c r="D124" s="9"/>
      <c r="E124" s="9"/>
      <c r="F124" s="9"/>
      <c r="G124" s="9"/>
      <c r="H124" s="9"/>
      <c r="I124" s="9"/>
      <c r="J124" s="3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15.75" hidden="false" customHeight="false" outlineLevel="0" collapsed="false">
      <c r="A125" s="13"/>
      <c r="B125" s="13"/>
      <c r="C125" s="9"/>
      <c r="D125" s="9"/>
      <c r="E125" s="9"/>
      <c r="F125" s="9"/>
      <c r="G125" s="9"/>
      <c r="H125" s="9"/>
      <c r="I125" s="9"/>
      <c r="J125" s="3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15.75" hidden="false" customHeight="false" outlineLevel="0" collapsed="false">
      <c r="A126" s="13"/>
      <c r="B126" s="13"/>
      <c r="C126" s="9"/>
      <c r="D126" s="9"/>
      <c r="E126" s="9"/>
      <c r="F126" s="9"/>
      <c r="G126" s="9"/>
      <c r="H126" s="9"/>
      <c r="I126" s="9"/>
      <c r="J126" s="3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15.75" hidden="false" customHeight="false" outlineLevel="0" collapsed="false">
      <c r="A127" s="13"/>
      <c r="B127" s="13"/>
      <c r="C127" s="9"/>
      <c r="D127" s="9"/>
      <c r="E127" s="9"/>
      <c r="F127" s="9"/>
      <c r="G127" s="9"/>
      <c r="H127" s="9"/>
      <c r="I127" s="9"/>
      <c r="J127" s="3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15.75" hidden="false" customHeight="false" outlineLevel="0" collapsed="false">
      <c r="A128" s="13"/>
      <c r="B128" s="13"/>
      <c r="C128" s="9"/>
      <c r="D128" s="9"/>
      <c r="E128" s="9"/>
      <c r="F128" s="9"/>
      <c r="G128" s="9"/>
      <c r="H128" s="9"/>
      <c r="I128" s="9"/>
      <c r="J128" s="3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15.75" hidden="false" customHeight="false" outlineLevel="0" collapsed="false">
      <c r="A129" s="13"/>
      <c r="B129" s="13"/>
      <c r="C129" s="9"/>
      <c r="D129" s="9"/>
      <c r="E129" s="9"/>
      <c r="F129" s="9"/>
      <c r="G129" s="9"/>
      <c r="H129" s="9"/>
      <c r="I129" s="9"/>
      <c r="J129" s="3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15.75" hidden="false" customHeight="false" outlineLevel="0" collapsed="false">
      <c r="A130" s="13"/>
      <c r="B130" s="13"/>
      <c r="C130" s="9"/>
      <c r="D130" s="9"/>
      <c r="E130" s="9"/>
      <c r="F130" s="9"/>
      <c r="G130" s="9"/>
      <c r="H130" s="9"/>
      <c r="I130" s="9"/>
      <c r="J130" s="3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15.75" hidden="false" customHeight="false" outlineLevel="0" collapsed="false">
      <c r="A131" s="13"/>
      <c r="B131" s="13"/>
      <c r="C131" s="9"/>
      <c r="D131" s="9"/>
      <c r="E131" s="9"/>
      <c r="F131" s="9"/>
      <c r="G131" s="9"/>
      <c r="H131" s="9"/>
      <c r="I131" s="9"/>
      <c r="J131" s="3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15.75" hidden="false" customHeight="false" outlineLevel="0" collapsed="false">
      <c r="A132" s="13"/>
      <c r="B132" s="13"/>
      <c r="C132" s="9"/>
      <c r="D132" s="9"/>
      <c r="E132" s="9"/>
      <c r="F132" s="9"/>
      <c r="G132" s="9"/>
      <c r="H132" s="9"/>
      <c r="I132" s="9"/>
      <c r="J132" s="3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15.75" hidden="false" customHeight="false" outlineLevel="0" collapsed="false">
      <c r="A133" s="13"/>
      <c r="B133" s="13"/>
      <c r="C133" s="9"/>
      <c r="D133" s="9"/>
      <c r="E133" s="9"/>
      <c r="F133" s="9"/>
      <c r="G133" s="9"/>
      <c r="H133" s="9"/>
      <c r="I133" s="9"/>
      <c r="J133" s="3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15.75" hidden="false" customHeight="false" outlineLevel="0" collapsed="false">
      <c r="A134" s="13"/>
      <c r="B134" s="13"/>
      <c r="C134" s="9"/>
      <c r="D134" s="9"/>
      <c r="E134" s="9"/>
      <c r="F134" s="9"/>
      <c r="G134" s="9"/>
      <c r="H134" s="9"/>
      <c r="I134" s="9"/>
      <c r="J134" s="3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15.75" hidden="false" customHeight="false" outlineLevel="0" collapsed="false">
      <c r="A135" s="13"/>
      <c r="B135" s="13"/>
      <c r="C135" s="9"/>
      <c r="D135" s="9"/>
      <c r="E135" s="9"/>
      <c r="F135" s="9"/>
      <c r="G135" s="9"/>
      <c r="H135" s="9"/>
      <c r="I135" s="9"/>
      <c r="J135" s="3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15.75" hidden="false" customHeight="false" outlineLevel="0" collapsed="false">
      <c r="A136" s="13"/>
      <c r="B136" s="13"/>
      <c r="C136" s="9"/>
      <c r="D136" s="9"/>
      <c r="E136" s="9"/>
      <c r="F136" s="9"/>
      <c r="G136" s="9"/>
      <c r="H136" s="9"/>
      <c r="I136" s="9"/>
      <c r="J136" s="3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15.75" hidden="false" customHeight="false" outlineLevel="0" collapsed="false">
      <c r="A137" s="13"/>
      <c r="B137" s="13"/>
      <c r="C137" s="9"/>
      <c r="D137" s="9"/>
      <c r="E137" s="9"/>
      <c r="F137" s="9"/>
      <c r="G137" s="9"/>
      <c r="H137" s="9"/>
      <c r="I137" s="9"/>
      <c r="J137" s="3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15.75" hidden="false" customHeight="false" outlineLevel="0" collapsed="false">
      <c r="A138" s="13"/>
      <c r="B138" s="13"/>
      <c r="C138" s="9"/>
      <c r="D138" s="9"/>
      <c r="E138" s="9"/>
      <c r="F138" s="9"/>
      <c r="G138" s="9"/>
      <c r="H138" s="9"/>
      <c r="I138" s="9"/>
      <c r="J138" s="3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15.75" hidden="false" customHeight="false" outlineLevel="0" collapsed="false">
      <c r="A139" s="13"/>
      <c r="B139" s="13"/>
      <c r="C139" s="9"/>
      <c r="D139" s="9"/>
      <c r="E139" s="9"/>
      <c r="F139" s="9"/>
      <c r="G139" s="9"/>
      <c r="H139" s="9"/>
      <c r="I139" s="9"/>
      <c r="J139" s="3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15.75" hidden="false" customHeight="false" outlineLevel="0" collapsed="false">
      <c r="A140" s="13"/>
      <c r="B140" s="13"/>
      <c r="C140" s="9"/>
      <c r="D140" s="9"/>
      <c r="E140" s="9"/>
      <c r="F140" s="9"/>
      <c r="G140" s="9"/>
      <c r="H140" s="9"/>
      <c r="I140" s="9"/>
      <c r="J140" s="3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15.75" hidden="false" customHeight="false" outlineLevel="0" collapsed="false">
      <c r="A141" s="13"/>
      <c r="B141" s="13"/>
      <c r="C141" s="9"/>
      <c r="D141" s="9"/>
      <c r="E141" s="9"/>
      <c r="F141" s="9"/>
      <c r="G141" s="9"/>
      <c r="H141" s="9"/>
      <c r="I141" s="9"/>
      <c r="J141" s="3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15.75" hidden="false" customHeight="false" outlineLevel="0" collapsed="false">
      <c r="A142" s="13"/>
      <c r="B142" s="13"/>
      <c r="C142" s="9"/>
      <c r="D142" s="9"/>
      <c r="E142" s="9"/>
      <c r="F142" s="9"/>
      <c r="G142" s="9"/>
      <c r="H142" s="9"/>
      <c r="I142" s="9"/>
      <c r="J142" s="3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15.75" hidden="false" customHeight="false" outlineLevel="0" collapsed="false">
      <c r="A143" s="13"/>
      <c r="B143" s="13"/>
      <c r="C143" s="9"/>
      <c r="D143" s="9"/>
      <c r="E143" s="9"/>
      <c r="F143" s="9"/>
      <c r="G143" s="9"/>
      <c r="H143" s="9"/>
      <c r="I143" s="9"/>
      <c r="J143" s="3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15.75" hidden="false" customHeight="false" outlineLevel="0" collapsed="false">
      <c r="A144" s="13"/>
      <c r="B144" s="13"/>
      <c r="C144" s="9"/>
      <c r="D144" s="9"/>
      <c r="E144" s="9"/>
      <c r="F144" s="9"/>
      <c r="G144" s="9"/>
      <c r="H144" s="9"/>
      <c r="I144" s="9"/>
      <c r="J144" s="3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15.75" hidden="false" customHeight="false" outlineLevel="0" collapsed="false">
      <c r="A145" s="13"/>
      <c r="B145" s="13"/>
      <c r="C145" s="9"/>
      <c r="D145" s="9"/>
      <c r="E145" s="9"/>
      <c r="F145" s="9"/>
      <c r="G145" s="9"/>
      <c r="H145" s="9"/>
      <c r="I145" s="9"/>
      <c r="J145" s="3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15.75" hidden="false" customHeight="false" outlineLevel="0" collapsed="false">
      <c r="A146" s="13"/>
      <c r="B146" s="13"/>
      <c r="C146" s="9"/>
      <c r="D146" s="9"/>
      <c r="E146" s="9"/>
      <c r="F146" s="9"/>
      <c r="G146" s="9"/>
      <c r="H146" s="9"/>
      <c r="I146" s="9"/>
      <c r="J146" s="3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15.75" hidden="false" customHeight="false" outlineLevel="0" collapsed="false">
      <c r="A147" s="13"/>
      <c r="B147" s="13"/>
      <c r="C147" s="9"/>
      <c r="D147" s="9"/>
      <c r="E147" s="9"/>
      <c r="F147" s="9"/>
      <c r="G147" s="9"/>
      <c r="H147" s="9"/>
      <c r="I147" s="9"/>
      <c r="J147" s="3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15.75" hidden="false" customHeight="false" outlineLevel="0" collapsed="false">
      <c r="A148" s="13"/>
      <c r="B148" s="13"/>
      <c r="C148" s="9"/>
      <c r="D148" s="9"/>
      <c r="E148" s="9"/>
      <c r="F148" s="9"/>
      <c r="G148" s="9"/>
      <c r="H148" s="9"/>
      <c r="I148" s="9"/>
      <c r="J148" s="3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15.75" hidden="false" customHeight="false" outlineLevel="0" collapsed="false">
      <c r="A149" s="13"/>
      <c r="B149" s="13"/>
      <c r="C149" s="9"/>
      <c r="D149" s="9"/>
      <c r="E149" s="9"/>
      <c r="F149" s="9"/>
      <c r="G149" s="9"/>
      <c r="H149" s="9"/>
      <c r="I149" s="9"/>
      <c r="J149" s="3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15.75" hidden="false" customHeight="false" outlineLevel="0" collapsed="false">
      <c r="A150" s="13"/>
      <c r="B150" s="13"/>
      <c r="C150" s="9"/>
      <c r="D150" s="9"/>
      <c r="E150" s="9"/>
      <c r="F150" s="9"/>
      <c r="G150" s="9"/>
      <c r="H150" s="9"/>
      <c r="I150" s="9"/>
      <c r="J150" s="3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15.75" hidden="false" customHeight="false" outlineLevel="0" collapsed="false">
      <c r="A151" s="13"/>
      <c r="B151" s="13"/>
      <c r="C151" s="9"/>
      <c r="D151" s="9"/>
      <c r="E151" s="9"/>
      <c r="F151" s="9"/>
      <c r="G151" s="9"/>
      <c r="H151" s="9"/>
      <c r="I151" s="9"/>
      <c r="J151" s="3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15.75" hidden="false" customHeight="false" outlineLevel="0" collapsed="false">
      <c r="A152" s="13"/>
      <c r="B152" s="13"/>
      <c r="C152" s="9"/>
      <c r="D152" s="9"/>
      <c r="E152" s="9"/>
      <c r="F152" s="9"/>
      <c r="G152" s="9"/>
      <c r="H152" s="9"/>
      <c r="I152" s="9"/>
      <c r="J152" s="3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15.75" hidden="false" customHeight="false" outlineLevel="0" collapsed="false">
      <c r="A153" s="13"/>
      <c r="B153" s="13"/>
      <c r="C153" s="9"/>
      <c r="D153" s="9"/>
      <c r="E153" s="9"/>
      <c r="F153" s="9"/>
      <c r="G153" s="9"/>
      <c r="H153" s="9"/>
      <c r="I153" s="9"/>
      <c r="J153" s="3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15.75" hidden="false" customHeight="false" outlineLevel="0" collapsed="false">
      <c r="A154" s="13"/>
      <c r="B154" s="13"/>
      <c r="C154" s="9"/>
      <c r="D154" s="9"/>
      <c r="E154" s="9"/>
      <c r="F154" s="9"/>
      <c r="G154" s="9"/>
      <c r="H154" s="9"/>
      <c r="I154" s="9"/>
      <c r="J154" s="3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15.75" hidden="false" customHeight="false" outlineLevel="0" collapsed="false">
      <c r="A155" s="13"/>
      <c r="B155" s="13"/>
      <c r="C155" s="9"/>
      <c r="D155" s="9"/>
      <c r="E155" s="9"/>
      <c r="F155" s="9"/>
      <c r="G155" s="9"/>
      <c r="H155" s="9"/>
      <c r="I155" s="9"/>
      <c r="J155" s="3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15.75" hidden="false" customHeight="false" outlineLevel="0" collapsed="false">
      <c r="A156" s="13"/>
      <c r="B156" s="13"/>
      <c r="C156" s="9"/>
      <c r="D156" s="9"/>
      <c r="E156" s="9"/>
      <c r="F156" s="9"/>
      <c r="G156" s="9"/>
      <c r="H156" s="9"/>
      <c r="I156" s="9"/>
      <c r="J156" s="3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15.75" hidden="false" customHeight="false" outlineLevel="0" collapsed="false">
      <c r="A157" s="13"/>
      <c r="B157" s="13"/>
      <c r="C157" s="9"/>
      <c r="D157" s="9"/>
      <c r="E157" s="9"/>
      <c r="F157" s="9"/>
      <c r="G157" s="9"/>
      <c r="H157" s="9"/>
      <c r="I157" s="9"/>
      <c r="J157" s="3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15.75" hidden="false" customHeight="false" outlineLevel="0" collapsed="false">
      <c r="A158" s="13"/>
      <c r="B158" s="13"/>
      <c r="C158" s="9"/>
      <c r="D158" s="9"/>
      <c r="E158" s="9"/>
      <c r="F158" s="9"/>
      <c r="G158" s="9"/>
      <c r="H158" s="9"/>
      <c r="I158" s="9"/>
      <c r="J158" s="3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15.75" hidden="false" customHeight="false" outlineLevel="0" collapsed="false">
      <c r="A159" s="13"/>
      <c r="B159" s="13"/>
      <c r="C159" s="9"/>
      <c r="D159" s="9"/>
      <c r="E159" s="9"/>
      <c r="F159" s="9"/>
      <c r="G159" s="9"/>
      <c r="H159" s="9"/>
      <c r="I159" s="9"/>
      <c r="J159" s="3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15.75" hidden="false" customHeight="false" outlineLevel="0" collapsed="false">
      <c r="A160" s="13"/>
      <c r="B160" s="13"/>
      <c r="C160" s="9"/>
      <c r="D160" s="9"/>
      <c r="E160" s="9"/>
      <c r="F160" s="9"/>
      <c r="G160" s="9"/>
      <c r="H160" s="9"/>
      <c r="I160" s="9"/>
      <c r="J160" s="3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15.75" hidden="false" customHeight="false" outlineLevel="0" collapsed="false">
      <c r="A161" s="13"/>
      <c r="B161" s="13"/>
      <c r="C161" s="9"/>
      <c r="D161" s="9"/>
      <c r="E161" s="9"/>
      <c r="F161" s="9"/>
      <c r="G161" s="9"/>
      <c r="H161" s="9"/>
      <c r="I161" s="9"/>
      <c r="J161" s="3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15.75" hidden="false" customHeight="false" outlineLevel="0" collapsed="false">
      <c r="A162" s="13"/>
      <c r="B162" s="13"/>
      <c r="C162" s="9"/>
      <c r="D162" s="9"/>
      <c r="E162" s="9"/>
      <c r="F162" s="9"/>
      <c r="G162" s="9"/>
      <c r="H162" s="9"/>
      <c r="I162" s="9"/>
      <c r="J162" s="3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15.75" hidden="false" customHeight="false" outlineLevel="0" collapsed="false">
      <c r="A163" s="13"/>
      <c r="B163" s="13"/>
      <c r="C163" s="9"/>
      <c r="D163" s="9"/>
      <c r="E163" s="9"/>
      <c r="F163" s="9"/>
      <c r="G163" s="9"/>
      <c r="H163" s="9"/>
      <c r="I163" s="9"/>
      <c r="J163" s="3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15.75" hidden="false" customHeight="false" outlineLevel="0" collapsed="false">
      <c r="A164" s="13"/>
      <c r="B164" s="13"/>
      <c r="C164" s="9"/>
      <c r="D164" s="9"/>
      <c r="E164" s="9"/>
      <c r="F164" s="9"/>
      <c r="G164" s="9"/>
      <c r="H164" s="9"/>
      <c r="I164" s="9"/>
      <c r="J164" s="3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15.75" hidden="false" customHeight="false" outlineLevel="0" collapsed="false">
      <c r="A165" s="13"/>
      <c r="B165" s="13"/>
      <c r="C165" s="9"/>
      <c r="D165" s="9"/>
      <c r="E165" s="9"/>
      <c r="F165" s="9"/>
      <c r="G165" s="9"/>
      <c r="H165" s="9"/>
      <c r="I165" s="9"/>
      <c r="J165" s="3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15.75" hidden="false" customHeight="false" outlineLevel="0" collapsed="false">
      <c r="A166" s="13"/>
      <c r="B166" s="13"/>
      <c r="C166" s="9"/>
      <c r="D166" s="9"/>
      <c r="E166" s="9"/>
      <c r="F166" s="9"/>
      <c r="G166" s="9"/>
      <c r="H166" s="9"/>
      <c r="I166" s="9"/>
      <c r="J166" s="3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15.75" hidden="false" customHeight="false" outlineLevel="0" collapsed="false">
      <c r="A167" s="13"/>
      <c r="B167" s="13"/>
      <c r="C167" s="9"/>
      <c r="D167" s="9"/>
      <c r="E167" s="9"/>
      <c r="F167" s="9"/>
      <c r="G167" s="9"/>
      <c r="H167" s="9"/>
      <c r="I167" s="9"/>
      <c r="J167" s="3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15.75" hidden="false" customHeight="false" outlineLevel="0" collapsed="false">
      <c r="A168" s="13"/>
      <c r="B168" s="13"/>
      <c r="C168" s="9"/>
      <c r="D168" s="9"/>
      <c r="E168" s="9"/>
      <c r="F168" s="9"/>
      <c r="G168" s="9"/>
      <c r="H168" s="9"/>
      <c r="I168" s="9"/>
      <c r="J168" s="3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15.75" hidden="false" customHeight="false" outlineLevel="0" collapsed="false">
      <c r="A169" s="13"/>
      <c r="B169" s="13"/>
      <c r="C169" s="9"/>
      <c r="D169" s="9"/>
      <c r="E169" s="9"/>
      <c r="F169" s="9"/>
      <c r="G169" s="9"/>
      <c r="H169" s="9"/>
      <c r="I169" s="9"/>
      <c r="J169" s="3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15.75" hidden="false" customHeight="false" outlineLevel="0" collapsed="false">
      <c r="A170" s="13"/>
      <c r="B170" s="13"/>
      <c r="C170" s="9"/>
      <c r="D170" s="9"/>
      <c r="E170" s="9"/>
      <c r="F170" s="9"/>
      <c r="G170" s="9"/>
      <c r="H170" s="9"/>
      <c r="I170" s="9"/>
      <c r="J170" s="3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15.75" hidden="false" customHeight="false" outlineLevel="0" collapsed="false">
      <c r="A171" s="13"/>
      <c r="B171" s="13"/>
      <c r="C171" s="9"/>
      <c r="D171" s="9"/>
      <c r="E171" s="9"/>
      <c r="F171" s="9"/>
      <c r="G171" s="9"/>
      <c r="H171" s="9"/>
      <c r="I171" s="9"/>
      <c r="J171" s="3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15.75" hidden="false" customHeight="false" outlineLevel="0" collapsed="false">
      <c r="A172" s="13"/>
      <c r="B172" s="13"/>
      <c r="C172" s="9"/>
      <c r="D172" s="9"/>
      <c r="E172" s="9"/>
      <c r="F172" s="9"/>
      <c r="G172" s="9"/>
      <c r="H172" s="9"/>
      <c r="I172" s="9"/>
      <c r="J172" s="3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15.75" hidden="false" customHeight="false" outlineLevel="0" collapsed="false">
      <c r="A173" s="13"/>
      <c r="B173" s="13"/>
      <c r="C173" s="9"/>
      <c r="D173" s="9"/>
      <c r="E173" s="9"/>
      <c r="F173" s="9"/>
      <c r="G173" s="9"/>
      <c r="H173" s="9"/>
      <c r="I173" s="9"/>
      <c r="J173" s="3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15.75" hidden="false" customHeight="false" outlineLevel="0" collapsed="false">
      <c r="A174" s="13"/>
      <c r="B174" s="13"/>
      <c r="C174" s="9"/>
      <c r="D174" s="9"/>
      <c r="E174" s="9"/>
      <c r="F174" s="9"/>
      <c r="G174" s="9"/>
      <c r="H174" s="9"/>
      <c r="I174" s="9"/>
      <c r="J174" s="3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15.75" hidden="false" customHeight="false" outlineLevel="0" collapsed="false">
      <c r="A175" s="13"/>
      <c r="B175" s="13"/>
      <c r="C175" s="9"/>
      <c r="D175" s="9"/>
      <c r="E175" s="9"/>
      <c r="F175" s="9"/>
      <c r="G175" s="9"/>
      <c r="H175" s="9"/>
      <c r="I175" s="9"/>
      <c r="J175" s="3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15.75" hidden="false" customHeight="false" outlineLevel="0" collapsed="false">
      <c r="A176" s="13"/>
      <c r="B176" s="13"/>
      <c r="C176" s="9"/>
      <c r="D176" s="9"/>
      <c r="E176" s="9"/>
      <c r="F176" s="9"/>
      <c r="G176" s="9"/>
      <c r="H176" s="9"/>
      <c r="I176" s="9"/>
      <c r="J176" s="3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15.75" hidden="false" customHeight="false" outlineLevel="0" collapsed="false">
      <c r="A177" s="13"/>
      <c r="B177" s="13"/>
      <c r="C177" s="9"/>
      <c r="D177" s="9"/>
      <c r="E177" s="9"/>
      <c r="F177" s="9"/>
      <c r="G177" s="9"/>
      <c r="H177" s="9"/>
      <c r="I177" s="9"/>
      <c r="J177" s="3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15.75" hidden="false" customHeight="false" outlineLevel="0" collapsed="false">
      <c r="A178" s="13"/>
      <c r="B178" s="13"/>
      <c r="C178" s="9"/>
      <c r="D178" s="9"/>
      <c r="E178" s="9"/>
      <c r="F178" s="9"/>
      <c r="G178" s="9"/>
      <c r="H178" s="9"/>
      <c r="I178" s="9"/>
      <c r="J178" s="3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15.75" hidden="false" customHeight="false" outlineLevel="0" collapsed="false">
      <c r="A179" s="13"/>
      <c r="B179" s="13"/>
      <c r="C179" s="9"/>
      <c r="D179" s="9"/>
      <c r="E179" s="9"/>
      <c r="F179" s="9"/>
      <c r="G179" s="9"/>
      <c r="H179" s="9"/>
      <c r="I179" s="9"/>
      <c r="J179" s="3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15.75" hidden="false" customHeight="false" outlineLevel="0" collapsed="false">
      <c r="A180" s="13"/>
      <c r="B180" s="13"/>
      <c r="C180" s="9"/>
      <c r="D180" s="9"/>
      <c r="E180" s="9"/>
      <c r="F180" s="9"/>
      <c r="G180" s="9"/>
      <c r="H180" s="9"/>
      <c r="I180" s="9"/>
      <c r="J180" s="3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15.75" hidden="false" customHeight="false" outlineLevel="0" collapsed="false">
      <c r="A181" s="13"/>
      <c r="B181" s="13"/>
      <c r="C181" s="9"/>
      <c r="D181" s="9"/>
      <c r="E181" s="9"/>
      <c r="F181" s="9"/>
      <c r="G181" s="9"/>
      <c r="H181" s="9"/>
      <c r="I181" s="9"/>
      <c r="J181" s="3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15.75" hidden="false" customHeight="false" outlineLevel="0" collapsed="false">
      <c r="A182" s="13"/>
      <c r="B182" s="13"/>
      <c r="C182" s="9"/>
      <c r="D182" s="9"/>
      <c r="E182" s="9"/>
      <c r="F182" s="9"/>
      <c r="G182" s="9"/>
      <c r="H182" s="9"/>
      <c r="I182" s="9"/>
      <c r="J182" s="3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15.75" hidden="false" customHeight="false" outlineLevel="0" collapsed="false">
      <c r="A183" s="13"/>
      <c r="B183" s="13"/>
      <c r="C183" s="9"/>
      <c r="D183" s="9"/>
      <c r="E183" s="9"/>
      <c r="F183" s="9"/>
      <c r="G183" s="9"/>
      <c r="H183" s="9"/>
      <c r="I183" s="9"/>
      <c r="J183" s="3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15.75" hidden="false" customHeight="false" outlineLevel="0" collapsed="false">
      <c r="A184" s="13"/>
      <c r="B184" s="13"/>
      <c r="C184" s="9"/>
      <c r="D184" s="9"/>
      <c r="E184" s="9"/>
      <c r="F184" s="9"/>
      <c r="G184" s="9"/>
      <c r="H184" s="9"/>
      <c r="I184" s="9"/>
      <c r="J184" s="3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15.75" hidden="false" customHeight="false" outlineLevel="0" collapsed="false">
      <c r="A185" s="13"/>
      <c r="B185" s="13"/>
      <c r="C185" s="9"/>
      <c r="D185" s="9"/>
      <c r="E185" s="9"/>
      <c r="F185" s="9"/>
      <c r="G185" s="9"/>
      <c r="H185" s="9"/>
      <c r="I185" s="9"/>
      <c r="J185" s="3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15.75" hidden="false" customHeight="false" outlineLevel="0" collapsed="false">
      <c r="A186" s="13"/>
      <c r="B186" s="13"/>
      <c r="C186" s="9"/>
      <c r="D186" s="9"/>
      <c r="E186" s="9"/>
      <c r="F186" s="9"/>
      <c r="G186" s="9"/>
      <c r="H186" s="9"/>
      <c r="I186" s="9"/>
      <c r="J186" s="3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15.75" hidden="false" customHeight="false" outlineLevel="0" collapsed="false">
      <c r="A187" s="13"/>
      <c r="B187" s="13"/>
      <c r="C187" s="9"/>
      <c r="D187" s="9"/>
      <c r="E187" s="9"/>
      <c r="F187" s="9"/>
      <c r="G187" s="9"/>
      <c r="H187" s="9"/>
      <c r="I187" s="9"/>
      <c r="J187" s="3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15.75" hidden="false" customHeight="false" outlineLevel="0" collapsed="false">
      <c r="A188" s="13"/>
      <c r="B188" s="13"/>
      <c r="C188" s="9"/>
      <c r="D188" s="9"/>
      <c r="E188" s="9"/>
      <c r="F188" s="9"/>
      <c r="G188" s="9"/>
      <c r="H188" s="9"/>
      <c r="I188" s="9"/>
      <c r="J188" s="3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15.75" hidden="false" customHeight="false" outlineLevel="0" collapsed="false">
      <c r="A189" s="13"/>
      <c r="B189" s="13"/>
      <c r="C189" s="9"/>
      <c r="D189" s="9"/>
      <c r="E189" s="9"/>
      <c r="F189" s="9"/>
      <c r="G189" s="9"/>
      <c r="H189" s="9"/>
      <c r="I189" s="9"/>
      <c r="J189" s="3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15.75" hidden="false" customHeight="false" outlineLevel="0" collapsed="false">
      <c r="A190" s="13"/>
      <c r="B190" s="13"/>
      <c r="C190" s="9"/>
      <c r="D190" s="9"/>
      <c r="E190" s="9"/>
      <c r="F190" s="9"/>
      <c r="G190" s="9"/>
      <c r="H190" s="9"/>
      <c r="I190" s="9"/>
      <c r="J190" s="3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15.75" hidden="false" customHeight="false" outlineLevel="0" collapsed="false">
      <c r="A191" s="13"/>
      <c r="B191" s="13"/>
      <c r="C191" s="9"/>
      <c r="D191" s="9"/>
      <c r="E191" s="9"/>
      <c r="F191" s="9"/>
      <c r="G191" s="9"/>
      <c r="H191" s="9"/>
      <c r="I191" s="9"/>
      <c r="J191" s="3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15.75" hidden="false" customHeight="false" outlineLevel="0" collapsed="false">
      <c r="A192" s="13"/>
      <c r="B192" s="13"/>
      <c r="C192" s="9"/>
      <c r="D192" s="9"/>
      <c r="E192" s="9"/>
      <c r="F192" s="9"/>
      <c r="G192" s="9"/>
      <c r="H192" s="9"/>
      <c r="I192" s="9"/>
      <c r="J192" s="3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15.75" hidden="false" customHeight="false" outlineLevel="0" collapsed="false">
      <c r="A193" s="13"/>
      <c r="B193" s="13"/>
      <c r="C193" s="9"/>
      <c r="D193" s="9"/>
      <c r="E193" s="9"/>
      <c r="F193" s="9"/>
      <c r="G193" s="9"/>
      <c r="H193" s="9"/>
      <c r="I193" s="9"/>
      <c r="J193" s="3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15.75" hidden="false" customHeight="false" outlineLevel="0" collapsed="false">
      <c r="A194" s="13"/>
      <c r="B194" s="13"/>
      <c r="C194" s="9"/>
      <c r="D194" s="9"/>
      <c r="E194" s="9"/>
      <c r="F194" s="9"/>
      <c r="G194" s="9"/>
      <c r="H194" s="9"/>
      <c r="I194" s="9"/>
      <c r="J194" s="3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15.75" hidden="false" customHeight="false" outlineLevel="0" collapsed="false">
      <c r="A195" s="13"/>
      <c r="B195" s="13"/>
      <c r="C195" s="9"/>
      <c r="D195" s="9"/>
      <c r="E195" s="9"/>
      <c r="F195" s="9"/>
      <c r="G195" s="9"/>
      <c r="H195" s="9"/>
      <c r="I195" s="9"/>
      <c r="J195" s="3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15.75" hidden="false" customHeight="false" outlineLevel="0" collapsed="false">
      <c r="A196" s="13"/>
      <c r="B196" s="13"/>
      <c r="C196" s="9"/>
      <c r="D196" s="9"/>
      <c r="E196" s="9"/>
      <c r="F196" s="9"/>
      <c r="G196" s="9"/>
      <c r="H196" s="9"/>
      <c r="I196" s="9"/>
      <c r="J196" s="3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15.75" hidden="false" customHeight="false" outlineLevel="0" collapsed="false">
      <c r="A197" s="13"/>
      <c r="B197" s="13"/>
      <c r="C197" s="9"/>
      <c r="D197" s="9"/>
      <c r="E197" s="9"/>
      <c r="F197" s="9"/>
      <c r="G197" s="9"/>
      <c r="H197" s="9"/>
      <c r="I197" s="9"/>
      <c r="J197" s="3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15.75" hidden="false" customHeight="false" outlineLevel="0" collapsed="false">
      <c r="A198" s="13"/>
      <c r="B198" s="13"/>
      <c r="C198" s="9"/>
      <c r="D198" s="9"/>
      <c r="E198" s="9"/>
      <c r="F198" s="9"/>
      <c r="G198" s="9"/>
      <c r="H198" s="9"/>
      <c r="I198" s="9"/>
      <c r="J198" s="3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15.75" hidden="false" customHeight="false" outlineLevel="0" collapsed="false">
      <c r="A199" s="13"/>
      <c r="B199" s="13"/>
      <c r="C199" s="9"/>
      <c r="D199" s="9"/>
      <c r="E199" s="9"/>
      <c r="F199" s="9"/>
      <c r="G199" s="9"/>
      <c r="H199" s="9"/>
      <c r="I199" s="9"/>
      <c r="J199" s="3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15.75" hidden="false" customHeight="false" outlineLevel="0" collapsed="false">
      <c r="A200" s="13"/>
      <c r="B200" s="13"/>
      <c r="C200" s="9"/>
      <c r="D200" s="9"/>
      <c r="E200" s="9"/>
      <c r="F200" s="9"/>
      <c r="G200" s="9"/>
      <c r="H200" s="9"/>
      <c r="I200" s="9"/>
      <c r="J200" s="3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15.75" hidden="false" customHeight="false" outlineLevel="0" collapsed="false">
      <c r="A201" s="13"/>
      <c r="B201" s="13"/>
      <c r="C201" s="9"/>
      <c r="D201" s="9"/>
      <c r="E201" s="9"/>
      <c r="F201" s="9"/>
      <c r="G201" s="9"/>
      <c r="H201" s="9"/>
      <c r="I201" s="9"/>
      <c r="J201" s="3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15.75" hidden="false" customHeight="false" outlineLevel="0" collapsed="false">
      <c r="A202" s="13"/>
      <c r="B202" s="13"/>
      <c r="C202" s="9"/>
      <c r="D202" s="9"/>
      <c r="E202" s="9"/>
      <c r="F202" s="9"/>
      <c r="G202" s="9"/>
      <c r="H202" s="9"/>
      <c r="I202" s="9"/>
      <c r="J202" s="3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15.75" hidden="false" customHeight="false" outlineLevel="0" collapsed="false">
      <c r="A203" s="13"/>
      <c r="B203" s="13"/>
      <c r="C203" s="9"/>
      <c r="D203" s="9"/>
      <c r="E203" s="9"/>
      <c r="F203" s="9"/>
      <c r="G203" s="9"/>
      <c r="H203" s="9"/>
      <c r="I203" s="9"/>
      <c r="J203" s="3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15.75" hidden="false" customHeight="false" outlineLevel="0" collapsed="false">
      <c r="A204" s="13"/>
      <c r="B204" s="13"/>
      <c r="C204" s="9"/>
      <c r="D204" s="9"/>
      <c r="E204" s="9"/>
      <c r="F204" s="9"/>
      <c r="G204" s="9"/>
      <c r="H204" s="9"/>
      <c r="I204" s="9"/>
      <c r="J204" s="3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15.75" hidden="false" customHeight="false" outlineLevel="0" collapsed="false">
      <c r="A205" s="13"/>
      <c r="B205" s="13"/>
      <c r="C205" s="9"/>
      <c r="D205" s="9"/>
      <c r="E205" s="9"/>
      <c r="F205" s="9"/>
      <c r="G205" s="9"/>
      <c r="H205" s="9"/>
      <c r="I205" s="9"/>
      <c r="J205" s="3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15.75" hidden="false" customHeight="false" outlineLevel="0" collapsed="false">
      <c r="A206" s="13"/>
      <c r="B206" s="13"/>
      <c r="C206" s="9"/>
      <c r="D206" s="9"/>
      <c r="E206" s="9"/>
      <c r="F206" s="9"/>
      <c r="G206" s="9"/>
      <c r="H206" s="9"/>
      <c r="I206" s="9"/>
      <c r="J206" s="3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15.75" hidden="false" customHeight="false" outlineLevel="0" collapsed="false">
      <c r="A207" s="13"/>
      <c r="B207" s="13"/>
      <c r="C207" s="9"/>
      <c r="D207" s="9"/>
      <c r="E207" s="9"/>
      <c r="F207" s="9"/>
      <c r="G207" s="9"/>
      <c r="H207" s="9"/>
      <c r="I207" s="9"/>
      <c r="J207" s="3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15.75" hidden="false" customHeight="false" outlineLevel="0" collapsed="false">
      <c r="A208" s="13"/>
      <c r="B208" s="13"/>
      <c r="C208" s="9"/>
      <c r="D208" s="9"/>
      <c r="E208" s="9"/>
      <c r="F208" s="9"/>
      <c r="G208" s="9"/>
      <c r="H208" s="9"/>
      <c r="I208" s="9"/>
      <c r="J208" s="3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15.75" hidden="false" customHeight="false" outlineLevel="0" collapsed="false">
      <c r="A209" s="13"/>
      <c r="B209" s="13"/>
      <c r="C209" s="9"/>
      <c r="D209" s="9"/>
      <c r="E209" s="9"/>
      <c r="F209" s="9"/>
      <c r="G209" s="9"/>
      <c r="H209" s="9"/>
      <c r="I209" s="9"/>
      <c r="J209" s="3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15.75" hidden="false" customHeight="false" outlineLevel="0" collapsed="false">
      <c r="A210" s="13"/>
      <c r="B210" s="13"/>
      <c r="C210" s="9"/>
      <c r="D210" s="9"/>
      <c r="E210" s="9"/>
      <c r="F210" s="9"/>
      <c r="G210" s="9"/>
      <c r="H210" s="9"/>
      <c r="I210" s="9"/>
      <c r="J210" s="3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15.75" hidden="false" customHeight="false" outlineLevel="0" collapsed="false">
      <c r="A211" s="13"/>
      <c r="B211" s="13"/>
      <c r="C211" s="9"/>
      <c r="D211" s="9"/>
      <c r="E211" s="9"/>
      <c r="F211" s="9"/>
      <c r="G211" s="9"/>
      <c r="H211" s="9"/>
      <c r="I211" s="9"/>
      <c r="J211" s="3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15.75" hidden="false" customHeight="false" outlineLevel="0" collapsed="false">
      <c r="A212" s="13"/>
      <c r="B212" s="13"/>
      <c r="C212" s="9"/>
      <c r="D212" s="9"/>
      <c r="E212" s="9"/>
      <c r="F212" s="9"/>
      <c r="G212" s="9"/>
      <c r="H212" s="9"/>
      <c r="I212" s="9"/>
      <c r="J212" s="3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15.75" hidden="false" customHeight="false" outlineLevel="0" collapsed="false">
      <c r="A213" s="13"/>
      <c r="B213" s="13"/>
      <c r="C213" s="9"/>
      <c r="D213" s="9"/>
      <c r="E213" s="9"/>
      <c r="F213" s="9"/>
      <c r="G213" s="9"/>
      <c r="H213" s="9"/>
      <c r="I213" s="9"/>
      <c r="J213" s="3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15.75" hidden="false" customHeight="false" outlineLevel="0" collapsed="false">
      <c r="A214" s="13"/>
      <c r="B214" s="13"/>
      <c r="C214" s="9"/>
      <c r="D214" s="9"/>
      <c r="E214" s="9"/>
      <c r="F214" s="9"/>
      <c r="G214" s="9"/>
      <c r="H214" s="9"/>
      <c r="I214" s="9"/>
      <c r="J214" s="3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15.75" hidden="false" customHeight="false" outlineLevel="0" collapsed="false">
      <c r="A215" s="13"/>
      <c r="B215" s="13"/>
      <c r="C215" s="9"/>
      <c r="D215" s="9"/>
      <c r="E215" s="9"/>
      <c r="F215" s="9"/>
      <c r="G215" s="9"/>
      <c r="H215" s="9"/>
      <c r="I215" s="9"/>
      <c r="J215" s="3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15.75" hidden="false" customHeight="false" outlineLevel="0" collapsed="false">
      <c r="A216" s="13"/>
      <c r="B216" s="13"/>
      <c r="C216" s="9"/>
      <c r="D216" s="9"/>
      <c r="E216" s="9"/>
      <c r="F216" s="9"/>
      <c r="G216" s="9"/>
      <c r="H216" s="9"/>
      <c r="I216" s="9"/>
      <c r="J216" s="3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15.75" hidden="false" customHeight="false" outlineLevel="0" collapsed="false">
      <c r="A217" s="13"/>
      <c r="B217" s="13"/>
      <c r="C217" s="9"/>
      <c r="D217" s="9"/>
      <c r="E217" s="9"/>
      <c r="F217" s="9"/>
      <c r="G217" s="9"/>
      <c r="H217" s="9"/>
      <c r="I217" s="9"/>
      <c r="J217" s="3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15.75" hidden="false" customHeight="false" outlineLevel="0" collapsed="false">
      <c r="A218" s="13"/>
      <c r="B218" s="13"/>
      <c r="C218" s="9"/>
      <c r="D218" s="9"/>
      <c r="E218" s="9"/>
      <c r="F218" s="9"/>
      <c r="G218" s="9"/>
      <c r="H218" s="9"/>
      <c r="I218" s="9"/>
      <c r="J218" s="3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15.75" hidden="false" customHeight="false" outlineLevel="0" collapsed="false">
      <c r="A219" s="13"/>
      <c r="B219" s="13"/>
      <c r="C219" s="9"/>
      <c r="D219" s="9"/>
      <c r="E219" s="9"/>
      <c r="F219" s="9"/>
      <c r="G219" s="9"/>
      <c r="H219" s="9"/>
      <c r="I219" s="9"/>
      <c r="J219" s="3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15.75" hidden="false" customHeight="false" outlineLevel="0" collapsed="false">
      <c r="A220" s="13"/>
      <c r="B220" s="13"/>
      <c r="C220" s="9"/>
      <c r="D220" s="9"/>
      <c r="E220" s="9"/>
      <c r="F220" s="9"/>
      <c r="G220" s="9"/>
      <c r="H220" s="9"/>
      <c r="I220" s="9"/>
      <c r="J220" s="3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15.75" hidden="false" customHeight="false" outlineLevel="0" collapsed="false">
      <c r="A221" s="13"/>
      <c r="B221" s="13"/>
      <c r="C221" s="9"/>
      <c r="D221" s="9"/>
      <c r="E221" s="9"/>
      <c r="F221" s="9"/>
      <c r="G221" s="9"/>
      <c r="H221" s="9"/>
      <c r="I221" s="9"/>
      <c r="J221" s="3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15.75" hidden="false" customHeight="false" outlineLevel="0" collapsed="false">
      <c r="A222" s="13"/>
      <c r="B222" s="13"/>
      <c r="C222" s="9"/>
      <c r="D222" s="9"/>
      <c r="E222" s="9"/>
      <c r="F222" s="9"/>
      <c r="G222" s="9"/>
      <c r="H222" s="9"/>
      <c r="I222" s="9"/>
      <c r="J222" s="3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15.75" hidden="false" customHeight="false" outlineLevel="0" collapsed="false">
      <c r="A223" s="13"/>
      <c r="B223" s="13"/>
      <c r="C223" s="9"/>
      <c r="D223" s="9"/>
      <c r="E223" s="9"/>
      <c r="F223" s="9"/>
      <c r="G223" s="9"/>
      <c r="H223" s="9"/>
      <c r="I223" s="9"/>
      <c r="J223" s="3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15.75" hidden="false" customHeight="false" outlineLevel="0" collapsed="false">
      <c r="A224" s="13"/>
      <c r="B224" s="13"/>
      <c r="C224" s="9"/>
      <c r="D224" s="9"/>
      <c r="E224" s="9"/>
      <c r="F224" s="9"/>
      <c r="G224" s="9"/>
      <c r="H224" s="9"/>
      <c r="I224" s="9"/>
      <c r="J224" s="3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15.75" hidden="false" customHeight="false" outlineLevel="0" collapsed="false">
      <c r="A225" s="13"/>
      <c r="B225" s="13"/>
      <c r="C225" s="9"/>
      <c r="D225" s="9"/>
      <c r="E225" s="9"/>
      <c r="F225" s="9"/>
      <c r="G225" s="9"/>
      <c r="H225" s="9"/>
      <c r="I225" s="9"/>
      <c r="J225" s="3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15.75" hidden="false" customHeight="false" outlineLevel="0" collapsed="false">
      <c r="A226" s="13"/>
      <c r="B226" s="13"/>
      <c r="C226" s="9"/>
      <c r="D226" s="9"/>
      <c r="E226" s="9"/>
      <c r="F226" s="9"/>
      <c r="G226" s="9"/>
      <c r="H226" s="9"/>
      <c r="I226" s="9"/>
      <c r="J226" s="3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15.75" hidden="false" customHeight="false" outlineLevel="0" collapsed="false">
      <c r="A227" s="13"/>
      <c r="B227" s="13"/>
      <c r="C227" s="9"/>
      <c r="D227" s="9"/>
      <c r="E227" s="9"/>
      <c r="F227" s="9"/>
      <c r="G227" s="9"/>
      <c r="H227" s="9"/>
      <c r="I227" s="9"/>
      <c r="J227" s="37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15.75" hidden="false" customHeight="false" outlineLevel="0" collapsed="false">
      <c r="A228" s="13"/>
      <c r="B228" s="13"/>
      <c r="C228" s="9"/>
      <c r="D228" s="9"/>
      <c r="E228" s="9"/>
      <c r="F228" s="9"/>
      <c r="G228" s="9"/>
      <c r="H228" s="9"/>
      <c r="I228" s="9"/>
      <c r="J228" s="37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15.75" hidden="false" customHeight="false" outlineLevel="0" collapsed="false">
      <c r="A229" s="13"/>
      <c r="B229" s="13"/>
      <c r="C229" s="9"/>
      <c r="D229" s="9"/>
      <c r="E229" s="9"/>
      <c r="F229" s="9"/>
      <c r="G229" s="9"/>
      <c r="H229" s="9"/>
      <c r="I229" s="9"/>
      <c r="J229" s="37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15.75" hidden="false" customHeight="false" outlineLevel="0" collapsed="false">
      <c r="A230" s="13"/>
      <c r="B230" s="13"/>
      <c r="C230" s="9"/>
      <c r="D230" s="9"/>
      <c r="E230" s="9"/>
      <c r="F230" s="9"/>
      <c r="G230" s="9"/>
      <c r="H230" s="9"/>
      <c r="I230" s="9"/>
      <c r="J230" s="37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15.75" hidden="false" customHeight="false" outlineLevel="0" collapsed="false">
      <c r="A231" s="13"/>
      <c r="B231" s="13"/>
      <c r="C231" s="9"/>
      <c r="D231" s="9"/>
      <c r="E231" s="9"/>
      <c r="F231" s="9"/>
      <c r="G231" s="9"/>
      <c r="H231" s="9"/>
      <c r="I231" s="9"/>
      <c r="J231" s="37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15.75" hidden="false" customHeight="false" outlineLevel="0" collapsed="false">
      <c r="A232" s="13"/>
      <c r="B232" s="13"/>
      <c r="C232" s="9"/>
      <c r="D232" s="9"/>
      <c r="E232" s="9"/>
      <c r="F232" s="9"/>
      <c r="G232" s="9"/>
      <c r="H232" s="9"/>
      <c r="I232" s="9"/>
      <c r="J232" s="37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15.75" hidden="false" customHeight="false" outlineLevel="0" collapsed="false">
      <c r="A233" s="13"/>
      <c r="B233" s="13"/>
      <c r="C233" s="9"/>
      <c r="D233" s="9"/>
      <c r="E233" s="9"/>
      <c r="F233" s="9"/>
      <c r="G233" s="9"/>
      <c r="H233" s="9"/>
      <c r="I233" s="9"/>
      <c r="J233" s="37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15.75" hidden="false" customHeight="false" outlineLevel="0" collapsed="false">
      <c r="A234" s="13"/>
      <c r="B234" s="13"/>
      <c r="C234" s="9"/>
      <c r="D234" s="9"/>
      <c r="E234" s="9"/>
      <c r="F234" s="9"/>
      <c r="G234" s="9"/>
      <c r="H234" s="9"/>
      <c r="I234" s="9"/>
      <c r="J234" s="37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15.75" hidden="false" customHeight="false" outlineLevel="0" collapsed="false">
      <c r="A235" s="13"/>
      <c r="B235" s="13"/>
      <c r="C235" s="9"/>
      <c r="D235" s="9"/>
      <c r="E235" s="9"/>
      <c r="F235" s="9"/>
      <c r="G235" s="9"/>
      <c r="H235" s="9"/>
      <c r="I235" s="9"/>
      <c r="J235" s="37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15.75" hidden="false" customHeight="false" outlineLevel="0" collapsed="false">
      <c r="A236" s="13"/>
      <c r="B236" s="13"/>
      <c r="C236" s="9"/>
      <c r="D236" s="9"/>
      <c r="E236" s="9"/>
      <c r="F236" s="9"/>
      <c r="G236" s="9"/>
      <c r="H236" s="9"/>
      <c r="I236" s="9"/>
      <c r="J236" s="37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15.75" hidden="false" customHeight="false" outlineLevel="0" collapsed="false">
      <c r="A237" s="13"/>
      <c r="B237" s="13"/>
      <c r="C237" s="9"/>
      <c r="D237" s="9"/>
      <c r="E237" s="9"/>
      <c r="F237" s="9"/>
      <c r="G237" s="9"/>
      <c r="H237" s="9"/>
      <c r="I237" s="9"/>
      <c r="J237" s="37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15.75" hidden="false" customHeight="false" outlineLevel="0" collapsed="false">
      <c r="A238" s="13"/>
      <c r="B238" s="13"/>
      <c r="C238" s="9"/>
      <c r="D238" s="9"/>
      <c r="E238" s="9"/>
      <c r="F238" s="9"/>
      <c r="G238" s="9"/>
      <c r="H238" s="9"/>
      <c r="I238" s="9"/>
      <c r="J238" s="37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15.75" hidden="false" customHeight="false" outlineLevel="0" collapsed="false">
      <c r="A239" s="13"/>
      <c r="B239" s="13"/>
      <c r="C239" s="9"/>
      <c r="D239" s="9"/>
      <c r="E239" s="9"/>
      <c r="F239" s="9"/>
      <c r="G239" s="9"/>
      <c r="H239" s="9"/>
      <c r="I239" s="9"/>
      <c r="J239" s="37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15.75" hidden="false" customHeight="false" outlineLevel="0" collapsed="false">
      <c r="A240" s="13"/>
      <c r="B240" s="13"/>
      <c r="C240" s="9"/>
      <c r="D240" s="9"/>
      <c r="E240" s="9"/>
      <c r="F240" s="9"/>
      <c r="G240" s="9"/>
      <c r="H240" s="9"/>
      <c r="I240" s="9"/>
      <c r="J240" s="37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15.75" hidden="false" customHeight="false" outlineLevel="0" collapsed="false">
      <c r="A241" s="13"/>
      <c r="B241" s="13"/>
      <c r="C241" s="9"/>
      <c r="D241" s="9"/>
      <c r="E241" s="9"/>
      <c r="F241" s="9"/>
      <c r="G241" s="9"/>
      <c r="H241" s="9"/>
      <c r="I241" s="9"/>
      <c r="J241" s="37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15.75" hidden="false" customHeight="false" outlineLevel="0" collapsed="false">
      <c r="A242" s="13"/>
      <c r="B242" s="13"/>
      <c r="C242" s="9"/>
      <c r="D242" s="9"/>
      <c r="E242" s="9"/>
      <c r="F242" s="9"/>
      <c r="G242" s="9"/>
      <c r="H242" s="9"/>
      <c r="I242" s="9"/>
      <c r="J242" s="37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15.75" hidden="false" customHeight="false" outlineLevel="0" collapsed="false">
      <c r="A243" s="13"/>
      <c r="B243" s="13"/>
      <c r="C243" s="9"/>
      <c r="D243" s="9"/>
      <c r="E243" s="9"/>
      <c r="F243" s="9"/>
      <c r="G243" s="9"/>
      <c r="H243" s="9"/>
      <c r="I243" s="9"/>
      <c r="J243" s="37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15.75" hidden="false" customHeight="false" outlineLevel="0" collapsed="false">
      <c r="A244" s="13"/>
      <c r="B244" s="13"/>
      <c r="C244" s="9"/>
      <c r="D244" s="9"/>
      <c r="E244" s="9"/>
      <c r="F244" s="9"/>
      <c r="G244" s="9"/>
      <c r="H244" s="9"/>
      <c r="I244" s="9"/>
      <c r="J244" s="37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15.75" hidden="false" customHeight="false" outlineLevel="0" collapsed="false">
      <c r="A245" s="13"/>
      <c r="B245" s="13"/>
      <c r="C245" s="9"/>
      <c r="D245" s="9"/>
      <c r="E245" s="9"/>
      <c r="F245" s="9"/>
      <c r="G245" s="9"/>
      <c r="H245" s="9"/>
      <c r="I245" s="9"/>
      <c r="J245" s="37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15.75" hidden="false" customHeight="false" outlineLevel="0" collapsed="false">
      <c r="A246" s="13"/>
      <c r="B246" s="13"/>
      <c r="C246" s="9"/>
      <c r="D246" s="9"/>
      <c r="E246" s="9"/>
      <c r="F246" s="9"/>
      <c r="G246" s="9"/>
      <c r="H246" s="9"/>
      <c r="I246" s="9"/>
      <c r="J246" s="37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15.75" hidden="false" customHeight="false" outlineLevel="0" collapsed="false">
      <c r="A247" s="13"/>
      <c r="B247" s="13"/>
      <c r="C247" s="9"/>
      <c r="D247" s="9"/>
      <c r="E247" s="9"/>
      <c r="F247" s="9"/>
      <c r="G247" s="9"/>
      <c r="H247" s="9"/>
      <c r="I247" s="9"/>
      <c r="J247" s="37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15.75" hidden="false" customHeight="false" outlineLevel="0" collapsed="false">
      <c r="A248" s="13"/>
      <c r="B248" s="13"/>
      <c r="C248" s="9"/>
      <c r="D248" s="9"/>
      <c r="E248" s="9"/>
      <c r="F248" s="9"/>
      <c r="G248" s="9"/>
      <c r="H248" s="9"/>
      <c r="I248" s="9"/>
      <c r="J248" s="37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15.75" hidden="false" customHeight="false" outlineLevel="0" collapsed="false">
      <c r="A249" s="13"/>
      <c r="B249" s="13"/>
      <c r="C249" s="9"/>
      <c r="D249" s="9"/>
      <c r="E249" s="9"/>
      <c r="F249" s="9"/>
      <c r="G249" s="9"/>
      <c r="H249" s="9"/>
      <c r="I249" s="9"/>
      <c r="J249" s="37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15.75" hidden="false" customHeight="false" outlineLevel="0" collapsed="false">
      <c r="A250" s="13"/>
      <c r="B250" s="13"/>
      <c r="C250" s="9"/>
      <c r="D250" s="9"/>
      <c r="E250" s="9"/>
      <c r="F250" s="9"/>
      <c r="G250" s="9"/>
      <c r="H250" s="9"/>
      <c r="I250" s="9"/>
      <c r="J250" s="37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15.75" hidden="false" customHeight="false" outlineLevel="0" collapsed="false">
      <c r="A251" s="13"/>
      <c r="B251" s="13"/>
      <c r="C251" s="9"/>
      <c r="D251" s="9"/>
      <c r="E251" s="9"/>
      <c r="F251" s="9"/>
      <c r="G251" s="9"/>
      <c r="H251" s="9"/>
      <c r="I251" s="9"/>
      <c r="J251" s="37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15.75" hidden="false" customHeight="false" outlineLevel="0" collapsed="false">
      <c r="A252" s="13"/>
      <c r="B252" s="13"/>
      <c r="C252" s="9"/>
      <c r="D252" s="9"/>
      <c r="E252" s="9"/>
      <c r="F252" s="9"/>
      <c r="G252" s="9"/>
      <c r="H252" s="9"/>
      <c r="I252" s="9"/>
      <c r="J252" s="37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15.75" hidden="false" customHeight="false" outlineLevel="0" collapsed="false">
      <c r="A253" s="13"/>
      <c r="B253" s="13"/>
      <c r="C253" s="9"/>
      <c r="D253" s="9"/>
      <c r="E253" s="9"/>
      <c r="F253" s="9"/>
      <c r="G253" s="9"/>
      <c r="H253" s="9"/>
      <c r="I253" s="9"/>
      <c r="J253" s="37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15.75" hidden="false" customHeight="false" outlineLevel="0" collapsed="false">
      <c r="A254" s="13"/>
      <c r="B254" s="13"/>
      <c r="C254" s="9"/>
      <c r="D254" s="9"/>
      <c r="E254" s="9"/>
      <c r="F254" s="9"/>
      <c r="G254" s="9"/>
      <c r="H254" s="9"/>
      <c r="I254" s="9"/>
      <c r="J254" s="37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15.75" hidden="false" customHeight="false" outlineLevel="0" collapsed="false">
      <c r="A255" s="13"/>
      <c r="B255" s="13"/>
      <c r="C255" s="9"/>
      <c r="D255" s="9"/>
      <c r="E255" s="9"/>
      <c r="F255" s="9"/>
      <c r="G255" s="9"/>
      <c r="H255" s="9"/>
      <c r="I255" s="9"/>
      <c r="J255" s="37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15.75" hidden="false" customHeight="false" outlineLevel="0" collapsed="false">
      <c r="A256" s="13"/>
      <c r="B256" s="13"/>
      <c r="C256" s="9"/>
      <c r="D256" s="9"/>
      <c r="E256" s="9"/>
      <c r="F256" s="9"/>
      <c r="G256" s="9"/>
      <c r="H256" s="9"/>
      <c r="I256" s="9"/>
      <c r="J256" s="37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15.75" hidden="false" customHeight="false" outlineLevel="0" collapsed="false">
      <c r="A257" s="13"/>
      <c r="B257" s="13"/>
      <c r="C257" s="9"/>
      <c r="D257" s="9"/>
      <c r="E257" s="9"/>
      <c r="F257" s="9"/>
      <c r="G257" s="9"/>
      <c r="H257" s="9"/>
      <c r="I257" s="9"/>
      <c r="J257" s="37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15.75" hidden="false" customHeight="false" outlineLevel="0" collapsed="false">
      <c r="A258" s="13"/>
      <c r="B258" s="13"/>
      <c r="C258" s="9"/>
      <c r="D258" s="9"/>
      <c r="E258" s="9"/>
      <c r="F258" s="9"/>
      <c r="G258" s="9"/>
      <c r="H258" s="9"/>
      <c r="I258" s="9"/>
      <c r="J258" s="37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15.75" hidden="false" customHeight="false" outlineLevel="0" collapsed="false">
      <c r="A259" s="13"/>
      <c r="B259" s="13"/>
      <c r="C259" s="9"/>
      <c r="D259" s="9"/>
      <c r="E259" s="9"/>
      <c r="F259" s="9"/>
      <c r="G259" s="9"/>
      <c r="H259" s="9"/>
      <c r="I259" s="9"/>
      <c r="J259" s="37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15.75" hidden="false" customHeight="false" outlineLevel="0" collapsed="false">
      <c r="A260" s="13"/>
      <c r="B260" s="13"/>
      <c r="C260" s="9"/>
      <c r="D260" s="9"/>
      <c r="E260" s="9"/>
      <c r="F260" s="9"/>
      <c r="G260" s="9"/>
      <c r="H260" s="9"/>
      <c r="I260" s="9"/>
      <c r="J260" s="37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15.75" hidden="false" customHeight="false" outlineLevel="0" collapsed="false">
      <c r="A261" s="13"/>
      <c r="B261" s="13"/>
      <c r="C261" s="9"/>
      <c r="D261" s="9"/>
      <c r="E261" s="9"/>
      <c r="F261" s="9"/>
      <c r="G261" s="9"/>
      <c r="H261" s="9"/>
      <c r="I261" s="9"/>
      <c r="J261" s="37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15.75" hidden="false" customHeight="false" outlineLevel="0" collapsed="false">
      <c r="A262" s="13"/>
      <c r="B262" s="13"/>
      <c r="C262" s="9"/>
      <c r="D262" s="9"/>
      <c r="E262" s="9"/>
      <c r="F262" s="9"/>
      <c r="G262" s="9"/>
      <c r="H262" s="9"/>
      <c r="I262" s="9"/>
      <c r="J262" s="37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15.75" hidden="false" customHeight="false" outlineLevel="0" collapsed="false">
      <c r="A263" s="13"/>
      <c r="B263" s="13"/>
      <c r="C263" s="9"/>
      <c r="D263" s="9"/>
      <c r="E263" s="9"/>
      <c r="F263" s="9"/>
      <c r="G263" s="9"/>
      <c r="H263" s="9"/>
      <c r="I263" s="9"/>
      <c r="J263" s="37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15.75" hidden="false" customHeight="false" outlineLevel="0" collapsed="false">
      <c r="A264" s="13"/>
      <c r="B264" s="13"/>
      <c r="C264" s="9"/>
      <c r="D264" s="9"/>
      <c r="E264" s="9"/>
      <c r="F264" s="9"/>
      <c r="G264" s="9"/>
      <c r="H264" s="9"/>
      <c r="I264" s="9"/>
      <c r="J264" s="37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15.75" hidden="false" customHeight="false" outlineLevel="0" collapsed="false">
      <c r="A265" s="13"/>
      <c r="B265" s="13"/>
      <c r="C265" s="9"/>
      <c r="D265" s="9"/>
      <c r="E265" s="9"/>
      <c r="F265" s="9"/>
      <c r="G265" s="9"/>
      <c r="H265" s="9"/>
      <c r="I265" s="9"/>
      <c r="J265" s="37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15.75" hidden="false" customHeight="false" outlineLevel="0" collapsed="false">
      <c r="A266" s="13"/>
      <c r="B266" s="13"/>
      <c r="C266" s="9"/>
      <c r="D266" s="9"/>
      <c r="E266" s="9"/>
      <c r="F266" s="9"/>
      <c r="G266" s="9"/>
      <c r="H266" s="9"/>
      <c r="I266" s="9"/>
      <c r="J266" s="37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15.75" hidden="false" customHeight="false" outlineLevel="0" collapsed="false">
      <c r="A267" s="13"/>
      <c r="B267" s="13"/>
      <c r="C267" s="9"/>
      <c r="D267" s="9"/>
      <c r="E267" s="9"/>
      <c r="F267" s="9"/>
      <c r="G267" s="9"/>
      <c r="H267" s="9"/>
      <c r="I267" s="9"/>
      <c r="J267" s="37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15.75" hidden="false" customHeight="false" outlineLevel="0" collapsed="false">
      <c r="A268" s="13"/>
      <c r="B268" s="13"/>
      <c r="C268" s="9"/>
      <c r="D268" s="9"/>
      <c r="E268" s="9"/>
      <c r="F268" s="9"/>
      <c r="G268" s="9"/>
      <c r="H268" s="9"/>
      <c r="I268" s="9"/>
      <c r="J268" s="37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15.75" hidden="false" customHeight="false" outlineLevel="0" collapsed="false">
      <c r="A269" s="13"/>
      <c r="B269" s="13"/>
      <c r="C269" s="9"/>
      <c r="D269" s="9"/>
      <c r="E269" s="9"/>
      <c r="F269" s="9"/>
      <c r="G269" s="9"/>
      <c r="H269" s="9"/>
      <c r="I269" s="9"/>
      <c r="J269" s="37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15.75" hidden="false" customHeight="false" outlineLevel="0" collapsed="false">
      <c r="A270" s="13"/>
      <c r="B270" s="13"/>
      <c r="C270" s="9"/>
      <c r="D270" s="9"/>
      <c r="E270" s="9"/>
      <c r="F270" s="9"/>
      <c r="G270" s="9"/>
      <c r="H270" s="9"/>
      <c r="I270" s="9"/>
      <c r="J270" s="37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15.75" hidden="false" customHeight="false" outlineLevel="0" collapsed="false">
      <c r="A271" s="13"/>
      <c r="B271" s="13"/>
      <c r="C271" s="9"/>
      <c r="D271" s="9"/>
      <c r="E271" s="9"/>
      <c r="F271" s="9"/>
      <c r="G271" s="9"/>
      <c r="H271" s="9"/>
      <c r="I271" s="9"/>
      <c r="J271" s="37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15.75" hidden="false" customHeight="false" outlineLevel="0" collapsed="false">
      <c r="A272" s="13"/>
      <c r="B272" s="13"/>
      <c r="C272" s="9"/>
      <c r="D272" s="9"/>
      <c r="E272" s="9"/>
      <c r="F272" s="9"/>
      <c r="G272" s="9"/>
      <c r="H272" s="9"/>
      <c r="I272" s="9"/>
      <c r="J272" s="37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15.75" hidden="false" customHeight="false" outlineLevel="0" collapsed="false">
      <c r="A273" s="13"/>
      <c r="B273" s="13"/>
      <c r="C273" s="9"/>
      <c r="D273" s="9"/>
      <c r="E273" s="9"/>
      <c r="F273" s="9"/>
      <c r="G273" s="9"/>
      <c r="H273" s="9"/>
      <c r="I273" s="9"/>
      <c r="J273" s="37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15.75" hidden="false" customHeight="false" outlineLevel="0" collapsed="false">
      <c r="A274" s="13"/>
      <c r="B274" s="13"/>
      <c r="C274" s="9"/>
      <c r="D274" s="9"/>
      <c r="E274" s="9"/>
      <c r="F274" s="9"/>
      <c r="G274" s="9"/>
      <c r="H274" s="9"/>
      <c r="I274" s="9"/>
      <c r="J274" s="37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15.75" hidden="false" customHeight="false" outlineLevel="0" collapsed="false">
      <c r="A275" s="13"/>
      <c r="B275" s="13"/>
      <c r="C275" s="9"/>
      <c r="D275" s="9"/>
      <c r="E275" s="9"/>
      <c r="F275" s="9"/>
      <c r="G275" s="9"/>
      <c r="H275" s="9"/>
      <c r="I275" s="9"/>
      <c r="J275" s="37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15.75" hidden="false" customHeight="false" outlineLevel="0" collapsed="false">
      <c r="A276" s="13"/>
      <c r="B276" s="13"/>
      <c r="C276" s="9"/>
      <c r="D276" s="9"/>
      <c r="E276" s="9"/>
      <c r="F276" s="9"/>
      <c r="G276" s="9"/>
      <c r="H276" s="9"/>
      <c r="I276" s="9"/>
      <c r="J276" s="37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15.75" hidden="false" customHeight="false" outlineLevel="0" collapsed="false">
      <c r="A277" s="13"/>
      <c r="B277" s="13"/>
      <c r="C277" s="9"/>
      <c r="D277" s="9"/>
      <c r="E277" s="9"/>
      <c r="F277" s="9"/>
      <c r="G277" s="9"/>
      <c r="H277" s="9"/>
      <c r="I277" s="9"/>
      <c r="J277" s="37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15.75" hidden="false" customHeight="false" outlineLevel="0" collapsed="false">
      <c r="A278" s="13"/>
      <c r="B278" s="13"/>
      <c r="C278" s="9"/>
      <c r="D278" s="9"/>
      <c r="E278" s="9"/>
      <c r="F278" s="9"/>
      <c r="G278" s="9"/>
      <c r="H278" s="9"/>
      <c r="I278" s="9"/>
      <c r="J278" s="37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15.75" hidden="false" customHeight="false" outlineLevel="0" collapsed="false">
      <c r="A279" s="13"/>
      <c r="B279" s="13"/>
      <c r="C279" s="9"/>
      <c r="D279" s="9"/>
      <c r="E279" s="9"/>
      <c r="F279" s="9"/>
      <c r="G279" s="9"/>
      <c r="H279" s="9"/>
      <c r="I279" s="9"/>
      <c r="J279" s="37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15.75" hidden="false" customHeight="false" outlineLevel="0" collapsed="false">
      <c r="A280" s="13"/>
      <c r="B280" s="13"/>
      <c r="C280" s="9"/>
      <c r="D280" s="9"/>
      <c r="E280" s="9"/>
      <c r="F280" s="9"/>
      <c r="G280" s="9"/>
      <c r="H280" s="9"/>
      <c r="I280" s="9"/>
      <c r="J280" s="37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15.75" hidden="false" customHeight="false" outlineLevel="0" collapsed="false">
      <c r="A281" s="13"/>
      <c r="B281" s="13"/>
      <c r="C281" s="9"/>
      <c r="D281" s="9"/>
      <c r="E281" s="9"/>
      <c r="F281" s="9"/>
      <c r="G281" s="9"/>
      <c r="H281" s="9"/>
      <c r="I281" s="9"/>
      <c r="J281" s="37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15.75" hidden="false" customHeight="false" outlineLevel="0" collapsed="false">
      <c r="A282" s="13"/>
      <c r="B282" s="13"/>
      <c r="C282" s="9"/>
      <c r="D282" s="9"/>
      <c r="E282" s="9"/>
      <c r="F282" s="9"/>
      <c r="G282" s="9"/>
      <c r="H282" s="9"/>
      <c r="I282" s="9"/>
      <c r="J282" s="37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15.75" hidden="false" customHeight="false" outlineLevel="0" collapsed="false">
      <c r="A283" s="13"/>
      <c r="B283" s="13"/>
      <c r="C283" s="9"/>
      <c r="D283" s="9"/>
      <c r="E283" s="9"/>
      <c r="F283" s="9"/>
      <c r="G283" s="9"/>
      <c r="H283" s="9"/>
      <c r="I283" s="9"/>
      <c r="J283" s="37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15.75" hidden="false" customHeight="false" outlineLevel="0" collapsed="false">
      <c r="A284" s="13"/>
      <c r="B284" s="13"/>
      <c r="C284" s="9"/>
      <c r="D284" s="9"/>
      <c r="E284" s="9"/>
      <c r="F284" s="9"/>
      <c r="G284" s="9"/>
      <c r="H284" s="9"/>
      <c r="I284" s="9"/>
      <c r="J284" s="37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15.75" hidden="false" customHeight="false" outlineLevel="0" collapsed="false">
      <c r="A285" s="13"/>
      <c r="B285" s="13"/>
      <c r="C285" s="9"/>
      <c r="D285" s="9"/>
      <c r="E285" s="9"/>
      <c r="F285" s="9"/>
      <c r="G285" s="9"/>
      <c r="H285" s="9"/>
      <c r="I285" s="9"/>
      <c r="J285" s="37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15.75" hidden="false" customHeight="false" outlineLevel="0" collapsed="false">
      <c r="A286" s="13"/>
      <c r="B286" s="13"/>
      <c r="C286" s="9"/>
      <c r="D286" s="9"/>
      <c r="E286" s="9"/>
      <c r="F286" s="9"/>
      <c r="G286" s="9"/>
      <c r="H286" s="9"/>
      <c r="I286" s="9"/>
      <c r="J286" s="37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15.75" hidden="false" customHeight="false" outlineLevel="0" collapsed="false">
      <c r="A287" s="13"/>
      <c r="B287" s="13"/>
      <c r="C287" s="9"/>
      <c r="D287" s="9"/>
      <c r="E287" s="9"/>
      <c r="F287" s="9"/>
      <c r="G287" s="9"/>
      <c r="H287" s="9"/>
      <c r="I287" s="9"/>
      <c r="J287" s="37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15.75" hidden="false" customHeight="false" outlineLevel="0" collapsed="false">
      <c r="A288" s="13"/>
      <c r="B288" s="13"/>
      <c r="C288" s="9"/>
      <c r="D288" s="9"/>
      <c r="E288" s="9"/>
      <c r="F288" s="9"/>
      <c r="G288" s="9"/>
      <c r="H288" s="9"/>
      <c r="I288" s="9"/>
      <c r="J288" s="37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15.75" hidden="false" customHeight="false" outlineLevel="0" collapsed="false">
      <c r="A289" s="13"/>
      <c r="B289" s="13"/>
      <c r="C289" s="9"/>
      <c r="D289" s="9"/>
      <c r="E289" s="9"/>
      <c r="F289" s="9"/>
      <c r="G289" s="9"/>
      <c r="H289" s="9"/>
      <c r="I289" s="9"/>
      <c r="J289" s="37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15.75" hidden="false" customHeight="false" outlineLevel="0" collapsed="false">
      <c r="A290" s="13"/>
      <c r="B290" s="13"/>
      <c r="C290" s="9"/>
      <c r="D290" s="9"/>
      <c r="E290" s="9"/>
      <c r="F290" s="9"/>
      <c r="G290" s="9"/>
      <c r="H290" s="9"/>
      <c r="I290" s="9"/>
      <c r="J290" s="37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15.75" hidden="false" customHeight="false" outlineLevel="0" collapsed="false">
      <c r="A291" s="13"/>
      <c r="B291" s="13"/>
      <c r="C291" s="9"/>
      <c r="D291" s="9"/>
      <c r="E291" s="9"/>
      <c r="F291" s="9"/>
      <c r="G291" s="9"/>
      <c r="H291" s="9"/>
      <c r="I291" s="9"/>
      <c r="J291" s="37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15.75" hidden="false" customHeight="false" outlineLevel="0" collapsed="false">
      <c r="A292" s="13"/>
      <c r="B292" s="13"/>
      <c r="C292" s="9"/>
      <c r="D292" s="9"/>
      <c r="E292" s="9"/>
      <c r="F292" s="9"/>
      <c r="G292" s="9"/>
      <c r="H292" s="9"/>
      <c r="I292" s="9"/>
      <c r="J292" s="37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15.75" hidden="false" customHeight="false" outlineLevel="0" collapsed="false">
      <c r="A293" s="13"/>
      <c r="B293" s="13"/>
      <c r="C293" s="9"/>
      <c r="D293" s="9"/>
      <c r="E293" s="9"/>
      <c r="F293" s="9"/>
      <c r="G293" s="9"/>
      <c r="H293" s="9"/>
      <c r="I293" s="9"/>
      <c r="J293" s="37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15.75" hidden="false" customHeight="false" outlineLevel="0" collapsed="false">
      <c r="A294" s="13"/>
      <c r="B294" s="13"/>
      <c r="C294" s="9"/>
      <c r="D294" s="9"/>
      <c r="E294" s="9"/>
      <c r="F294" s="9"/>
      <c r="G294" s="9"/>
      <c r="H294" s="9"/>
      <c r="I294" s="9"/>
      <c r="J294" s="37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15.75" hidden="false" customHeight="false" outlineLevel="0" collapsed="false">
      <c r="A295" s="13"/>
      <c r="B295" s="13"/>
      <c r="C295" s="9"/>
      <c r="D295" s="9"/>
      <c r="E295" s="9"/>
      <c r="F295" s="9"/>
      <c r="G295" s="9"/>
      <c r="H295" s="9"/>
      <c r="I295" s="9"/>
      <c r="J295" s="37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15.75" hidden="false" customHeight="false" outlineLevel="0" collapsed="false">
      <c r="A296" s="13"/>
      <c r="B296" s="13"/>
      <c r="C296" s="9"/>
      <c r="D296" s="9"/>
      <c r="E296" s="9"/>
      <c r="F296" s="9"/>
      <c r="G296" s="9"/>
      <c r="H296" s="9"/>
      <c r="I296" s="9"/>
      <c r="J296" s="37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15.75" hidden="false" customHeight="false" outlineLevel="0" collapsed="false">
      <c r="A297" s="13"/>
      <c r="B297" s="13"/>
      <c r="C297" s="9"/>
      <c r="D297" s="9"/>
      <c r="E297" s="9"/>
      <c r="F297" s="9"/>
      <c r="G297" s="9"/>
      <c r="H297" s="9"/>
      <c r="I297" s="9"/>
      <c r="J297" s="37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15.75" hidden="false" customHeight="false" outlineLevel="0" collapsed="false">
      <c r="A298" s="13"/>
      <c r="B298" s="13"/>
      <c r="C298" s="9"/>
      <c r="D298" s="9"/>
      <c r="E298" s="9"/>
      <c r="F298" s="9"/>
      <c r="G298" s="9"/>
      <c r="H298" s="9"/>
      <c r="I298" s="9"/>
      <c r="J298" s="37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15.75" hidden="false" customHeight="false" outlineLevel="0" collapsed="false">
      <c r="A299" s="13"/>
      <c r="B299" s="13"/>
      <c r="C299" s="9"/>
      <c r="D299" s="9"/>
      <c r="E299" s="9"/>
      <c r="F299" s="9"/>
      <c r="G299" s="9"/>
      <c r="H299" s="9"/>
      <c r="I299" s="9"/>
      <c r="J299" s="37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15.75" hidden="false" customHeight="false" outlineLevel="0" collapsed="false">
      <c r="A300" s="13"/>
      <c r="B300" s="13"/>
      <c r="C300" s="9"/>
      <c r="D300" s="9"/>
      <c r="E300" s="9"/>
      <c r="F300" s="9"/>
      <c r="G300" s="9"/>
      <c r="H300" s="9"/>
      <c r="I300" s="9"/>
      <c r="J300" s="37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15.75" hidden="false" customHeight="false" outlineLevel="0" collapsed="false">
      <c r="A301" s="13"/>
      <c r="B301" s="13"/>
      <c r="C301" s="9"/>
      <c r="D301" s="9"/>
      <c r="E301" s="9"/>
      <c r="F301" s="9"/>
      <c r="G301" s="9"/>
      <c r="H301" s="9"/>
      <c r="I301" s="9"/>
      <c r="J301" s="37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15.75" hidden="false" customHeight="false" outlineLevel="0" collapsed="false">
      <c r="A302" s="13"/>
      <c r="B302" s="13"/>
      <c r="C302" s="9"/>
      <c r="D302" s="9"/>
      <c r="E302" s="9"/>
      <c r="F302" s="9"/>
      <c r="G302" s="9"/>
      <c r="H302" s="9"/>
      <c r="I302" s="9"/>
      <c r="J302" s="37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15.75" hidden="false" customHeight="false" outlineLevel="0" collapsed="false">
      <c r="A303" s="13"/>
      <c r="B303" s="13"/>
      <c r="C303" s="9"/>
      <c r="D303" s="9"/>
      <c r="E303" s="9"/>
      <c r="F303" s="9"/>
      <c r="G303" s="9"/>
      <c r="H303" s="9"/>
      <c r="I303" s="9"/>
      <c r="J303" s="37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15.75" hidden="false" customHeight="false" outlineLevel="0" collapsed="false">
      <c r="A304" s="13"/>
      <c r="B304" s="13"/>
      <c r="C304" s="9"/>
      <c r="D304" s="9"/>
      <c r="E304" s="9"/>
      <c r="F304" s="9"/>
      <c r="G304" s="9"/>
      <c r="H304" s="9"/>
      <c r="I304" s="9"/>
      <c r="J304" s="37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15.75" hidden="false" customHeight="false" outlineLevel="0" collapsed="false">
      <c r="A305" s="13"/>
      <c r="B305" s="13"/>
      <c r="C305" s="9"/>
      <c r="D305" s="9"/>
      <c r="E305" s="9"/>
      <c r="F305" s="9"/>
      <c r="G305" s="9"/>
      <c r="H305" s="9"/>
      <c r="I305" s="9"/>
      <c r="J305" s="37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15.75" hidden="false" customHeight="false" outlineLevel="0" collapsed="false">
      <c r="A306" s="13"/>
      <c r="B306" s="13"/>
      <c r="C306" s="9"/>
      <c r="D306" s="9"/>
      <c r="E306" s="9"/>
      <c r="F306" s="9"/>
      <c r="G306" s="9"/>
      <c r="H306" s="9"/>
      <c r="I306" s="9"/>
      <c r="J306" s="37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15.75" hidden="false" customHeight="false" outlineLevel="0" collapsed="false">
      <c r="A307" s="13"/>
      <c r="B307" s="13"/>
      <c r="C307" s="9"/>
      <c r="D307" s="9"/>
      <c r="E307" s="9"/>
      <c r="F307" s="9"/>
      <c r="G307" s="9"/>
      <c r="H307" s="9"/>
      <c r="I307" s="9"/>
      <c r="J307" s="37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15.75" hidden="false" customHeight="false" outlineLevel="0" collapsed="false">
      <c r="A308" s="13"/>
      <c r="B308" s="13"/>
      <c r="C308" s="9"/>
      <c r="D308" s="9"/>
      <c r="E308" s="9"/>
      <c r="F308" s="9"/>
      <c r="G308" s="9"/>
      <c r="H308" s="9"/>
      <c r="I308" s="9"/>
      <c r="J308" s="37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15.75" hidden="false" customHeight="false" outlineLevel="0" collapsed="false">
      <c r="A309" s="13"/>
      <c r="B309" s="13"/>
      <c r="C309" s="9"/>
      <c r="D309" s="9"/>
      <c r="E309" s="9"/>
      <c r="F309" s="9"/>
      <c r="G309" s="9"/>
      <c r="H309" s="9"/>
      <c r="I309" s="9"/>
      <c r="J309" s="37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15.75" hidden="false" customHeight="false" outlineLevel="0" collapsed="false">
      <c r="A310" s="13"/>
      <c r="B310" s="13"/>
      <c r="C310" s="9"/>
      <c r="D310" s="9"/>
      <c r="E310" s="9"/>
      <c r="F310" s="9"/>
      <c r="G310" s="9"/>
      <c r="H310" s="9"/>
      <c r="I310" s="9"/>
      <c r="J310" s="37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15.75" hidden="false" customHeight="false" outlineLevel="0" collapsed="false">
      <c r="A311" s="13"/>
      <c r="B311" s="13"/>
      <c r="C311" s="9"/>
      <c r="D311" s="9"/>
      <c r="E311" s="9"/>
      <c r="F311" s="9"/>
      <c r="G311" s="9"/>
      <c r="H311" s="9"/>
      <c r="I311" s="9"/>
      <c r="J311" s="37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15.75" hidden="false" customHeight="false" outlineLevel="0" collapsed="false">
      <c r="A312" s="13"/>
      <c r="B312" s="13"/>
      <c r="C312" s="9"/>
      <c r="D312" s="9"/>
      <c r="E312" s="9"/>
      <c r="F312" s="9"/>
      <c r="G312" s="9"/>
      <c r="H312" s="9"/>
      <c r="I312" s="9"/>
      <c r="J312" s="37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15.75" hidden="false" customHeight="false" outlineLevel="0" collapsed="false">
      <c r="A313" s="13"/>
      <c r="B313" s="13"/>
      <c r="C313" s="9"/>
      <c r="D313" s="9"/>
      <c r="E313" s="9"/>
      <c r="F313" s="9"/>
      <c r="G313" s="9"/>
      <c r="H313" s="9"/>
      <c r="I313" s="9"/>
      <c r="J313" s="37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15.75" hidden="false" customHeight="false" outlineLevel="0" collapsed="false">
      <c r="A314" s="13"/>
      <c r="B314" s="13"/>
      <c r="C314" s="9"/>
      <c r="D314" s="9"/>
      <c r="E314" s="9"/>
      <c r="F314" s="9"/>
      <c r="G314" s="9"/>
      <c r="H314" s="9"/>
      <c r="I314" s="9"/>
      <c r="J314" s="37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15.75" hidden="false" customHeight="false" outlineLevel="0" collapsed="false">
      <c r="A315" s="13"/>
      <c r="B315" s="13"/>
      <c r="C315" s="9"/>
      <c r="D315" s="9"/>
      <c r="E315" s="9"/>
      <c r="F315" s="9"/>
      <c r="G315" s="9"/>
      <c r="H315" s="9"/>
      <c r="I315" s="9"/>
      <c r="J315" s="37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15.75" hidden="false" customHeight="false" outlineLevel="0" collapsed="false">
      <c r="A316" s="13"/>
      <c r="B316" s="13"/>
      <c r="C316" s="9"/>
      <c r="D316" s="9"/>
      <c r="E316" s="9"/>
      <c r="F316" s="9"/>
      <c r="G316" s="9"/>
      <c r="H316" s="9"/>
      <c r="I316" s="9"/>
      <c r="J316" s="37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15.75" hidden="false" customHeight="false" outlineLevel="0" collapsed="false">
      <c r="A317" s="13"/>
      <c r="B317" s="13"/>
      <c r="C317" s="9"/>
      <c r="D317" s="9"/>
      <c r="E317" s="9"/>
      <c r="F317" s="9"/>
      <c r="G317" s="9"/>
      <c r="H317" s="9"/>
      <c r="I317" s="9"/>
      <c r="J317" s="37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15.75" hidden="false" customHeight="false" outlineLevel="0" collapsed="false">
      <c r="A318" s="13"/>
      <c r="B318" s="13"/>
      <c r="C318" s="9"/>
      <c r="D318" s="9"/>
      <c r="E318" s="9"/>
      <c r="F318" s="9"/>
      <c r="G318" s="9"/>
      <c r="H318" s="9"/>
      <c r="I318" s="9"/>
      <c r="J318" s="37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15.75" hidden="false" customHeight="false" outlineLevel="0" collapsed="false">
      <c r="A319" s="13"/>
      <c r="B319" s="13"/>
      <c r="C319" s="9"/>
      <c r="D319" s="9"/>
      <c r="E319" s="9"/>
      <c r="F319" s="9"/>
      <c r="G319" s="9"/>
      <c r="H319" s="9"/>
      <c r="I319" s="9"/>
      <c r="J319" s="37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15.75" hidden="false" customHeight="false" outlineLevel="0" collapsed="false">
      <c r="A320" s="13"/>
      <c r="B320" s="13"/>
      <c r="C320" s="9"/>
      <c r="D320" s="9"/>
      <c r="E320" s="9"/>
      <c r="F320" s="9"/>
      <c r="G320" s="9"/>
      <c r="H320" s="9"/>
      <c r="I320" s="9"/>
      <c r="J320" s="37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15.75" hidden="false" customHeight="false" outlineLevel="0" collapsed="false">
      <c r="A321" s="13"/>
      <c r="B321" s="13"/>
      <c r="C321" s="9"/>
      <c r="D321" s="9"/>
      <c r="E321" s="9"/>
      <c r="F321" s="9"/>
      <c r="G321" s="9"/>
      <c r="H321" s="9"/>
      <c r="I321" s="9"/>
      <c r="J321" s="37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15.75" hidden="false" customHeight="false" outlineLevel="0" collapsed="false">
      <c r="A322" s="13"/>
      <c r="B322" s="13"/>
      <c r="C322" s="9"/>
      <c r="D322" s="9"/>
      <c r="E322" s="9"/>
      <c r="F322" s="9"/>
      <c r="G322" s="9"/>
      <c r="H322" s="9"/>
      <c r="I322" s="9"/>
      <c r="J322" s="37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15.75" hidden="false" customHeight="false" outlineLevel="0" collapsed="false">
      <c r="A323" s="13"/>
      <c r="B323" s="13"/>
      <c r="C323" s="9"/>
      <c r="D323" s="9"/>
      <c r="E323" s="9"/>
      <c r="F323" s="9"/>
      <c r="G323" s="9"/>
      <c r="H323" s="9"/>
      <c r="I323" s="9"/>
      <c r="J323" s="37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15.75" hidden="false" customHeight="false" outlineLevel="0" collapsed="false">
      <c r="A324" s="13"/>
      <c r="B324" s="13"/>
      <c r="C324" s="9"/>
      <c r="D324" s="9"/>
      <c r="E324" s="9"/>
      <c r="F324" s="9"/>
      <c r="G324" s="9"/>
      <c r="H324" s="9"/>
      <c r="I324" s="9"/>
      <c r="J324" s="37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15.75" hidden="false" customHeight="false" outlineLevel="0" collapsed="false">
      <c r="A325" s="13"/>
      <c r="B325" s="13"/>
      <c r="C325" s="9"/>
      <c r="D325" s="9"/>
      <c r="E325" s="9"/>
      <c r="F325" s="9"/>
      <c r="G325" s="9"/>
      <c r="H325" s="9"/>
      <c r="I325" s="9"/>
      <c r="J325" s="37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15.75" hidden="false" customHeight="false" outlineLevel="0" collapsed="false">
      <c r="A326" s="13"/>
      <c r="B326" s="13"/>
      <c r="C326" s="9"/>
      <c r="D326" s="9"/>
      <c r="E326" s="9"/>
      <c r="F326" s="9"/>
      <c r="G326" s="9"/>
      <c r="H326" s="9"/>
      <c r="I326" s="9"/>
      <c r="J326" s="37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15.75" hidden="false" customHeight="false" outlineLevel="0" collapsed="false">
      <c r="A327" s="13"/>
      <c r="B327" s="13"/>
      <c r="C327" s="9"/>
      <c r="D327" s="9"/>
      <c r="E327" s="9"/>
      <c r="F327" s="9"/>
      <c r="G327" s="9"/>
      <c r="H327" s="9"/>
      <c r="I327" s="9"/>
      <c r="J327" s="37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15.75" hidden="false" customHeight="false" outlineLevel="0" collapsed="false">
      <c r="A328" s="13"/>
      <c r="B328" s="13"/>
      <c r="C328" s="9"/>
      <c r="D328" s="9"/>
      <c r="E328" s="9"/>
      <c r="F328" s="9"/>
      <c r="G328" s="9"/>
      <c r="H328" s="9"/>
      <c r="I328" s="9"/>
      <c r="J328" s="37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15.75" hidden="false" customHeight="false" outlineLevel="0" collapsed="false">
      <c r="A329" s="13"/>
      <c r="B329" s="13"/>
      <c r="C329" s="9"/>
      <c r="D329" s="9"/>
      <c r="E329" s="9"/>
      <c r="F329" s="9"/>
      <c r="G329" s="9"/>
      <c r="H329" s="9"/>
      <c r="I329" s="9"/>
      <c r="J329" s="37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15.75" hidden="false" customHeight="false" outlineLevel="0" collapsed="false">
      <c r="A330" s="13"/>
      <c r="B330" s="13"/>
      <c r="C330" s="9"/>
      <c r="D330" s="9"/>
      <c r="E330" s="9"/>
      <c r="F330" s="9"/>
      <c r="G330" s="9"/>
      <c r="H330" s="9"/>
      <c r="I330" s="9"/>
      <c r="J330" s="37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15.75" hidden="false" customHeight="false" outlineLevel="0" collapsed="false">
      <c r="A331" s="13"/>
      <c r="B331" s="13"/>
      <c r="C331" s="9"/>
      <c r="D331" s="9"/>
      <c r="E331" s="9"/>
      <c r="F331" s="9"/>
      <c r="G331" s="9"/>
      <c r="H331" s="9"/>
      <c r="I331" s="9"/>
      <c r="J331" s="37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15.75" hidden="false" customHeight="false" outlineLevel="0" collapsed="false">
      <c r="A332" s="13"/>
      <c r="B332" s="13"/>
      <c r="C332" s="9"/>
      <c r="D332" s="9"/>
      <c r="E332" s="9"/>
      <c r="F332" s="9"/>
      <c r="G332" s="9"/>
      <c r="H332" s="9"/>
      <c r="I332" s="9"/>
      <c r="J332" s="37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15.75" hidden="false" customHeight="false" outlineLevel="0" collapsed="false">
      <c r="A333" s="13"/>
      <c r="B333" s="13"/>
      <c r="C333" s="9"/>
      <c r="D333" s="9"/>
      <c r="E333" s="9"/>
      <c r="F333" s="9"/>
      <c r="G333" s="9"/>
      <c r="H333" s="9"/>
      <c r="I333" s="9"/>
      <c r="J333" s="37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15.75" hidden="false" customHeight="false" outlineLevel="0" collapsed="false">
      <c r="A334" s="13"/>
      <c r="B334" s="13"/>
      <c r="C334" s="9"/>
      <c r="D334" s="9"/>
      <c r="E334" s="9"/>
      <c r="F334" s="9"/>
      <c r="G334" s="9"/>
      <c r="H334" s="9"/>
      <c r="I334" s="9"/>
      <c r="J334" s="37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15.75" hidden="false" customHeight="false" outlineLevel="0" collapsed="false">
      <c r="A335" s="13"/>
      <c r="B335" s="13"/>
      <c r="C335" s="9"/>
      <c r="D335" s="9"/>
      <c r="E335" s="9"/>
      <c r="F335" s="9"/>
      <c r="G335" s="9"/>
      <c r="H335" s="9"/>
      <c r="I335" s="9"/>
      <c r="J335" s="37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15.75" hidden="false" customHeight="false" outlineLevel="0" collapsed="false">
      <c r="A336" s="13"/>
      <c r="B336" s="13"/>
      <c r="C336" s="9"/>
      <c r="D336" s="9"/>
      <c r="E336" s="9"/>
      <c r="F336" s="9"/>
      <c r="G336" s="9"/>
      <c r="H336" s="9"/>
      <c r="I336" s="9"/>
      <c r="J336" s="37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15.75" hidden="false" customHeight="false" outlineLevel="0" collapsed="false">
      <c r="A337" s="13"/>
      <c r="B337" s="13"/>
      <c r="C337" s="9"/>
      <c r="D337" s="9"/>
      <c r="E337" s="9"/>
      <c r="F337" s="9"/>
      <c r="G337" s="9"/>
      <c r="H337" s="9"/>
      <c r="I337" s="9"/>
      <c r="J337" s="37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15.75" hidden="false" customHeight="false" outlineLevel="0" collapsed="false">
      <c r="A338" s="13"/>
      <c r="B338" s="13"/>
      <c r="C338" s="9"/>
      <c r="D338" s="9"/>
      <c r="E338" s="9"/>
      <c r="F338" s="9"/>
      <c r="G338" s="9"/>
      <c r="H338" s="9"/>
      <c r="I338" s="9"/>
      <c r="J338" s="37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15.75" hidden="false" customHeight="false" outlineLevel="0" collapsed="false">
      <c r="A339" s="13"/>
      <c r="B339" s="13"/>
      <c r="C339" s="9"/>
      <c r="D339" s="9"/>
      <c r="E339" s="9"/>
      <c r="F339" s="9"/>
      <c r="G339" s="9"/>
      <c r="H339" s="9"/>
      <c r="I339" s="9"/>
      <c r="J339" s="37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15.75" hidden="false" customHeight="false" outlineLevel="0" collapsed="false">
      <c r="A340" s="13"/>
      <c r="B340" s="13"/>
      <c r="C340" s="9"/>
      <c r="D340" s="9"/>
      <c r="E340" s="9"/>
      <c r="F340" s="9"/>
      <c r="G340" s="9"/>
      <c r="H340" s="9"/>
      <c r="I340" s="9"/>
      <c r="J340" s="37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15.75" hidden="false" customHeight="false" outlineLevel="0" collapsed="false">
      <c r="A341" s="13"/>
      <c r="B341" s="13"/>
      <c r="C341" s="9"/>
      <c r="D341" s="9"/>
      <c r="E341" s="9"/>
      <c r="F341" s="9"/>
      <c r="G341" s="9"/>
      <c r="H341" s="9"/>
      <c r="I341" s="9"/>
      <c r="J341" s="37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15.75" hidden="false" customHeight="false" outlineLevel="0" collapsed="false">
      <c r="A342" s="13"/>
      <c r="B342" s="13"/>
      <c r="C342" s="9"/>
      <c r="D342" s="9"/>
      <c r="E342" s="9"/>
      <c r="F342" s="9"/>
      <c r="G342" s="9"/>
      <c r="H342" s="9"/>
      <c r="I342" s="9"/>
      <c r="J342" s="37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15.75" hidden="false" customHeight="false" outlineLevel="0" collapsed="false">
      <c r="A343" s="13"/>
      <c r="B343" s="13"/>
      <c r="C343" s="9"/>
      <c r="D343" s="9"/>
      <c r="E343" s="9"/>
      <c r="F343" s="9"/>
      <c r="G343" s="9"/>
      <c r="H343" s="9"/>
      <c r="I343" s="9"/>
      <c r="J343" s="37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15.75" hidden="false" customHeight="false" outlineLevel="0" collapsed="false">
      <c r="A344" s="13"/>
      <c r="B344" s="13"/>
      <c r="C344" s="9"/>
      <c r="D344" s="9"/>
      <c r="E344" s="9"/>
      <c r="F344" s="9"/>
      <c r="G344" s="9"/>
      <c r="H344" s="9"/>
      <c r="I344" s="9"/>
      <c r="J344" s="37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15.75" hidden="false" customHeight="false" outlineLevel="0" collapsed="false">
      <c r="A345" s="13"/>
      <c r="B345" s="13"/>
      <c r="C345" s="9"/>
      <c r="D345" s="9"/>
      <c r="E345" s="9"/>
      <c r="F345" s="9"/>
      <c r="G345" s="9"/>
      <c r="H345" s="9"/>
      <c r="I345" s="9"/>
      <c r="J345" s="37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15.75" hidden="false" customHeight="false" outlineLevel="0" collapsed="false">
      <c r="A346" s="13"/>
      <c r="B346" s="13"/>
      <c r="C346" s="9"/>
      <c r="D346" s="9"/>
      <c r="E346" s="9"/>
      <c r="F346" s="9"/>
      <c r="G346" s="9"/>
      <c r="H346" s="9"/>
      <c r="I346" s="9"/>
      <c r="J346" s="37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15.75" hidden="false" customHeight="false" outlineLevel="0" collapsed="false">
      <c r="A347" s="13"/>
      <c r="B347" s="13"/>
      <c r="C347" s="9"/>
      <c r="D347" s="9"/>
      <c r="E347" s="9"/>
      <c r="F347" s="9"/>
      <c r="G347" s="9"/>
      <c r="H347" s="9"/>
      <c r="I347" s="9"/>
      <c r="J347" s="37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15.75" hidden="false" customHeight="false" outlineLevel="0" collapsed="false">
      <c r="A348" s="13"/>
      <c r="B348" s="13"/>
      <c r="C348" s="9"/>
      <c r="D348" s="9"/>
      <c r="E348" s="9"/>
      <c r="F348" s="9"/>
      <c r="G348" s="9"/>
      <c r="H348" s="9"/>
      <c r="I348" s="9"/>
      <c r="J348" s="37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15.75" hidden="false" customHeight="false" outlineLevel="0" collapsed="false">
      <c r="A349" s="13"/>
      <c r="B349" s="13"/>
      <c r="C349" s="9"/>
      <c r="D349" s="9"/>
      <c r="E349" s="9"/>
      <c r="F349" s="9"/>
      <c r="G349" s="9"/>
      <c r="H349" s="9"/>
      <c r="I349" s="9"/>
      <c r="J349" s="37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15.75" hidden="false" customHeight="false" outlineLevel="0" collapsed="false">
      <c r="A350" s="13"/>
      <c r="B350" s="13"/>
      <c r="C350" s="9"/>
      <c r="D350" s="9"/>
      <c r="E350" s="9"/>
      <c r="F350" s="9"/>
      <c r="G350" s="9"/>
      <c r="H350" s="9"/>
      <c r="I350" s="9"/>
      <c r="J350" s="37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15.75" hidden="false" customHeight="false" outlineLevel="0" collapsed="false">
      <c r="A351" s="13"/>
      <c r="B351" s="13"/>
      <c r="C351" s="9"/>
      <c r="D351" s="9"/>
      <c r="E351" s="9"/>
      <c r="F351" s="9"/>
      <c r="G351" s="9"/>
      <c r="H351" s="9"/>
      <c r="I351" s="9"/>
      <c r="J351" s="37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15.75" hidden="false" customHeight="false" outlineLevel="0" collapsed="false">
      <c r="A352" s="13"/>
      <c r="B352" s="13"/>
      <c r="C352" s="9"/>
      <c r="D352" s="9"/>
      <c r="E352" s="9"/>
      <c r="F352" s="9"/>
      <c r="G352" s="9"/>
      <c r="H352" s="9"/>
      <c r="I352" s="9"/>
      <c r="J352" s="37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15.75" hidden="false" customHeight="false" outlineLevel="0" collapsed="false">
      <c r="A353" s="13"/>
      <c r="B353" s="13"/>
      <c r="C353" s="9"/>
      <c r="D353" s="9"/>
      <c r="E353" s="9"/>
      <c r="F353" s="9"/>
      <c r="G353" s="9"/>
      <c r="H353" s="9"/>
      <c r="I353" s="9"/>
      <c r="J353" s="37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15.75" hidden="false" customHeight="false" outlineLevel="0" collapsed="false">
      <c r="A354" s="13"/>
      <c r="B354" s="13"/>
      <c r="C354" s="9"/>
      <c r="D354" s="9"/>
      <c r="E354" s="9"/>
      <c r="F354" s="9"/>
      <c r="G354" s="9"/>
      <c r="H354" s="9"/>
      <c r="I354" s="9"/>
      <c r="J354" s="37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15.75" hidden="false" customHeight="false" outlineLevel="0" collapsed="false">
      <c r="A355" s="13"/>
      <c r="B355" s="13"/>
      <c r="C355" s="9"/>
      <c r="D355" s="9"/>
      <c r="E355" s="9"/>
      <c r="F355" s="9"/>
      <c r="G355" s="9"/>
      <c r="H355" s="9"/>
      <c r="I355" s="9"/>
      <c r="J355" s="37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15.75" hidden="false" customHeight="false" outlineLevel="0" collapsed="false">
      <c r="A356" s="13"/>
      <c r="B356" s="13"/>
      <c r="C356" s="9"/>
      <c r="D356" s="9"/>
      <c r="E356" s="9"/>
      <c r="F356" s="9"/>
      <c r="G356" s="9"/>
      <c r="H356" s="9"/>
      <c r="I356" s="9"/>
      <c r="J356" s="37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15.75" hidden="false" customHeight="false" outlineLevel="0" collapsed="false">
      <c r="A357" s="13"/>
      <c r="B357" s="13"/>
      <c r="C357" s="9"/>
      <c r="D357" s="9"/>
      <c r="E357" s="9"/>
      <c r="F357" s="9"/>
      <c r="G357" s="9"/>
      <c r="H357" s="9"/>
      <c r="I357" s="9"/>
      <c r="J357" s="37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15.75" hidden="false" customHeight="false" outlineLevel="0" collapsed="false">
      <c r="A358" s="13"/>
      <c r="B358" s="13"/>
      <c r="C358" s="9"/>
      <c r="D358" s="9"/>
      <c r="E358" s="9"/>
      <c r="F358" s="9"/>
      <c r="G358" s="9"/>
      <c r="H358" s="9"/>
      <c r="I358" s="9"/>
      <c r="J358" s="37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15.75" hidden="false" customHeight="false" outlineLevel="0" collapsed="false">
      <c r="A359" s="13"/>
      <c r="B359" s="13"/>
      <c r="C359" s="9"/>
      <c r="D359" s="9"/>
      <c r="E359" s="9"/>
      <c r="F359" s="9"/>
      <c r="G359" s="9"/>
      <c r="H359" s="9"/>
      <c r="I359" s="9"/>
      <c r="J359" s="37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15.75" hidden="false" customHeight="false" outlineLevel="0" collapsed="false">
      <c r="A360" s="13"/>
      <c r="B360" s="13"/>
      <c r="C360" s="9"/>
      <c r="D360" s="9"/>
      <c r="E360" s="9"/>
      <c r="F360" s="9"/>
      <c r="G360" s="9"/>
      <c r="H360" s="9"/>
      <c r="I360" s="9"/>
      <c r="J360" s="37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15.75" hidden="false" customHeight="false" outlineLevel="0" collapsed="false">
      <c r="A361" s="13"/>
      <c r="B361" s="13"/>
      <c r="C361" s="9"/>
      <c r="D361" s="9"/>
      <c r="E361" s="9"/>
      <c r="F361" s="9"/>
      <c r="G361" s="9"/>
      <c r="H361" s="9"/>
      <c r="I361" s="9"/>
      <c r="J361" s="37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15.75" hidden="false" customHeight="false" outlineLevel="0" collapsed="false">
      <c r="A362" s="13"/>
      <c r="B362" s="13"/>
      <c r="C362" s="9"/>
      <c r="D362" s="9"/>
      <c r="E362" s="9"/>
      <c r="F362" s="9"/>
      <c r="G362" s="9"/>
      <c r="H362" s="9"/>
      <c r="I362" s="9"/>
      <c r="J362" s="37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15.75" hidden="false" customHeight="false" outlineLevel="0" collapsed="false">
      <c r="A363" s="13"/>
      <c r="B363" s="13"/>
      <c r="C363" s="9"/>
      <c r="D363" s="9"/>
      <c r="E363" s="9"/>
      <c r="F363" s="9"/>
      <c r="G363" s="9"/>
      <c r="H363" s="9"/>
      <c r="I363" s="9"/>
      <c r="J363" s="37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15.75" hidden="false" customHeight="false" outlineLevel="0" collapsed="false">
      <c r="A364" s="13"/>
      <c r="B364" s="13"/>
      <c r="C364" s="9"/>
      <c r="D364" s="9"/>
      <c r="E364" s="9"/>
      <c r="F364" s="9"/>
      <c r="G364" s="9"/>
      <c r="H364" s="9"/>
      <c r="I364" s="9"/>
      <c r="J364" s="37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15.75" hidden="false" customHeight="false" outlineLevel="0" collapsed="false">
      <c r="A365" s="13"/>
      <c r="B365" s="13"/>
      <c r="C365" s="9"/>
      <c r="D365" s="9"/>
      <c r="E365" s="9"/>
      <c r="F365" s="9"/>
      <c r="G365" s="9"/>
      <c r="H365" s="9"/>
      <c r="I365" s="9"/>
      <c r="J365" s="37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15.75" hidden="false" customHeight="false" outlineLevel="0" collapsed="false">
      <c r="A366" s="13"/>
      <c r="B366" s="13"/>
      <c r="C366" s="9"/>
      <c r="D366" s="9"/>
      <c r="E366" s="9"/>
      <c r="F366" s="9"/>
      <c r="G366" s="9"/>
      <c r="H366" s="9"/>
      <c r="I366" s="9"/>
      <c r="J366" s="37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15.75" hidden="false" customHeight="false" outlineLevel="0" collapsed="false">
      <c r="A367" s="13"/>
      <c r="B367" s="13"/>
      <c r="C367" s="9"/>
      <c r="D367" s="9"/>
      <c r="E367" s="9"/>
      <c r="F367" s="9"/>
      <c r="G367" s="9"/>
      <c r="H367" s="9"/>
      <c r="I367" s="9"/>
      <c r="J367" s="37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15.75" hidden="false" customHeight="false" outlineLevel="0" collapsed="false">
      <c r="A368" s="13"/>
      <c r="B368" s="13"/>
      <c r="C368" s="9"/>
      <c r="D368" s="9"/>
      <c r="E368" s="9"/>
      <c r="F368" s="9"/>
      <c r="G368" s="9"/>
      <c r="H368" s="9"/>
      <c r="I368" s="9"/>
      <c r="J368" s="37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15.75" hidden="false" customHeight="false" outlineLevel="0" collapsed="false">
      <c r="A369" s="13"/>
      <c r="B369" s="13"/>
      <c r="C369" s="9"/>
      <c r="D369" s="9"/>
      <c r="E369" s="9"/>
      <c r="F369" s="9"/>
      <c r="G369" s="9"/>
      <c r="H369" s="9"/>
      <c r="I369" s="9"/>
      <c r="J369" s="37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15.75" hidden="false" customHeight="false" outlineLevel="0" collapsed="false">
      <c r="A370" s="13"/>
      <c r="B370" s="13"/>
      <c r="C370" s="9"/>
      <c r="D370" s="9"/>
      <c r="E370" s="9"/>
      <c r="F370" s="9"/>
      <c r="G370" s="9"/>
      <c r="H370" s="9"/>
      <c r="I370" s="9"/>
      <c r="J370" s="37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15.75" hidden="false" customHeight="false" outlineLevel="0" collapsed="false">
      <c r="A371" s="13"/>
      <c r="B371" s="13"/>
      <c r="C371" s="9"/>
      <c r="D371" s="9"/>
      <c r="E371" s="9"/>
      <c r="F371" s="9"/>
      <c r="G371" s="9"/>
      <c r="H371" s="9"/>
      <c r="I371" s="9"/>
      <c r="J371" s="37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15.75" hidden="false" customHeight="false" outlineLevel="0" collapsed="false">
      <c r="A372" s="13"/>
      <c r="B372" s="13"/>
      <c r="C372" s="9"/>
      <c r="D372" s="9"/>
      <c r="E372" s="9"/>
      <c r="F372" s="9"/>
      <c r="G372" s="9"/>
      <c r="H372" s="9"/>
      <c r="I372" s="9"/>
      <c r="J372" s="37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15.75" hidden="false" customHeight="false" outlineLevel="0" collapsed="false">
      <c r="A373" s="13"/>
      <c r="B373" s="13"/>
      <c r="C373" s="9"/>
      <c r="D373" s="9"/>
      <c r="E373" s="9"/>
      <c r="F373" s="9"/>
      <c r="G373" s="9"/>
      <c r="H373" s="9"/>
      <c r="I373" s="9"/>
      <c r="J373" s="37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15.75" hidden="false" customHeight="false" outlineLevel="0" collapsed="false">
      <c r="A374" s="13"/>
      <c r="B374" s="13"/>
      <c r="C374" s="9"/>
      <c r="D374" s="9"/>
      <c r="E374" s="9"/>
      <c r="F374" s="9"/>
      <c r="G374" s="9"/>
      <c r="H374" s="9"/>
      <c r="I374" s="9"/>
      <c r="J374" s="37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15.75" hidden="false" customHeight="false" outlineLevel="0" collapsed="false">
      <c r="A375" s="13"/>
      <c r="B375" s="13"/>
      <c r="C375" s="9"/>
      <c r="D375" s="9"/>
      <c r="E375" s="9"/>
      <c r="F375" s="9"/>
      <c r="G375" s="9"/>
      <c r="H375" s="9"/>
      <c r="I375" s="9"/>
      <c r="J375" s="37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15.75" hidden="false" customHeight="false" outlineLevel="0" collapsed="false">
      <c r="A376" s="13"/>
      <c r="B376" s="13"/>
      <c r="C376" s="9"/>
      <c r="D376" s="9"/>
      <c r="E376" s="9"/>
      <c r="F376" s="9"/>
      <c r="G376" s="9"/>
      <c r="H376" s="9"/>
      <c r="I376" s="9"/>
      <c r="J376" s="37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15.75" hidden="false" customHeight="false" outlineLevel="0" collapsed="false">
      <c r="A377" s="13"/>
      <c r="B377" s="13"/>
      <c r="C377" s="9"/>
      <c r="D377" s="9"/>
      <c r="E377" s="9"/>
      <c r="F377" s="9"/>
      <c r="G377" s="9"/>
      <c r="H377" s="9"/>
      <c r="I377" s="9"/>
      <c r="J377" s="37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15.75" hidden="false" customHeight="false" outlineLevel="0" collapsed="false">
      <c r="A378" s="13"/>
      <c r="B378" s="13"/>
      <c r="C378" s="9"/>
      <c r="D378" s="9"/>
      <c r="E378" s="9"/>
      <c r="F378" s="9"/>
      <c r="G378" s="9"/>
      <c r="H378" s="9"/>
      <c r="I378" s="9"/>
      <c r="J378" s="37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15.75" hidden="false" customHeight="false" outlineLevel="0" collapsed="false">
      <c r="A379" s="13"/>
      <c r="B379" s="13"/>
      <c r="C379" s="9"/>
      <c r="D379" s="9"/>
      <c r="E379" s="9"/>
      <c r="F379" s="9"/>
      <c r="G379" s="9"/>
      <c r="H379" s="9"/>
      <c r="I379" s="9"/>
      <c r="J379" s="37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15.75" hidden="false" customHeight="false" outlineLevel="0" collapsed="false">
      <c r="A380" s="13"/>
      <c r="B380" s="13"/>
      <c r="C380" s="9"/>
      <c r="D380" s="9"/>
      <c r="E380" s="9"/>
      <c r="F380" s="9"/>
      <c r="G380" s="9"/>
      <c r="H380" s="9"/>
      <c r="I380" s="9"/>
      <c r="J380" s="37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15.75" hidden="false" customHeight="false" outlineLevel="0" collapsed="false">
      <c r="A381" s="13"/>
      <c r="B381" s="13"/>
      <c r="C381" s="9"/>
      <c r="D381" s="9"/>
      <c r="E381" s="9"/>
      <c r="F381" s="9"/>
      <c r="G381" s="9"/>
      <c r="H381" s="9"/>
      <c r="I381" s="9"/>
      <c r="J381" s="37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15.75" hidden="false" customHeight="false" outlineLevel="0" collapsed="false">
      <c r="A382" s="13"/>
      <c r="B382" s="13"/>
      <c r="C382" s="9"/>
      <c r="D382" s="9"/>
      <c r="E382" s="9"/>
      <c r="F382" s="9"/>
      <c r="G382" s="9"/>
      <c r="H382" s="9"/>
      <c r="I382" s="9"/>
      <c r="J382" s="37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15.75" hidden="false" customHeight="false" outlineLevel="0" collapsed="false">
      <c r="A383" s="13"/>
      <c r="B383" s="13"/>
      <c r="C383" s="9"/>
      <c r="D383" s="9"/>
      <c r="E383" s="9"/>
      <c r="F383" s="9"/>
      <c r="G383" s="9"/>
      <c r="H383" s="9"/>
      <c r="I383" s="9"/>
      <c r="J383" s="37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15.75" hidden="false" customHeight="false" outlineLevel="0" collapsed="false">
      <c r="A384" s="13"/>
      <c r="B384" s="13"/>
      <c r="C384" s="9"/>
      <c r="D384" s="9"/>
      <c r="E384" s="9"/>
      <c r="F384" s="9"/>
      <c r="G384" s="9"/>
      <c r="H384" s="9"/>
      <c r="I384" s="9"/>
      <c r="J384" s="37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15.75" hidden="false" customHeight="false" outlineLevel="0" collapsed="false">
      <c r="A385" s="13"/>
      <c r="B385" s="13"/>
      <c r="C385" s="9"/>
      <c r="D385" s="9"/>
      <c r="E385" s="9"/>
      <c r="F385" s="9"/>
      <c r="G385" s="9"/>
      <c r="H385" s="9"/>
      <c r="I385" s="9"/>
      <c r="J385" s="37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15.75" hidden="false" customHeight="false" outlineLevel="0" collapsed="false">
      <c r="A386" s="13"/>
      <c r="B386" s="13"/>
      <c r="C386" s="9"/>
      <c r="D386" s="9"/>
      <c r="E386" s="9"/>
      <c r="F386" s="9"/>
      <c r="G386" s="9"/>
      <c r="H386" s="9"/>
      <c r="I386" s="9"/>
      <c r="J386" s="37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15.75" hidden="false" customHeight="false" outlineLevel="0" collapsed="false">
      <c r="A387" s="13"/>
      <c r="B387" s="13"/>
      <c r="C387" s="9"/>
      <c r="D387" s="9"/>
      <c r="E387" s="9"/>
      <c r="F387" s="9"/>
      <c r="G387" s="9"/>
      <c r="H387" s="9"/>
      <c r="I387" s="9"/>
      <c r="J387" s="37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15.75" hidden="false" customHeight="false" outlineLevel="0" collapsed="false">
      <c r="A388" s="13"/>
      <c r="B388" s="13"/>
      <c r="C388" s="9"/>
      <c r="D388" s="9"/>
      <c r="E388" s="9"/>
      <c r="F388" s="9"/>
      <c r="G388" s="9"/>
      <c r="H388" s="9"/>
      <c r="I388" s="9"/>
      <c r="J388" s="37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15.75" hidden="false" customHeight="false" outlineLevel="0" collapsed="false">
      <c r="A389" s="13"/>
      <c r="B389" s="13"/>
      <c r="C389" s="9"/>
      <c r="D389" s="9"/>
      <c r="E389" s="9"/>
      <c r="F389" s="9"/>
      <c r="G389" s="9"/>
      <c r="H389" s="9"/>
      <c r="I389" s="9"/>
      <c r="J389" s="37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15.75" hidden="false" customHeight="false" outlineLevel="0" collapsed="false">
      <c r="A390" s="13"/>
      <c r="B390" s="13"/>
      <c r="C390" s="9"/>
      <c r="D390" s="9"/>
      <c r="E390" s="9"/>
      <c r="F390" s="9"/>
      <c r="G390" s="9"/>
      <c r="H390" s="9"/>
      <c r="I390" s="9"/>
      <c r="J390" s="37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15.75" hidden="false" customHeight="false" outlineLevel="0" collapsed="false">
      <c r="A391" s="13"/>
      <c r="B391" s="13"/>
      <c r="C391" s="9"/>
      <c r="D391" s="9"/>
      <c r="E391" s="9"/>
      <c r="F391" s="9"/>
      <c r="G391" s="9"/>
      <c r="H391" s="9"/>
      <c r="I391" s="9"/>
      <c r="J391" s="37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15.75" hidden="false" customHeight="false" outlineLevel="0" collapsed="false">
      <c r="A392" s="13"/>
      <c r="B392" s="13"/>
      <c r="C392" s="9"/>
      <c r="D392" s="9"/>
      <c r="E392" s="9"/>
      <c r="F392" s="9"/>
      <c r="G392" s="9"/>
      <c r="H392" s="9"/>
      <c r="I392" s="9"/>
      <c r="J392" s="37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15.75" hidden="false" customHeight="false" outlineLevel="0" collapsed="false">
      <c r="A393" s="13"/>
      <c r="B393" s="13"/>
      <c r="C393" s="9"/>
      <c r="D393" s="9"/>
      <c r="E393" s="9"/>
      <c r="F393" s="9"/>
      <c r="G393" s="9"/>
      <c r="H393" s="9"/>
      <c r="I393" s="9"/>
      <c r="J393" s="37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15.75" hidden="false" customHeight="false" outlineLevel="0" collapsed="false">
      <c r="A394" s="13"/>
      <c r="B394" s="13"/>
      <c r="C394" s="9"/>
      <c r="D394" s="9"/>
      <c r="E394" s="9"/>
      <c r="F394" s="9"/>
      <c r="G394" s="9"/>
      <c r="H394" s="9"/>
      <c r="I394" s="9"/>
      <c r="J394" s="37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15.75" hidden="false" customHeight="false" outlineLevel="0" collapsed="false">
      <c r="A395" s="13"/>
      <c r="B395" s="13"/>
      <c r="C395" s="9"/>
      <c r="D395" s="9"/>
      <c r="E395" s="9"/>
      <c r="F395" s="9"/>
      <c r="G395" s="9"/>
      <c r="H395" s="9"/>
      <c r="I395" s="9"/>
      <c r="J395" s="37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15.75" hidden="false" customHeight="false" outlineLevel="0" collapsed="false">
      <c r="A396" s="13"/>
      <c r="B396" s="13"/>
      <c r="C396" s="9"/>
      <c r="D396" s="9"/>
      <c r="E396" s="9"/>
      <c r="F396" s="9"/>
      <c r="G396" s="9"/>
      <c r="H396" s="9"/>
      <c r="I396" s="9"/>
      <c r="J396" s="37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15.75" hidden="false" customHeight="false" outlineLevel="0" collapsed="false">
      <c r="A397" s="13"/>
      <c r="B397" s="13"/>
      <c r="C397" s="9"/>
      <c r="D397" s="9"/>
      <c r="E397" s="9"/>
      <c r="F397" s="9"/>
      <c r="G397" s="9"/>
      <c r="H397" s="9"/>
      <c r="I397" s="9"/>
      <c r="J397" s="37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15.75" hidden="false" customHeight="false" outlineLevel="0" collapsed="false">
      <c r="A398" s="13"/>
      <c r="B398" s="13"/>
      <c r="C398" s="9"/>
      <c r="D398" s="9"/>
      <c r="E398" s="9"/>
      <c r="F398" s="9"/>
      <c r="G398" s="9"/>
      <c r="H398" s="9"/>
      <c r="I398" s="9"/>
      <c r="J398" s="37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15.75" hidden="false" customHeight="false" outlineLevel="0" collapsed="false">
      <c r="A399" s="13"/>
      <c r="B399" s="13"/>
      <c r="C399" s="9"/>
      <c r="D399" s="9"/>
      <c r="E399" s="9"/>
      <c r="F399" s="9"/>
      <c r="G399" s="9"/>
      <c r="H399" s="9"/>
      <c r="I399" s="9"/>
      <c r="J399" s="37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15.75" hidden="false" customHeight="false" outlineLevel="0" collapsed="false">
      <c r="A400" s="13"/>
      <c r="B400" s="13"/>
      <c r="C400" s="9"/>
      <c r="D400" s="9"/>
      <c r="E400" s="9"/>
      <c r="F400" s="9"/>
      <c r="G400" s="9"/>
      <c r="H400" s="9"/>
      <c r="I400" s="9"/>
      <c r="J400" s="37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15.75" hidden="false" customHeight="false" outlineLevel="0" collapsed="false">
      <c r="A401" s="13"/>
      <c r="B401" s="13"/>
      <c r="C401" s="9"/>
      <c r="D401" s="9"/>
      <c r="E401" s="9"/>
      <c r="F401" s="9"/>
      <c r="G401" s="9"/>
      <c r="H401" s="9"/>
      <c r="I401" s="9"/>
      <c r="J401" s="37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15.75" hidden="false" customHeight="false" outlineLevel="0" collapsed="false">
      <c r="A402" s="13"/>
      <c r="B402" s="13"/>
      <c r="C402" s="9"/>
      <c r="D402" s="9"/>
      <c r="E402" s="9"/>
      <c r="F402" s="9"/>
      <c r="G402" s="9"/>
      <c r="H402" s="9"/>
      <c r="I402" s="9"/>
      <c r="J402" s="37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15.75" hidden="false" customHeight="false" outlineLevel="0" collapsed="false">
      <c r="A403" s="13"/>
      <c r="B403" s="13"/>
      <c r="C403" s="9"/>
      <c r="D403" s="9"/>
      <c r="E403" s="9"/>
      <c r="F403" s="9"/>
      <c r="G403" s="9"/>
      <c r="H403" s="9"/>
      <c r="I403" s="9"/>
      <c r="J403" s="37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15.75" hidden="false" customHeight="false" outlineLevel="0" collapsed="false">
      <c r="A404" s="13"/>
      <c r="B404" s="13"/>
      <c r="C404" s="9"/>
      <c r="D404" s="9"/>
      <c r="E404" s="9"/>
      <c r="F404" s="9"/>
      <c r="G404" s="9"/>
      <c r="H404" s="9"/>
      <c r="I404" s="9"/>
      <c r="J404" s="37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15.75" hidden="false" customHeight="false" outlineLevel="0" collapsed="false">
      <c r="A405" s="13"/>
      <c r="B405" s="13"/>
      <c r="C405" s="9"/>
      <c r="D405" s="9"/>
      <c r="E405" s="9"/>
      <c r="F405" s="9"/>
      <c r="G405" s="9"/>
      <c r="H405" s="9"/>
      <c r="I405" s="9"/>
      <c r="J405" s="37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15.75" hidden="false" customHeight="false" outlineLevel="0" collapsed="false">
      <c r="A406" s="13"/>
      <c r="B406" s="13"/>
      <c r="C406" s="9"/>
      <c r="D406" s="9"/>
      <c r="E406" s="9"/>
      <c r="F406" s="9"/>
      <c r="G406" s="9"/>
      <c r="H406" s="9"/>
      <c r="I406" s="9"/>
      <c r="J406" s="37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15.75" hidden="false" customHeight="false" outlineLevel="0" collapsed="false">
      <c r="A407" s="13"/>
      <c r="B407" s="13"/>
      <c r="C407" s="9"/>
      <c r="D407" s="9"/>
      <c r="E407" s="9"/>
      <c r="F407" s="9"/>
      <c r="G407" s="9"/>
      <c r="H407" s="9"/>
      <c r="I407" s="9"/>
      <c r="J407" s="37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15.75" hidden="false" customHeight="false" outlineLevel="0" collapsed="false">
      <c r="A408" s="13"/>
      <c r="B408" s="13"/>
      <c r="C408" s="9"/>
      <c r="D408" s="9"/>
      <c r="E408" s="9"/>
      <c r="F408" s="9"/>
      <c r="G408" s="9"/>
      <c r="H408" s="9"/>
      <c r="I408" s="9"/>
      <c r="J408" s="37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15.75" hidden="false" customHeight="false" outlineLevel="0" collapsed="false">
      <c r="A409" s="13"/>
      <c r="B409" s="13"/>
      <c r="C409" s="9"/>
      <c r="D409" s="9"/>
      <c r="E409" s="9"/>
      <c r="F409" s="9"/>
      <c r="G409" s="9"/>
      <c r="H409" s="9"/>
      <c r="I409" s="9"/>
      <c r="J409" s="37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15.75" hidden="false" customHeight="false" outlineLevel="0" collapsed="false">
      <c r="A410" s="13"/>
      <c r="B410" s="13"/>
      <c r="C410" s="9"/>
      <c r="D410" s="9"/>
      <c r="E410" s="9"/>
      <c r="F410" s="9"/>
      <c r="G410" s="9"/>
      <c r="H410" s="9"/>
      <c r="I410" s="9"/>
      <c r="J410" s="37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15.75" hidden="false" customHeight="false" outlineLevel="0" collapsed="false">
      <c r="A411" s="13"/>
      <c r="B411" s="13"/>
      <c r="C411" s="9"/>
      <c r="D411" s="9"/>
      <c r="E411" s="9"/>
      <c r="F411" s="9"/>
      <c r="G411" s="9"/>
      <c r="H411" s="9"/>
      <c r="I411" s="9"/>
      <c r="J411" s="37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15.75" hidden="false" customHeight="false" outlineLevel="0" collapsed="false">
      <c r="A412" s="13"/>
      <c r="B412" s="13"/>
      <c r="C412" s="9"/>
      <c r="D412" s="9"/>
      <c r="E412" s="9"/>
      <c r="F412" s="9"/>
      <c r="G412" s="9"/>
      <c r="H412" s="9"/>
      <c r="I412" s="9"/>
      <c r="J412" s="37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15.75" hidden="false" customHeight="false" outlineLevel="0" collapsed="false">
      <c r="A413" s="13"/>
      <c r="B413" s="13"/>
      <c r="C413" s="9"/>
      <c r="D413" s="9"/>
      <c r="E413" s="9"/>
      <c r="F413" s="9"/>
      <c r="G413" s="9"/>
      <c r="H413" s="9"/>
      <c r="I413" s="9"/>
      <c r="J413" s="37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15.75" hidden="false" customHeight="false" outlineLevel="0" collapsed="false">
      <c r="A414" s="13"/>
      <c r="B414" s="13"/>
      <c r="C414" s="9"/>
      <c r="D414" s="9"/>
      <c r="E414" s="9"/>
      <c r="F414" s="9"/>
      <c r="G414" s="9"/>
      <c r="H414" s="9"/>
      <c r="I414" s="9"/>
      <c r="J414" s="37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15.75" hidden="false" customHeight="false" outlineLevel="0" collapsed="false">
      <c r="A415" s="13"/>
      <c r="B415" s="13"/>
      <c r="C415" s="9"/>
      <c r="D415" s="9"/>
      <c r="E415" s="9"/>
      <c r="F415" s="9"/>
      <c r="G415" s="9"/>
      <c r="H415" s="9"/>
      <c r="I415" s="9"/>
      <c r="J415" s="37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15.75" hidden="false" customHeight="false" outlineLevel="0" collapsed="false">
      <c r="A416" s="13"/>
      <c r="B416" s="13"/>
      <c r="C416" s="9"/>
      <c r="D416" s="9"/>
      <c r="E416" s="9"/>
      <c r="F416" s="9"/>
      <c r="G416" s="9"/>
      <c r="H416" s="9"/>
      <c r="I416" s="9"/>
      <c r="J416" s="37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15.75" hidden="false" customHeight="false" outlineLevel="0" collapsed="false">
      <c r="A417" s="13"/>
      <c r="B417" s="13"/>
      <c r="C417" s="9"/>
      <c r="D417" s="9"/>
      <c r="E417" s="9"/>
      <c r="F417" s="9"/>
      <c r="G417" s="9"/>
      <c r="H417" s="9"/>
      <c r="I417" s="9"/>
      <c r="J417" s="37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15.75" hidden="false" customHeight="false" outlineLevel="0" collapsed="false">
      <c r="A418" s="13"/>
      <c r="B418" s="13"/>
      <c r="C418" s="9"/>
      <c r="D418" s="9"/>
      <c r="E418" s="9"/>
      <c r="F418" s="9"/>
      <c r="G418" s="9"/>
      <c r="H418" s="9"/>
      <c r="I418" s="9"/>
      <c r="J418" s="37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15.75" hidden="false" customHeight="false" outlineLevel="0" collapsed="false">
      <c r="A419" s="13"/>
      <c r="B419" s="13"/>
      <c r="C419" s="9"/>
      <c r="D419" s="9"/>
      <c r="E419" s="9"/>
      <c r="F419" s="9"/>
      <c r="G419" s="9"/>
      <c r="H419" s="9"/>
      <c r="I419" s="9"/>
      <c r="J419" s="37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15.75" hidden="false" customHeight="false" outlineLevel="0" collapsed="false">
      <c r="A420" s="13"/>
      <c r="B420" s="13"/>
      <c r="C420" s="9"/>
      <c r="D420" s="9"/>
      <c r="E420" s="9"/>
      <c r="F420" s="9"/>
      <c r="G420" s="9"/>
      <c r="H420" s="9"/>
      <c r="I420" s="9"/>
      <c r="J420" s="37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15.75" hidden="false" customHeight="false" outlineLevel="0" collapsed="false">
      <c r="A421" s="13"/>
      <c r="B421" s="13"/>
      <c r="C421" s="9"/>
      <c r="D421" s="9"/>
      <c r="E421" s="9"/>
      <c r="F421" s="9"/>
      <c r="G421" s="9"/>
      <c r="H421" s="9"/>
      <c r="I421" s="9"/>
      <c r="J421" s="37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15.75" hidden="false" customHeight="false" outlineLevel="0" collapsed="false">
      <c r="A422" s="13"/>
      <c r="B422" s="13"/>
      <c r="C422" s="9"/>
      <c r="D422" s="9"/>
      <c r="E422" s="9"/>
      <c r="F422" s="9"/>
      <c r="G422" s="9"/>
      <c r="H422" s="9"/>
      <c r="I422" s="9"/>
      <c r="J422" s="37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15.75" hidden="false" customHeight="false" outlineLevel="0" collapsed="false">
      <c r="A423" s="13"/>
      <c r="B423" s="13"/>
      <c r="C423" s="9"/>
      <c r="D423" s="9"/>
      <c r="E423" s="9"/>
      <c r="F423" s="9"/>
      <c r="G423" s="9"/>
      <c r="H423" s="9"/>
      <c r="I423" s="9"/>
      <c r="J423" s="37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15.75" hidden="false" customHeight="false" outlineLevel="0" collapsed="false">
      <c r="A424" s="13"/>
      <c r="B424" s="13"/>
      <c r="C424" s="9"/>
      <c r="D424" s="9"/>
      <c r="E424" s="9"/>
      <c r="F424" s="9"/>
      <c r="G424" s="9"/>
      <c r="H424" s="9"/>
      <c r="I424" s="9"/>
      <c r="J424" s="37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15.75" hidden="false" customHeight="false" outlineLevel="0" collapsed="false">
      <c r="A425" s="13"/>
      <c r="B425" s="13"/>
      <c r="C425" s="9"/>
      <c r="D425" s="9"/>
      <c r="E425" s="9"/>
      <c r="F425" s="9"/>
      <c r="G425" s="9"/>
      <c r="H425" s="9"/>
      <c r="I425" s="9"/>
      <c r="J425" s="37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15.75" hidden="false" customHeight="false" outlineLevel="0" collapsed="false">
      <c r="A426" s="13"/>
      <c r="B426" s="13"/>
      <c r="C426" s="9"/>
      <c r="D426" s="9"/>
      <c r="E426" s="9"/>
      <c r="F426" s="9"/>
      <c r="G426" s="9"/>
      <c r="H426" s="9"/>
      <c r="I426" s="9"/>
      <c r="J426" s="37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15.75" hidden="false" customHeight="false" outlineLevel="0" collapsed="false">
      <c r="A427" s="13"/>
      <c r="B427" s="13"/>
      <c r="C427" s="9"/>
      <c r="D427" s="9"/>
      <c r="E427" s="9"/>
      <c r="F427" s="9"/>
      <c r="G427" s="9"/>
      <c r="H427" s="9"/>
      <c r="I427" s="9"/>
      <c r="J427" s="37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15.75" hidden="false" customHeight="false" outlineLevel="0" collapsed="false">
      <c r="A428" s="13"/>
      <c r="B428" s="13"/>
      <c r="C428" s="9"/>
      <c r="D428" s="9"/>
      <c r="E428" s="9"/>
      <c r="F428" s="9"/>
      <c r="G428" s="9"/>
      <c r="H428" s="9"/>
      <c r="I428" s="9"/>
      <c r="J428" s="37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15.75" hidden="false" customHeight="false" outlineLevel="0" collapsed="false">
      <c r="A429" s="13"/>
      <c r="B429" s="13"/>
      <c r="C429" s="9"/>
      <c r="D429" s="9"/>
      <c r="E429" s="9"/>
      <c r="F429" s="9"/>
      <c r="G429" s="9"/>
      <c r="H429" s="9"/>
      <c r="I429" s="9"/>
      <c r="J429" s="37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15.75" hidden="false" customHeight="false" outlineLevel="0" collapsed="false">
      <c r="A430" s="13"/>
      <c r="B430" s="13"/>
      <c r="C430" s="9"/>
      <c r="D430" s="9"/>
      <c r="E430" s="9"/>
      <c r="F430" s="9"/>
      <c r="G430" s="9"/>
      <c r="H430" s="9"/>
      <c r="I430" s="9"/>
      <c r="J430" s="37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15.75" hidden="false" customHeight="false" outlineLevel="0" collapsed="false">
      <c r="A431" s="13"/>
      <c r="B431" s="13"/>
      <c r="C431" s="9"/>
      <c r="D431" s="9"/>
      <c r="E431" s="9"/>
      <c r="F431" s="9"/>
      <c r="G431" s="9"/>
      <c r="H431" s="9"/>
      <c r="I431" s="9"/>
      <c r="J431" s="37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15.75" hidden="false" customHeight="false" outlineLevel="0" collapsed="false">
      <c r="A432" s="13"/>
      <c r="B432" s="13"/>
      <c r="C432" s="9"/>
      <c r="D432" s="9"/>
      <c r="E432" s="9"/>
      <c r="F432" s="9"/>
      <c r="G432" s="9"/>
      <c r="H432" s="9"/>
      <c r="I432" s="9"/>
      <c r="J432" s="37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15.75" hidden="false" customHeight="false" outlineLevel="0" collapsed="false">
      <c r="A433" s="13"/>
      <c r="B433" s="13"/>
      <c r="C433" s="9"/>
      <c r="D433" s="9"/>
      <c r="E433" s="9"/>
      <c r="F433" s="9"/>
      <c r="G433" s="9"/>
      <c r="H433" s="9"/>
      <c r="I433" s="9"/>
      <c r="J433" s="37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15.75" hidden="false" customHeight="false" outlineLevel="0" collapsed="false">
      <c r="A434" s="13"/>
      <c r="B434" s="13"/>
      <c r="C434" s="9"/>
      <c r="D434" s="9"/>
      <c r="E434" s="9"/>
      <c r="F434" s="9"/>
      <c r="G434" s="9"/>
      <c r="H434" s="9"/>
      <c r="I434" s="9"/>
      <c r="J434" s="37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15.75" hidden="false" customHeight="false" outlineLevel="0" collapsed="false">
      <c r="A435" s="13"/>
      <c r="B435" s="13"/>
      <c r="C435" s="9"/>
      <c r="D435" s="9"/>
      <c r="E435" s="9"/>
      <c r="F435" s="9"/>
      <c r="G435" s="9"/>
      <c r="H435" s="9"/>
      <c r="I435" s="9"/>
      <c r="J435" s="37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15.75" hidden="false" customHeight="false" outlineLevel="0" collapsed="false">
      <c r="A436" s="13"/>
      <c r="B436" s="13"/>
      <c r="C436" s="9"/>
      <c r="D436" s="9"/>
      <c r="E436" s="9"/>
      <c r="F436" s="9"/>
      <c r="G436" s="9"/>
      <c r="H436" s="9"/>
      <c r="I436" s="9"/>
      <c r="J436" s="37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15.75" hidden="false" customHeight="false" outlineLevel="0" collapsed="false">
      <c r="A437" s="13"/>
      <c r="B437" s="13"/>
      <c r="C437" s="9"/>
      <c r="D437" s="9"/>
      <c r="E437" s="9"/>
      <c r="F437" s="9"/>
      <c r="G437" s="9"/>
      <c r="H437" s="9"/>
      <c r="I437" s="9"/>
      <c r="J437" s="37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15.75" hidden="false" customHeight="false" outlineLevel="0" collapsed="false">
      <c r="A438" s="13"/>
      <c r="B438" s="13"/>
      <c r="C438" s="9"/>
      <c r="D438" s="9"/>
      <c r="E438" s="9"/>
      <c r="F438" s="9"/>
      <c r="G438" s="9"/>
      <c r="H438" s="9"/>
      <c r="I438" s="9"/>
      <c r="J438" s="37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15.75" hidden="false" customHeight="false" outlineLevel="0" collapsed="false">
      <c r="A439" s="13"/>
      <c r="B439" s="13"/>
      <c r="C439" s="9"/>
      <c r="D439" s="9"/>
      <c r="E439" s="9"/>
      <c r="F439" s="9"/>
      <c r="G439" s="9"/>
      <c r="H439" s="9"/>
      <c r="I439" s="9"/>
      <c r="J439" s="37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15.75" hidden="false" customHeight="false" outlineLevel="0" collapsed="false">
      <c r="A440" s="13"/>
      <c r="B440" s="13"/>
      <c r="C440" s="9"/>
      <c r="D440" s="9"/>
      <c r="E440" s="9"/>
      <c r="F440" s="9"/>
      <c r="G440" s="9"/>
      <c r="H440" s="9"/>
      <c r="I440" s="9"/>
      <c r="J440" s="37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15.75" hidden="false" customHeight="false" outlineLevel="0" collapsed="false">
      <c r="A441" s="13"/>
      <c r="B441" s="13"/>
      <c r="C441" s="9"/>
      <c r="D441" s="9"/>
      <c r="E441" s="9"/>
      <c r="F441" s="9"/>
      <c r="G441" s="9"/>
      <c r="H441" s="9"/>
      <c r="I441" s="9"/>
      <c r="J441" s="37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15.75" hidden="false" customHeight="false" outlineLevel="0" collapsed="false">
      <c r="A442" s="13"/>
      <c r="B442" s="13"/>
      <c r="C442" s="9"/>
      <c r="D442" s="9"/>
      <c r="E442" s="9"/>
      <c r="F442" s="9"/>
      <c r="G442" s="9"/>
      <c r="H442" s="9"/>
      <c r="I442" s="9"/>
      <c r="J442" s="37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15.75" hidden="false" customHeight="false" outlineLevel="0" collapsed="false">
      <c r="A443" s="13"/>
      <c r="B443" s="13"/>
      <c r="C443" s="9"/>
      <c r="D443" s="9"/>
      <c r="E443" s="9"/>
      <c r="F443" s="9"/>
      <c r="G443" s="9"/>
      <c r="H443" s="9"/>
      <c r="I443" s="9"/>
      <c r="J443" s="37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15.75" hidden="false" customHeight="false" outlineLevel="0" collapsed="false">
      <c r="A444" s="13"/>
      <c r="B444" s="13"/>
      <c r="C444" s="9"/>
      <c r="D444" s="9"/>
      <c r="E444" s="9"/>
      <c r="F444" s="9"/>
      <c r="G444" s="9"/>
      <c r="H444" s="9"/>
      <c r="I444" s="9"/>
      <c r="J444" s="37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15.75" hidden="false" customHeight="false" outlineLevel="0" collapsed="false">
      <c r="A445" s="13"/>
      <c r="B445" s="13"/>
      <c r="C445" s="9"/>
      <c r="D445" s="9"/>
      <c r="E445" s="9"/>
      <c r="F445" s="9"/>
      <c r="G445" s="9"/>
      <c r="H445" s="9"/>
      <c r="I445" s="9"/>
      <c r="J445" s="37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15.75" hidden="false" customHeight="false" outlineLevel="0" collapsed="false">
      <c r="A446" s="13"/>
      <c r="B446" s="13"/>
      <c r="C446" s="9"/>
      <c r="D446" s="9"/>
      <c r="E446" s="9"/>
      <c r="F446" s="9"/>
      <c r="G446" s="9"/>
      <c r="H446" s="9"/>
      <c r="I446" s="9"/>
      <c r="J446" s="37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15.75" hidden="false" customHeight="false" outlineLevel="0" collapsed="false">
      <c r="A447" s="13"/>
      <c r="B447" s="13"/>
      <c r="C447" s="9"/>
      <c r="D447" s="9"/>
      <c r="E447" s="9"/>
      <c r="F447" s="9"/>
      <c r="G447" s="9"/>
      <c r="H447" s="9"/>
      <c r="I447" s="9"/>
      <c r="J447" s="37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15.75" hidden="false" customHeight="false" outlineLevel="0" collapsed="false">
      <c r="A448" s="13"/>
      <c r="B448" s="13"/>
      <c r="C448" s="9"/>
      <c r="D448" s="9"/>
      <c r="E448" s="9"/>
      <c r="F448" s="9"/>
      <c r="G448" s="9"/>
      <c r="H448" s="9"/>
      <c r="I448" s="9"/>
      <c r="J448" s="37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15.75" hidden="false" customHeight="false" outlineLevel="0" collapsed="false">
      <c r="A449" s="13"/>
      <c r="B449" s="13"/>
      <c r="C449" s="9"/>
      <c r="D449" s="9"/>
      <c r="E449" s="9"/>
      <c r="F449" s="9"/>
      <c r="G449" s="9"/>
      <c r="H449" s="9"/>
      <c r="I449" s="9"/>
      <c r="J449" s="37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15.75" hidden="false" customHeight="false" outlineLevel="0" collapsed="false">
      <c r="A450" s="13"/>
      <c r="B450" s="13"/>
      <c r="C450" s="9"/>
      <c r="D450" s="9"/>
      <c r="E450" s="9"/>
      <c r="F450" s="9"/>
      <c r="G450" s="9"/>
      <c r="H450" s="9"/>
      <c r="I450" s="9"/>
      <c r="J450" s="37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15.75" hidden="false" customHeight="false" outlineLevel="0" collapsed="false">
      <c r="A451" s="13"/>
      <c r="B451" s="13"/>
      <c r="C451" s="9"/>
      <c r="D451" s="9"/>
      <c r="E451" s="9"/>
      <c r="F451" s="9"/>
      <c r="G451" s="9"/>
      <c r="H451" s="9"/>
      <c r="I451" s="9"/>
      <c r="J451" s="37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15.75" hidden="false" customHeight="false" outlineLevel="0" collapsed="false">
      <c r="A452" s="13"/>
      <c r="B452" s="13"/>
      <c r="C452" s="9"/>
      <c r="D452" s="9"/>
      <c r="E452" s="9"/>
      <c r="F452" s="9"/>
      <c r="G452" s="9"/>
      <c r="H452" s="9"/>
      <c r="I452" s="9"/>
      <c r="J452" s="37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15.75" hidden="false" customHeight="false" outlineLevel="0" collapsed="false">
      <c r="A453" s="13"/>
      <c r="B453" s="13"/>
      <c r="C453" s="9"/>
      <c r="D453" s="9"/>
      <c r="E453" s="9"/>
      <c r="F453" s="9"/>
      <c r="G453" s="9"/>
      <c r="H453" s="9"/>
      <c r="I453" s="9"/>
      <c r="J453" s="37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15.75" hidden="false" customHeight="false" outlineLevel="0" collapsed="false">
      <c r="A454" s="13"/>
      <c r="B454" s="13"/>
      <c r="C454" s="9"/>
      <c r="D454" s="9"/>
      <c r="E454" s="9"/>
      <c r="F454" s="9"/>
      <c r="G454" s="9"/>
      <c r="H454" s="9"/>
      <c r="I454" s="9"/>
      <c r="J454" s="37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15.75" hidden="false" customHeight="false" outlineLevel="0" collapsed="false">
      <c r="A455" s="13"/>
      <c r="B455" s="13"/>
      <c r="C455" s="9"/>
      <c r="D455" s="9"/>
      <c r="E455" s="9"/>
      <c r="F455" s="9"/>
      <c r="G455" s="9"/>
      <c r="H455" s="9"/>
      <c r="I455" s="9"/>
      <c r="J455" s="37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15.75" hidden="false" customHeight="false" outlineLevel="0" collapsed="false">
      <c r="A456" s="13"/>
      <c r="B456" s="13"/>
      <c r="C456" s="9"/>
      <c r="D456" s="9"/>
      <c r="E456" s="9"/>
      <c r="F456" s="9"/>
      <c r="G456" s="9"/>
      <c r="H456" s="9"/>
      <c r="I456" s="9"/>
      <c r="J456" s="37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15.75" hidden="false" customHeight="false" outlineLevel="0" collapsed="false">
      <c r="A457" s="13"/>
      <c r="B457" s="13"/>
      <c r="C457" s="9"/>
      <c r="D457" s="9"/>
      <c r="E457" s="9"/>
      <c r="F457" s="9"/>
      <c r="G457" s="9"/>
      <c r="H457" s="9"/>
      <c r="I457" s="9"/>
      <c r="J457" s="37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15.75" hidden="false" customHeight="false" outlineLevel="0" collapsed="false">
      <c r="A458" s="13"/>
      <c r="B458" s="13"/>
      <c r="C458" s="9"/>
      <c r="D458" s="9"/>
      <c r="E458" s="9"/>
      <c r="F458" s="9"/>
      <c r="G458" s="9"/>
      <c r="H458" s="9"/>
      <c r="I458" s="9"/>
      <c r="J458" s="37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15.75" hidden="false" customHeight="false" outlineLevel="0" collapsed="false">
      <c r="A459" s="13"/>
      <c r="B459" s="13"/>
      <c r="C459" s="9"/>
      <c r="D459" s="9"/>
      <c r="E459" s="9"/>
      <c r="F459" s="9"/>
      <c r="G459" s="9"/>
      <c r="H459" s="9"/>
      <c r="I459" s="9"/>
      <c r="J459" s="37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15.75" hidden="false" customHeight="false" outlineLevel="0" collapsed="false">
      <c r="A460" s="13"/>
      <c r="B460" s="13"/>
      <c r="C460" s="9"/>
      <c r="D460" s="9"/>
      <c r="E460" s="9"/>
      <c r="F460" s="9"/>
      <c r="G460" s="9"/>
      <c r="H460" s="9"/>
      <c r="I460" s="9"/>
      <c r="J460" s="37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15.75" hidden="false" customHeight="false" outlineLevel="0" collapsed="false">
      <c r="A461" s="13"/>
      <c r="B461" s="13"/>
      <c r="C461" s="9"/>
      <c r="D461" s="9"/>
      <c r="E461" s="9"/>
      <c r="F461" s="9"/>
      <c r="G461" s="9"/>
      <c r="H461" s="9"/>
      <c r="I461" s="9"/>
      <c r="J461" s="37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15.75" hidden="false" customHeight="false" outlineLevel="0" collapsed="false">
      <c r="A462" s="13"/>
      <c r="B462" s="13"/>
      <c r="C462" s="9"/>
      <c r="D462" s="9"/>
      <c r="E462" s="9"/>
      <c r="F462" s="9"/>
      <c r="G462" s="9"/>
      <c r="H462" s="9"/>
      <c r="I462" s="9"/>
      <c r="J462" s="37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15.75" hidden="false" customHeight="false" outlineLevel="0" collapsed="false">
      <c r="A463" s="13"/>
      <c r="B463" s="13"/>
      <c r="C463" s="9"/>
      <c r="D463" s="9"/>
      <c r="E463" s="9"/>
      <c r="F463" s="9"/>
      <c r="G463" s="9"/>
      <c r="H463" s="9"/>
      <c r="I463" s="9"/>
      <c r="J463" s="37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15.75" hidden="false" customHeight="false" outlineLevel="0" collapsed="false">
      <c r="A464" s="13"/>
      <c r="B464" s="13"/>
      <c r="C464" s="9"/>
      <c r="D464" s="9"/>
      <c r="E464" s="9"/>
      <c r="F464" s="9"/>
      <c r="G464" s="9"/>
      <c r="H464" s="9"/>
      <c r="I464" s="9"/>
      <c r="J464" s="37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15.75" hidden="false" customHeight="false" outlineLevel="0" collapsed="false">
      <c r="A465" s="13"/>
      <c r="B465" s="13"/>
      <c r="C465" s="9"/>
      <c r="D465" s="9"/>
      <c r="E465" s="9"/>
      <c r="F465" s="9"/>
      <c r="G465" s="9"/>
      <c r="H465" s="9"/>
      <c r="I465" s="9"/>
      <c r="J465" s="37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15.75" hidden="false" customHeight="false" outlineLevel="0" collapsed="false">
      <c r="A466" s="13"/>
      <c r="B466" s="13"/>
      <c r="C466" s="9"/>
      <c r="D466" s="9"/>
      <c r="E466" s="9"/>
      <c r="F466" s="9"/>
      <c r="G466" s="9"/>
      <c r="H466" s="9"/>
      <c r="I466" s="9"/>
      <c r="J466" s="37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15.75" hidden="false" customHeight="false" outlineLevel="0" collapsed="false">
      <c r="A467" s="13"/>
      <c r="B467" s="13"/>
      <c r="C467" s="9"/>
      <c r="D467" s="9"/>
      <c r="E467" s="9"/>
      <c r="F467" s="9"/>
      <c r="G467" s="9"/>
      <c r="H467" s="9"/>
      <c r="I467" s="9"/>
      <c r="J467" s="37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15.75" hidden="false" customHeight="false" outlineLevel="0" collapsed="false">
      <c r="A468" s="13"/>
      <c r="B468" s="13"/>
      <c r="C468" s="9"/>
      <c r="D468" s="9"/>
      <c r="E468" s="9"/>
      <c r="F468" s="9"/>
      <c r="G468" s="9"/>
      <c r="H468" s="9"/>
      <c r="I468" s="9"/>
      <c r="J468" s="37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15.75" hidden="false" customHeight="false" outlineLevel="0" collapsed="false">
      <c r="A469" s="13"/>
      <c r="B469" s="13"/>
      <c r="C469" s="9"/>
      <c r="D469" s="9"/>
      <c r="E469" s="9"/>
      <c r="F469" s="9"/>
      <c r="G469" s="9"/>
      <c r="H469" s="9"/>
      <c r="I469" s="9"/>
      <c r="J469" s="37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15.75" hidden="false" customHeight="false" outlineLevel="0" collapsed="false">
      <c r="A470" s="13"/>
      <c r="B470" s="13"/>
      <c r="C470" s="9"/>
      <c r="D470" s="9"/>
      <c r="E470" s="9"/>
      <c r="F470" s="9"/>
      <c r="G470" s="9"/>
      <c r="H470" s="9"/>
      <c r="I470" s="9"/>
      <c r="J470" s="37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15.75" hidden="false" customHeight="false" outlineLevel="0" collapsed="false">
      <c r="A471" s="13"/>
      <c r="B471" s="13"/>
      <c r="C471" s="9"/>
      <c r="D471" s="9"/>
      <c r="E471" s="9"/>
      <c r="F471" s="9"/>
      <c r="G471" s="9"/>
      <c r="H471" s="9"/>
      <c r="I471" s="9"/>
      <c r="J471" s="37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15.75" hidden="false" customHeight="false" outlineLevel="0" collapsed="false">
      <c r="A472" s="13"/>
      <c r="B472" s="13"/>
      <c r="C472" s="9"/>
      <c r="D472" s="9"/>
      <c r="E472" s="9"/>
      <c r="F472" s="9"/>
      <c r="G472" s="9"/>
      <c r="H472" s="9"/>
      <c r="I472" s="9"/>
      <c r="J472" s="37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15.75" hidden="false" customHeight="false" outlineLevel="0" collapsed="false">
      <c r="A473" s="13"/>
      <c r="B473" s="13"/>
      <c r="C473" s="9"/>
      <c r="D473" s="9"/>
      <c r="E473" s="9"/>
      <c r="F473" s="9"/>
      <c r="G473" s="9"/>
      <c r="H473" s="9"/>
      <c r="I473" s="9"/>
      <c r="J473" s="37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15.75" hidden="false" customHeight="false" outlineLevel="0" collapsed="false">
      <c r="A474" s="13"/>
      <c r="B474" s="13"/>
      <c r="C474" s="9"/>
      <c r="D474" s="9"/>
      <c r="E474" s="9"/>
      <c r="F474" s="9"/>
      <c r="G474" s="9"/>
      <c r="H474" s="9"/>
      <c r="I474" s="9"/>
      <c r="J474" s="37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15.75" hidden="false" customHeight="false" outlineLevel="0" collapsed="false">
      <c r="A475" s="13"/>
      <c r="B475" s="13"/>
      <c r="C475" s="9"/>
      <c r="D475" s="9"/>
      <c r="E475" s="9"/>
      <c r="F475" s="9"/>
      <c r="G475" s="9"/>
      <c r="H475" s="9"/>
      <c r="I475" s="9"/>
      <c r="J475" s="37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15.75" hidden="false" customHeight="false" outlineLevel="0" collapsed="false">
      <c r="A476" s="13"/>
      <c r="B476" s="13"/>
      <c r="C476" s="9"/>
      <c r="D476" s="9"/>
      <c r="E476" s="9"/>
      <c r="F476" s="9"/>
      <c r="G476" s="9"/>
      <c r="H476" s="9"/>
      <c r="I476" s="9"/>
      <c r="J476" s="37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15.75" hidden="false" customHeight="false" outlineLevel="0" collapsed="false">
      <c r="A477" s="13"/>
      <c r="B477" s="13"/>
      <c r="C477" s="9"/>
      <c r="D477" s="9"/>
      <c r="E477" s="9"/>
      <c r="F477" s="9"/>
      <c r="G477" s="9"/>
      <c r="H477" s="9"/>
      <c r="I477" s="9"/>
      <c r="J477" s="37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15.75" hidden="false" customHeight="false" outlineLevel="0" collapsed="false">
      <c r="A478" s="13"/>
      <c r="B478" s="13"/>
      <c r="C478" s="9"/>
      <c r="D478" s="9"/>
      <c r="E478" s="9"/>
      <c r="F478" s="9"/>
      <c r="G478" s="9"/>
      <c r="H478" s="9"/>
      <c r="I478" s="9"/>
      <c r="J478" s="37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15.75" hidden="false" customHeight="false" outlineLevel="0" collapsed="false">
      <c r="A479" s="13"/>
      <c r="B479" s="13"/>
      <c r="C479" s="9"/>
      <c r="D479" s="9"/>
      <c r="E479" s="9"/>
      <c r="F479" s="9"/>
      <c r="G479" s="9"/>
      <c r="H479" s="9"/>
      <c r="I479" s="9"/>
      <c r="J479" s="37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15.75" hidden="false" customHeight="false" outlineLevel="0" collapsed="false">
      <c r="A480" s="13"/>
      <c r="B480" s="13"/>
      <c r="C480" s="9"/>
      <c r="D480" s="9"/>
      <c r="E480" s="9"/>
      <c r="F480" s="9"/>
      <c r="G480" s="9"/>
      <c r="H480" s="9"/>
      <c r="I480" s="9"/>
      <c r="J480" s="37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15.75" hidden="false" customHeight="false" outlineLevel="0" collapsed="false">
      <c r="A481" s="13"/>
      <c r="B481" s="13"/>
      <c r="C481" s="9"/>
      <c r="D481" s="9"/>
      <c r="E481" s="9"/>
      <c r="F481" s="9"/>
      <c r="G481" s="9"/>
      <c r="H481" s="9"/>
      <c r="I481" s="9"/>
      <c r="J481" s="37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15.75" hidden="false" customHeight="false" outlineLevel="0" collapsed="false">
      <c r="A482" s="13"/>
      <c r="B482" s="13"/>
      <c r="C482" s="9"/>
      <c r="D482" s="9"/>
      <c r="E482" s="9"/>
      <c r="F482" s="9"/>
      <c r="G482" s="9"/>
      <c r="H482" s="9"/>
      <c r="I482" s="9"/>
      <c r="J482" s="37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15.75" hidden="false" customHeight="false" outlineLevel="0" collapsed="false">
      <c r="A483" s="13"/>
      <c r="B483" s="13"/>
      <c r="C483" s="9"/>
      <c r="D483" s="9"/>
      <c r="E483" s="9"/>
      <c r="F483" s="9"/>
      <c r="G483" s="9"/>
      <c r="H483" s="9"/>
      <c r="I483" s="9"/>
      <c r="J483" s="37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15.75" hidden="false" customHeight="false" outlineLevel="0" collapsed="false">
      <c r="A484" s="13"/>
      <c r="B484" s="13"/>
      <c r="C484" s="9"/>
      <c r="D484" s="9"/>
      <c r="E484" s="9"/>
      <c r="F484" s="9"/>
      <c r="G484" s="9"/>
      <c r="H484" s="9"/>
      <c r="I484" s="9"/>
      <c r="J484" s="37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15.75" hidden="false" customHeight="false" outlineLevel="0" collapsed="false">
      <c r="A485" s="13"/>
      <c r="B485" s="13"/>
      <c r="C485" s="9"/>
      <c r="D485" s="9"/>
      <c r="E485" s="9"/>
      <c r="F485" s="9"/>
      <c r="G485" s="9"/>
      <c r="H485" s="9"/>
      <c r="I485" s="9"/>
      <c r="J485" s="37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15.75" hidden="false" customHeight="false" outlineLevel="0" collapsed="false">
      <c r="A486" s="13"/>
      <c r="B486" s="13"/>
      <c r="C486" s="9"/>
      <c r="D486" s="9"/>
      <c r="E486" s="9"/>
      <c r="F486" s="9"/>
      <c r="G486" s="9"/>
      <c r="H486" s="9"/>
      <c r="I486" s="9"/>
      <c r="J486" s="37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15.75" hidden="false" customHeight="false" outlineLevel="0" collapsed="false">
      <c r="A487" s="13"/>
      <c r="B487" s="13"/>
      <c r="C487" s="9"/>
      <c r="D487" s="9"/>
      <c r="E487" s="9"/>
      <c r="F487" s="9"/>
      <c r="G487" s="9"/>
      <c r="H487" s="9"/>
      <c r="I487" s="9"/>
      <c r="J487" s="37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15.75" hidden="false" customHeight="false" outlineLevel="0" collapsed="false">
      <c r="A488" s="13"/>
      <c r="B488" s="13"/>
      <c r="C488" s="9"/>
      <c r="D488" s="9"/>
      <c r="E488" s="9"/>
      <c r="F488" s="9"/>
      <c r="G488" s="9"/>
      <c r="H488" s="9"/>
      <c r="I488" s="9"/>
      <c r="J488" s="37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15.75" hidden="false" customHeight="false" outlineLevel="0" collapsed="false">
      <c r="A489" s="13"/>
      <c r="B489" s="13"/>
      <c r="C489" s="9"/>
      <c r="D489" s="9"/>
      <c r="E489" s="9"/>
      <c r="F489" s="9"/>
      <c r="G489" s="9"/>
      <c r="H489" s="9"/>
      <c r="I489" s="9"/>
      <c r="J489" s="37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15.75" hidden="false" customHeight="false" outlineLevel="0" collapsed="false">
      <c r="A490" s="13"/>
      <c r="B490" s="13"/>
      <c r="C490" s="9"/>
      <c r="D490" s="9"/>
      <c r="E490" s="9"/>
      <c r="F490" s="9"/>
      <c r="G490" s="9"/>
      <c r="H490" s="9"/>
      <c r="I490" s="9"/>
      <c r="J490" s="37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15.75" hidden="false" customHeight="false" outlineLevel="0" collapsed="false">
      <c r="A491" s="13"/>
      <c r="B491" s="13"/>
      <c r="C491" s="9"/>
      <c r="D491" s="9"/>
      <c r="E491" s="9"/>
      <c r="F491" s="9"/>
      <c r="G491" s="9"/>
      <c r="H491" s="9"/>
      <c r="I491" s="9"/>
      <c r="J491" s="37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15.75" hidden="false" customHeight="false" outlineLevel="0" collapsed="false">
      <c r="A492" s="13"/>
      <c r="B492" s="13"/>
      <c r="C492" s="9"/>
      <c r="D492" s="9"/>
      <c r="E492" s="9"/>
      <c r="F492" s="9"/>
      <c r="G492" s="9"/>
      <c r="H492" s="9"/>
      <c r="I492" s="9"/>
      <c r="J492" s="37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15.75" hidden="false" customHeight="false" outlineLevel="0" collapsed="false">
      <c r="A493" s="13"/>
      <c r="B493" s="13"/>
      <c r="C493" s="9"/>
      <c r="D493" s="9"/>
      <c r="E493" s="9"/>
      <c r="F493" s="9"/>
      <c r="G493" s="9"/>
      <c r="H493" s="9"/>
      <c r="I493" s="9"/>
      <c r="J493" s="37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15.75" hidden="false" customHeight="false" outlineLevel="0" collapsed="false">
      <c r="A494" s="13"/>
      <c r="B494" s="13"/>
      <c r="C494" s="9"/>
      <c r="D494" s="9"/>
      <c r="E494" s="9"/>
      <c r="F494" s="9"/>
      <c r="G494" s="9"/>
      <c r="H494" s="9"/>
      <c r="I494" s="9"/>
      <c r="J494" s="37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15.75" hidden="false" customHeight="false" outlineLevel="0" collapsed="false">
      <c r="A495" s="13"/>
      <c r="B495" s="13"/>
      <c r="C495" s="9"/>
      <c r="D495" s="9"/>
      <c r="E495" s="9"/>
      <c r="F495" s="9"/>
      <c r="G495" s="9"/>
      <c r="H495" s="9"/>
      <c r="I495" s="9"/>
      <c r="J495" s="37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15.75" hidden="false" customHeight="false" outlineLevel="0" collapsed="false">
      <c r="A496" s="13"/>
      <c r="B496" s="13"/>
      <c r="C496" s="9"/>
      <c r="D496" s="9"/>
      <c r="E496" s="9"/>
      <c r="F496" s="9"/>
      <c r="G496" s="9"/>
      <c r="H496" s="9"/>
      <c r="I496" s="9"/>
      <c r="J496" s="37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15.75" hidden="false" customHeight="false" outlineLevel="0" collapsed="false">
      <c r="A497" s="13"/>
      <c r="B497" s="13"/>
      <c r="C497" s="9"/>
      <c r="D497" s="9"/>
      <c r="E497" s="9"/>
      <c r="F497" s="9"/>
      <c r="G497" s="9"/>
      <c r="H497" s="9"/>
      <c r="I497" s="9"/>
      <c r="J497" s="37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15.75" hidden="false" customHeight="false" outlineLevel="0" collapsed="false">
      <c r="A498" s="13"/>
      <c r="B498" s="13"/>
      <c r="C498" s="9"/>
      <c r="D498" s="9"/>
      <c r="E498" s="9"/>
      <c r="F498" s="9"/>
      <c r="G498" s="9"/>
      <c r="H498" s="9"/>
      <c r="I498" s="9"/>
      <c r="J498" s="37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15.75" hidden="false" customHeight="false" outlineLevel="0" collapsed="false">
      <c r="A499" s="13"/>
      <c r="B499" s="13"/>
      <c r="C499" s="9"/>
      <c r="D499" s="9"/>
      <c r="E499" s="9"/>
      <c r="F499" s="9"/>
      <c r="G499" s="9"/>
      <c r="H499" s="9"/>
      <c r="I499" s="9"/>
      <c r="J499" s="37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15.75" hidden="false" customHeight="false" outlineLevel="0" collapsed="false">
      <c r="A500" s="13"/>
      <c r="B500" s="13"/>
      <c r="C500" s="9"/>
      <c r="D500" s="9"/>
      <c r="E500" s="9"/>
      <c r="F500" s="9"/>
      <c r="G500" s="9"/>
      <c r="H500" s="9"/>
      <c r="I500" s="9"/>
      <c r="J500" s="37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15.75" hidden="false" customHeight="false" outlineLevel="0" collapsed="false">
      <c r="A501" s="13"/>
      <c r="B501" s="13"/>
      <c r="C501" s="9"/>
      <c r="D501" s="9"/>
      <c r="E501" s="9"/>
      <c r="F501" s="9"/>
      <c r="G501" s="9"/>
      <c r="H501" s="9"/>
      <c r="I501" s="9"/>
      <c r="J501" s="37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15.75" hidden="false" customHeight="false" outlineLevel="0" collapsed="false">
      <c r="A502" s="13"/>
      <c r="B502" s="13"/>
      <c r="C502" s="9"/>
      <c r="D502" s="9"/>
      <c r="E502" s="9"/>
      <c r="F502" s="9"/>
      <c r="G502" s="9"/>
      <c r="H502" s="9"/>
      <c r="I502" s="9"/>
      <c r="J502" s="37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15.75" hidden="false" customHeight="false" outlineLevel="0" collapsed="false">
      <c r="A503" s="13"/>
      <c r="B503" s="13"/>
      <c r="C503" s="9"/>
      <c r="D503" s="9"/>
      <c r="E503" s="9"/>
      <c r="F503" s="9"/>
      <c r="G503" s="9"/>
      <c r="H503" s="9"/>
      <c r="I503" s="9"/>
      <c r="J503" s="37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15.75" hidden="false" customHeight="false" outlineLevel="0" collapsed="false">
      <c r="A504" s="13"/>
      <c r="B504" s="13"/>
      <c r="C504" s="9"/>
      <c r="D504" s="9"/>
      <c r="E504" s="9"/>
      <c r="F504" s="9"/>
      <c r="G504" s="9"/>
      <c r="H504" s="9"/>
      <c r="I504" s="9"/>
      <c r="J504" s="37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15.75" hidden="false" customHeight="false" outlineLevel="0" collapsed="false">
      <c r="A505" s="13"/>
      <c r="B505" s="13"/>
      <c r="C505" s="9"/>
      <c r="D505" s="9"/>
      <c r="E505" s="9"/>
      <c r="F505" s="9"/>
      <c r="G505" s="9"/>
      <c r="H505" s="9"/>
      <c r="I505" s="9"/>
      <c r="J505" s="37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15.75" hidden="false" customHeight="false" outlineLevel="0" collapsed="false">
      <c r="A506" s="13"/>
      <c r="B506" s="13"/>
      <c r="C506" s="9"/>
      <c r="D506" s="9"/>
      <c r="E506" s="9"/>
      <c r="F506" s="9"/>
      <c r="G506" s="9"/>
      <c r="H506" s="9"/>
      <c r="I506" s="9"/>
      <c r="J506" s="37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15.75" hidden="false" customHeight="false" outlineLevel="0" collapsed="false">
      <c r="A507" s="13"/>
      <c r="B507" s="13"/>
      <c r="C507" s="9"/>
      <c r="D507" s="9"/>
      <c r="E507" s="9"/>
      <c r="F507" s="9"/>
      <c r="G507" s="9"/>
      <c r="H507" s="9"/>
      <c r="I507" s="9"/>
      <c r="J507" s="37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15.75" hidden="false" customHeight="false" outlineLevel="0" collapsed="false">
      <c r="A508" s="13"/>
      <c r="B508" s="13"/>
      <c r="C508" s="9"/>
      <c r="D508" s="9"/>
      <c r="E508" s="9"/>
      <c r="F508" s="9"/>
      <c r="G508" s="9"/>
      <c r="H508" s="9"/>
      <c r="I508" s="9"/>
      <c r="J508" s="37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15.75" hidden="false" customHeight="false" outlineLevel="0" collapsed="false">
      <c r="A509" s="13"/>
      <c r="B509" s="13"/>
      <c r="C509" s="9"/>
      <c r="D509" s="9"/>
      <c r="E509" s="9"/>
      <c r="F509" s="9"/>
      <c r="G509" s="9"/>
      <c r="H509" s="9"/>
      <c r="I509" s="9"/>
      <c r="J509" s="37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15.75" hidden="false" customHeight="false" outlineLevel="0" collapsed="false">
      <c r="A510" s="13"/>
      <c r="B510" s="13"/>
      <c r="C510" s="9"/>
      <c r="D510" s="9"/>
      <c r="E510" s="9"/>
      <c r="F510" s="9"/>
      <c r="G510" s="9"/>
      <c r="H510" s="9"/>
      <c r="I510" s="9"/>
      <c r="J510" s="37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15.75" hidden="false" customHeight="false" outlineLevel="0" collapsed="false">
      <c r="A511" s="13"/>
      <c r="B511" s="13"/>
      <c r="C511" s="9"/>
      <c r="D511" s="9"/>
      <c r="E511" s="9"/>
      <c r="F511" s="9"/>
      <c r="G511" s="9"/>
      <c r="H511" s="9"/>
      <c r="I511" s="9"/>
      <c r="J511" s="37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customFormat="false" ht="15.75" hidden="false" customHeight="false" outlineLevel="0" collapsed="false">
      <c r="A512" s="13"/>
      <c r="B512" s="13"/>
      <c r="C512" s="9"/>
      <c r="D512" s="9"/>
      <c r="E512" s="9"/>
      <c r="F512" s="9"/>
      <c r="G512" s="9"/>
      <c r="H512" s="9"/>
      <c r="I512" s="9"/>
      <c r="J512" s="37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customFormat="false" ht="15.75" hidden="false" customHeight="false" outlineLevel="0" collapsed="false">
      <c r="A513" s="13"/>
      <c r="B513" s="13"/>
      <c r="C513" s="9"/>
      <c r="D513" s="9"/>
      <c r="E513" s="9"/>
      <c r="F513" s="9"/>
      <c r="G513" s="9"/>
      <c r="H513" s="9"/>
      <c r="I513" s="9"/>
      <c r="J513" s="37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customFormat="false" ht="15.75" hidden="false" customHeight="false" outlineLevel="0" collapsed="false">
      <c r="A514" s="13"/>
      <c r="B514" s="13"/>
      <c r="C514" s="9"/>
      <c r="D514" s="9"/>
      <c r="E514" s="9"/>
      <c r="F514" s="9"/>
      <c r="G514" s="9"/>
      <c r="H514" s="9"/>
      <c r="I514" s="9"/>
      <c r="J514" s="37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customFormat="false" ht="15.75" hidden="false" customHeight="false" outlineLevel="0" collapsed="false">
      <c r="A515" s="13"/>
      <c r="B515" s="13"/>
      <c r="C515" s="9"/>
      <c r="D515" s="9"/>
      <c r="E515" s="9"/>
      <c r="F515" s="9"/>
      <c r="G515" s="9"/>
      <c r="H515" s="9"/>
      <c r="I515" s="9"/>
      <c r="J515" s="37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customFormat="false" ht="15.75" hidden="false" customHeight="false" outlineLevel="0" collapsed="false">
      <c r="A516" s="13"/>
      <c r="B516" s="13"/>
      <c r="C516" s="9"/>
      <c r="D516" s="9"/>
      <c r="E516" s="9"/>
      <c r="F516" s="9"/>
      <c r="G516" s="9"/>
      <c r="H516" s="9"/>
      <c r="I516" s="9"/>
      <c r="J516" s="37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customFormat="false" ht="15.75" hidden="false" customHeight="false" outlineLevel="0" collapsed="false">
      <c r="A517" s="13"/>
      <c r="B517" s="13"/>
      <c r="C517" s="9"/>
      <c r="D517" s="9"/>
      <c r="E517" s="9"/>
      <c r="F517" s="9"/>
      <c r="G517" s="9"/>
      <c r="H517" s="9"/>
      <c r="I517" s="9"/>
      <c r="J517" s="37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customFormat="false" ht="15.75" hidden="false" customHeight="false" outlineLevel="0" collapsed="false">
      <c r="A518" s="13"/>
      <c r="B518" s="13"/>
      <c r="C518" s="9"/>
      <c r="D518" s="9"/>
      <c r="E518" s="9"/>
      <c r="F518" s="9"/>
      <c r="G518" s="9"/>
      <c r="H518" s="9"/>
      <c r="I518" s="9"/>
      <c r="J518" s="37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customFormat="false" ht="15.75" hidden="false" customHeight="false" outlineLevel="0" collapsed="false">
      <c r="A519" s="13"/>
      <c r="B519" s="13"/>
      <c r="C519" s="9"/>
      <c r="D519" s="9"/>
      <c r="E519" s="9"/>
      <c r="F519" s="9"/>
      <c r="G519" s="9"/>
      <c r="H519" s="9"/>
      <c r="I519" s="9"/>
      <c r="J519" s="37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customFormat="false" ht="15.75" hidden="false" customHeight="false" outlineLevel="0" collapsed="false">
      <c r="A520" s="13"/>
      <c r="B520" s="13"/>
      <c r="C520" s="9"/>
      <c r="D520" s="9"/>
      <c r="E520" s="9"/>
      <c r="F520" s="9"/>
      <c r="G520" s="9"/>
      <c r="H520" s="9"/>
      <c r="I520" s="9"/>
      <c r="J520" s="37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customFormat="false" ht="15.75" hidden="false" customHeight="false" outlineLevel="0" collapsed="false">
      <c r="A521" s="13"/>
      <c r="B521" s="13"/>
      <c r="C521" s="9"/>
      <c r="D521" s="9"/>
      <c r="E521" s="9"/>
      <c r="F521" s="9"/>
      <c r="G521" s="9"/>
      <c r="H521" s="9"/>
      <c r="I521" s="9"/>
      <c r="J521" s="37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customFormat="false" ht="15.75" hidden="false" customHeight="false" outlineLevel="0" collapsed="false">
      <c r="A522" s="13"/>
      <c r="B522" s="13"/>
      <c r="C522" s="9"/>
      <c r="D522" s="9"/>
      <c r="E522" s="9"/>
      <c r="F522" s="9"/>
      <c r="G522" s="9"/>
      <c r="H522" s="9"/>
      <c r="I522" s="9"/>
      <c r="J522" s="37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customFormat="false" ht="15.75" hidden="false" customHeight="false" outlineLevel="0" collapsed="false">
      <c r="A523" s="13"/>
      <c r="B523" s="13"/>
      <c r="C523" s="9"/>
      <c r="D523" s="9"/>
      <c r="E523" s="9"/>
      <c r="F523" s="9"/>
      <c r="G523" s="9"/>
      <c r="H523" s="9"/>
      <c r="I523" s="9"/>
      <c r="J523" s="37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customFormat="false" ht="15.75" hidden="false" customHeight="false" outlineLevel="0" collapsed="false">
      <c r="A524" s="13"/>
      <c r="B524" s="13"/>
      <c r="C524" s="9"/>
      <c r="D524" s="9"/>
      <c r="E524" s="9"/>
      <c r="F524" s="9"/>
      <c r="G524" s="9"/>
      <c r="H524" s="9"/>
      <c r="I524" s="9"/>
      <c r="J524" s="37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customFormat="false" ht="15.75" hidden="false" customHeight="false" outlineLevel="0" collapsed="false">
      <c r="A525" s="13"/>
      <c r="B525" s="13"/>
      <c r="C525" s="9"/>
      <c r="D525" s="9"/>
      <c r="E525" s="9"/>
      <c r="F525" s="9"/>
      <c r="G525" s="9"/>
      <c r="H525" s="9"/>
      <c r="I525" s="9"/>
      <c r="J525" s="37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customFormat="false" ht="15.75" hidden="false" customHeight="false" outlineLevel="0" collapsed="false">
      <c r="A526" s="13"/>
      <c r="B526" s="13"/>
      <c r="C526" s="9"/>
      <c r="D526" s="9"/>
      <c r="E526" s="9"/>
      <c r="F526" s="9"/>
      <c r="G526" s="9"/>
      <c r="H526" s="9"/>
      <c r="I526" s="9"/>
      <c r="J526" s="37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customFormat="false" ht="15.75" hidden="false" customHeight="false" outlineLevel="0" collapsed="false">
      <c r="A527" s="13"/>
      <c r="B527" s="13"/>
      <c r="C527" s="9"/>
      <c r="D527" s="9"/>
      <c r="E527" s="9"/>
      <c r="F527" s="9"/>
      <c r="G527" s="9"/>
      <c r="H527" s="9"/>
      <c r="I527" s="9"/>
      <c r="J527" s="37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customFormat="false" ht="15.75" hidden="false" customHeight="false" outlineLevel="0" collapsed="false">
      <c r="A528" s="13"/>
      <c r="B528" s="13"/>
      <c r="C528" s="9"/>
      <c r="D528" s="9"/>
      <c r="E528" s="9"/>
      <c r="F528" s="9"/>
      <c r="G528" s="9"/>
      <c r="H528" s="9"/>
      <c r="I528" s="9"/>
      <c r="J528" s="37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customFormat="false" ht="15.75" hidden="false" customHeight="false" outlineLevel="0" collapsed="false">
      <c r="A529" s="13"/>
      <c r="B529" s="13"/>
      <c r="C529" s="9"/>
      <c r="D529" s="9"/>
      <c r="E529" s="9"/>
      <c r="F529" s="9"/>
      <c r="G529" s="9"/>
      <c r="H529" s="9"/>
      <c r="I529" s="9"/>
      <c r="J529" s="37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customFormat="false" ht="15.75" hidden="false" customHeight="false" outlineLevel="0" collapsed="false">
      <c r="A530" s="13"/>
      <c r="B530" s="13"/>
      <c r="C530" s="9"/>
      <c r="D530" s="9"/>
      <c r="E530" s="9"/>
      <c r="F530" s="9"/>
      <c r="G530" s="9"/>
      <c r="H530" s="9"/>
      <c r="I530" s="9"/>
      <c r="J530" s="37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customFormat="false" ht="15.75" hidden="false" customHeight="false" outlineLevel="0" collapsed="false">
      <c r="A531" s="13"/>
      <c r="B531" s="13"/>
      <c r="C531" s="9"/>
      <c r="D531" s="9"/>
      <c r="E531" s="9"/>
      <c r="F531" s="9"/>
      <c r="G531" s="9"/>
      <c r="H531" s="9"/>
      <c r="I531" s="9"/>
      <c r="J531" s="37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customFormat="false" ht="15.75" hidden="false" customHeight="false" outlineLevel="0" collapsed="false">
      <c r="A532" s="13"/>
      <c r="B532" s="13"/>
      <c r="C532" s="9"/>
      <c r="D532" s="9"/>
      <c r="E532" s="9"/>
      <c r="F532" s="9"/>
      <c r="G532" s="9"/>
      <c r="H532" s="9"/>
      <c r="I532" s="9"/>
      <c r="J532" s="37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customFormat="false" ht="15.75" hidden="false" customHeight="false" outlineLevel="0" collapsed="false">
      <c r="A533" s="13"/>
      <c r="B533" s="13"/>
      <c r="C533" s="9"/>
      <c r="D533" s="9"/>
      <c r="E533" s="9"/>
      <c r="F533" s="9"/>
      <c r="G533" s="9"/>
      <c r="H533" s="9"/>
      <c r="I533" s="9"/>
      <c r="J533" s="37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customFormat="false" ht="15.75" hidden="false" customHeight="false" outlineLevel="0" collapsed="false">
      <c r="A534" s="13"/>
      <c r="B534" s="13"/>
      <c r="C534" s="9"/>
      <c r="D534" s="9"/>
      <c r="E534" s="9"/>
      <c r="F534" s="9"/>
      <c r="G534" s="9"/>
      <c r="H534" s="9"/>
      <c r="I534" s="9"/>
      <c r="J534" s="37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customFormat="false" ht="15.75" hidden="false" customHeight="false" outlineLevel="0" collapsed="false">
      <c r="A535" s="13"/>
      <c r="B535" s="13"/>
      <c r="C535" s="9"/>
      <c r="D535" s="9"/>
      <c r="E535" s="9"/>
      <c r="F535" s="9"/>
      <c r="G535" s="9"/>
      <c r="H535" s="9"/>
      <c r="I535" s="9"/>
      <c r="J535" s="37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customFormat="false" ht="15.75" hidden="false" customHeight="false" outlineLevel="0" collapsed="false">
      <c r="A536" s="13"/>
      <c r="B536" s="13"/>
      <c r="C536" s="9"/>
      <c r="D536" s="9"/>
      <c r="E536" s="9"/>
      <c r="F536" s="9"/>
      <c r="G536" s="9"/>
      <c r="H536" s="9"/>
      <c r="I536" s="9"/>
      <c r="J536" s="37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customFormat="false" ht="15.75" hidden="false" customHeight="false" outlineLevel="0" collapsed="false">
      <c r="A537" s="13"/>
      <c r="B537" s="13"/>
      <c r="C537" s="9"/>
      <c r="D537" s="9"/>
      <c r="E537" s="9"/>
      <c r="F537" s="9"/>
      <c r="G537" s="9"/>
      <c r="H537" s="9"/>
      <c r="I537" s="9"/>
      <c r="J537" s="37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customFormat="false" ht="15.75" hidden="false" customHeight="false" outlineLevel="0" collapsed="false">
      <c r="A538" s="13"/>
      <c r="B538" s="13"/>
      <c r="C538" s="9"/>
      <c r="D538" s="9"/>
      <c r="E538" s="9"/>
      <c r="F538" s="9"/>
      <c r="G538" s="9"/>
      <c r="H538" s="9"/>
      <c r="I538" s="9"/>
      <c r="J538" s="37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customFormat="false" ht="15.75" hidden="false" customHeight="false" outlineLevel="0" collapsed="false">
      <c r="A539" s="13"/>
      <c r="B539" s="13"/>
      <c r="C539" s="9"/>
      <c r="D539" s="9"/>
      <c r="E539" s="9"/>
      <c r="F539" s="9"/>
      <c r="G539" s="9"/>
      <c r="H539" s="9"/>
      <c r="I539" s="9"/>
      <c r="J539" s="37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customFormat="false" ht="15.75" hidden="false" customHeight="false" outlineLevel="0" collapsed="false">
      <c r="A540" s="13"/>
      <c r="B540" s="13"/>
      <c r="C540" s="9"/>
      <c r="D540" s="9"/>
      <c r="E540" s="9"/>
      <c r="F540" s="9"/>
      <c r="G540" s="9"/>
      <c r="H540" s="9"/>
      <c r="I540" s="9"/>
      <c r="J540" s="37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customFormat="false" ht="15.75" hidden="false" customHeight="false" outlineLevel="0" collapsed="false">
      <c r="A541" s="13"/>
      <c r="B541" s="13"/>
      <c r="C541" s="9"/>
      <c r="D541" s="9"/>
      <c r="E541" s="9"/>
      <c r="F541" s="9"/>
      <c r="G541" s="9"/>
      <c r="H541" s="9"/>
      <c r="I541" s="9"/>
      <c r="J541" s="37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customFormat="false" ht="15.75" hidden="false" customHeight="false" outlineLevel="0" collapsed="false">
      <c r="A542" s="13"/>
      <c r="B542" s="13"/>
      <c r="C542" s="9"/>
      <c r="D542" s="9"/>
      <c r="E542" s="9"/>
      <c r="F542" s="9"/>
      <c r="G542" s="9"/>
      <c r="H542" s="9"/>
      <c r="I542" s="9"/>
      <c r="J542" s="37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customFormat="false" ht="15.75" hidden="false" customHeight="false" outlineLevel="0" collapsed="false">
      <c r="A543" s="13"/>
      <c r="B543" s="13"/>
      <c r="C543" s="9"/>
      <c r="D543" s="9"/>
      <c r="E543" s="9"/>
      <c r="F543" s="9"/>
      <c r="G543" s="9"/>
      <c r="H543" s="9"/>
      <c r="I543" s="9"/>
      <c r="J543" s="37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customFormat="false" ht="15.75" hidden="false" customHeight="false" outlineLevel="0" collapsed="false">
      <c r="A544" s="13"/>
      <c r="B544" s="13"/>
      <c r="C544" s="9"/>
      <c r="D544" s="9"/>
      <c r="E544" s="9"/>
      <c r="F544" s="9"/>
      <c r="G544" s="9"/>
      <c r="H544" s="9"/>
      <c r="I544" s="9"/>
      <c r="J544" s="37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customFormat="false" ht="15.75" hidden="false" customHeight="false" outlineLevel="0" collapsed="false">
      <c r="A545" s="13"/>
      <c r="B545" s="13"/>
      <c r="C545" s="9"/>
      <c r="D545" s="9"/>
      <c r="E545" s="9"/>
      <c r="F545" s="9"/>
      <c r="G545" s="9"/>
      <c r="H545" s="9"/>
      <c r="I545" s="9"/>
      <c r="J545" s="37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customFormat="false" ht="15.75" hidden="false" customHeight="false" outlineLevel="0" collapsed="false">
      <c r="A546" s="13"/>
      <c r="B546" s="13"/>
      <c r="C546" s="9"/>
      <c r="D546" s="9"/>
      <c r="E546" s="9"/>
      <c r="F546" s="9"/>
      <c r="G546" s="9"/>
      <c r="H546" s="9"/>
      <c r="I546" s="9"/>
      <c r="J546" s="37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customFormat="false" ht="15.75" hidden="false" customHeight="false" outlineLevel="0" collapsed="false">
      <c r="A547" s="13"/>
      <c r="B547" s="13"/>
      <c r="C547" s="9"/>
      <c r="D547" s="9"/>
      <c r="E547" s="9"/>
      <c r="F547" s="9"/>
      <c r="G547" s="9"/>
      <c r="H547" s="9"/>
      <c r="I547" s="9"/>
      <c r="J547" s="37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customFormat="false" ht="15.75" hidden="false" customHeight="false" outlineLevel="0" collapsed="false">
      <c r="A548" s="13"/>
      <c r="B548" s="13"/>
      <c r="C548" s="9"/>
      <c r="D548" s="9"/>
      <c r="E548" s="9"/>
      <c r="F548" s="9"/>
      <c r="G548" s="9"/>
      <c r="H548" s="9"/>
      <c r="I548" s="9"/>
      <c r="J548" s="37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customFormat="false" ht="15.75" hidden="false" customHeight="false" outlineLevel="0" collapsed="false">
      <c r="A549" s="13"/>
      <c r="B549" s="13"/>
      <c r="C549" s="9"/>
      <c r="D549" s="9"/>
      <c r="E549" s="9"/>
      <c r="F549" s="9"/>
      <c r="G549" s="9"/>
      <c r="H549" s="9"/>
      <c r="I549" s="9"/>
      <c r="J549" s="37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customFormat="false" ht="15.75" hidden="false" customHeight="false" outlineLevel="0" collapsed="false">
      <c r="A550" s="13"/>
      <c r="B550" s="13"/>
      <c r="C550" s="9"/>
      <c r="D550" s="9"/>
      <c r="E550" s="9"/>
      <c r="F550" s="9"/>
      <c r="G550" s="9"/>
      <c r="H550" s="9"/>
      <c r="I550" s="9"/>
      <c r="J550" s="37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customFormat="false" ht="15.75" hidden="false" customHeight="false" outlineLevel="0" collapsed="false">
      <c r="A551" s="13"/>
      <c r="B551" s="13"/>
      <c r="C551" s="9"/>
      <c r="D551" s="9"/>
      <c r="E551" s="9"/>
      <c r="F551" s="9"/>
      <c r="G551" s="9"/>
      <c r="H551" s="9"/>
      <c r="I551" s="9"/>
      <c r="J551" s="37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customFormat="false" ht="15.75" hidden="false" customHeight="false" outlineLevel="0" collapsed="false">
      <c r="A552" s="13"/>
      <c r="B552" s="13"/>
      <c r="C552" s="9"/>
      <c r="D552" s="9"/>
      <c r="E552" s="9"/>
      <c r="F552" s="9"/>
      <c r="G552" s="9"/>
      <c r="H552" s="9"/>
      <c r="I552" s="9"/>
      <c r="J552" s="37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customFormat="false" ht="15.75" hidden="false" customHeight="false" outlineLevel="0" collapsed="false">
      <c r="A553" s="13"/>
      <c r="B553" s="13"/>
      <c r="C553" s="9"/>
      <c r="D553" s="9"/>
      <c r="E553" s="9"/>
      <c r="F553" s="9"/>
      <c r="G553" s="9"/>
      <c r="H553" s="9"/>
      <c r="I553" s="9"/>
      <c r="J553" s="37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customFormat="false" ht="15.75" hidden="false" customHeight="false" outlineLevel="0" collapsed="false">
      <c r="A554" s="13"/>
      <c r="B554" s="13"/>
      <c r="C554" s="9"/>
      <c r="D554" s="9"/>
      <c r="E554" s="9"/>
      <c r="F554" s="9"/>
      <c r="G554" s="9"/>
      <c r="H554" s="9"/>
      <c r="I554" s="9"/>
      <c r="J554" s="37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customFormat="false" ht="15.75" hidden="false" customHeight="false" outlineLevel="0" collapsed="false">
      <c r="A555" s="13"/>
      <c r="B555" s="13"/>
      <c r="C555" s="9"/>
      <c r="D555" s="9"/>
      <c r="E555" s="9"/>
      <c r="F555" s="9"/>
      <c r="G555" s="9"/>
      <c r="H555" s="9"/>
      <c r="I555" s="9"/>
      <c r="J555" s="37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customFormat="false" ht="15.75" hidden="false" customHeight="false" outlineLevel="0" collapsed="false">
      <c r="A556" s="13"/>
      <c r="B556" s="13"/>
      <c r="C556" s="9"/>
      <c r="D556" s="9"/>
      <c r="E556" s="9"/>
      <c r="F556" s="9"/>
      <c r="G556" s="9"/>
      <c r="H556" s="9"/>
      <c r="I556" s="9"/>
      <c r="J556" s="37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customFormat="false" ht="15.75" hidden="false" customHeight="false" outlineLevel="0" collapsed="false">
      <c r="A557" s="13"/>
      <c r="B557" s="13"/>
      <c r="C557" s="9"/>
      <c r="D557" s="9"/>
      <c r="E557" s="9"/>
      <c r="F557" s="9"/>
      <c r="G557" s="9"/>
      <c r="H557" s="9"/>
      <c r="I557" s="9"/>
      <c r="J557" s="37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customFormat="false" ht="15.75" hidden="false" customHeight="false" outlineLevel="0" collapsed="false">
      <c r="A558" s="13"/>
      <c r="B558" s="13"/>
      <c r="C558" s="9"/>
      <c r="D558" s="9"/>
      <c r="E558" s="9"/>
      <c r="F558" s="9"/>
      <c r="G558" s="9"/>
      <c r="H558" s="9"/>
      <c r="I558" s="9"/>
      <c r="J558" s="37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customFormat="false" ht="15.75" hidden="false" customHeight="false" outlineLevel="0" collapsed="false">
      <c r="A559" s="13"/>
      <c r="B559" s="13"/>
      <c r="C559" s="9"/>
      <c r="D559" s="9"/>
      <c r="E559" s="9"/>
      <c r="F559" s="9"/>
      <c r="G559" s="9"/>
      <c r="H559" s="9"/>
      <c r="I559" s="9"/>
      <c r="J559" s="37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customFormat="false" ht="15.75" hidden="false" customHeight="false" outlineLevel="0" collapsed="false">
      <c r="A560" s="13"/>
      <c r="B560" s="13"/>
      <c r="C560" s="9"/>
      <c r="D560" s="9"/>
      <c r="E560" s="9"/>
      <c r="F560" s="9"/>
      <c r="G560" s="9"/>
      <c r="H560" s="9"/>
      <c r="I560" s="9"/>
      <c r="J560" s="37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customFormat="false" ht="15.75" hidden="false" customHeight="false" outlineLevel="0" collapsed="false">
      <c r="A561" s="13"/>
      <c r="B561" s="13"/>
      <c r="C561" s="9"/>
      <c r="D561" s="9"/>
      <c r="E561" s="9"/>
      <c r="F561" s="9"/>
      <c r="G561" s="9"/>
      <c r="H561" s="9"/>
      <c r="I561" s="9"/>
      <c r="J561" s="37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customFormat="false" ht="15.75" hidden="false" customHeight="false" outlineLevel="0" collapsed="false">
      <c r="A562" s="13"/>
      <c r="B562" s="13"/>
      <c r="C562" s="9"/>
      <c r="D562" s="9"/>
      <c r="E562" s="9"/>
      <c r="F562" s="9"/>
      <c r="G562" s="9"/>
      <c r="H562" s="9"/>
      <c r="I562" s="9"/>
      <c r="J562" s="37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customFormat="false" ht="15.75" hidden="false" customHeight="false" outlineLevel="0" collapsed="false">
      <c r="A563" s="13"/>
      <c r="B563" s="13"/>
      <c r="C563" s="9"/>
      <c r="D563" s="9"/>
      <c r="E563" s="9"/>
      <c r="F563" s="9"/>
      <c r="G563" s="9"/>
      <c r="H563" s="9"/>
      <c r="I563" s="9"/>
      <c r="J563" s="37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customFormat="false" ht="15.75" hidden="false" customHeight="false" outlineLevel="0" collapsed="false">
      <c r="A564" s="13"/>
      <c r="B564" s="13"/>
      <c r="C564" s="9"/>
      <c r="D564" s="9"/>
      <c r="E564" s="9"/>
      <c r="F564" s="9"/>
      <c r="G564" s="9"/>
      <c r="H564" s="9"/>
      <c r="I564" s="9"/>
      <c r="J564" s="37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customFormat="false" ht="15.75" hidden="false" customHeight="false" outlineLevel="0" collapsed="false">
      <c r="A565" s="13"/>
      <c r="B565" s="13"/>
      <c r="C565" s="9"/>
      <c r="D565" s="9"/>
      <c r="E565" s="9"/>
      <c r="F565" s="9"/>
      <c r="G565" s="9"/>
      <c r="H565" s="9"/>
      <c r="I565" s="9"/>
      <c r="J565" s="37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customFormat="false" ht="15.75" hidden="false" customHeight="false" outlineLevel="0" collapsed="false">
      <c r="A566" s="13"/>
      <c r="B566" s="13"/>
      <c r="C566" s="9"/>
      <c r="D566" s="9"/>
      <c r="E566" s="9"/>
      <c r="F566" s="9"/>
      <c r="G566" s="9"/>
      <c r="H566" s="9"/>
      <c r="I566" s="9"/>
      <c r="J566" s="37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customFormat="false" ht="15.75" hidden="false" customHeight="false" outlineLevel="0" collapsed="false">
      <c r="A567" s="13"/>
      <c r="B567" s="13"/>
      <c r="C567" s="9"/>
      <c r="D567" s="9"/>
      <c r="E567" s="9"/>
      <c r="F567" s="9"/>
      <c r="G567" s="9"/>
      <c r="H567" s="9"/>
      <c r="I567" s="9"/>
      <c r="J567" s="37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customFormat="false" ht="15.75" hidden="false" customHeight="false" outlineLevel="0" collapsed="false">
      <c r="A568" s="13"/>
      <c r="B568" s="13"/>
      <c r="C568" s="9"/>
      <c r="D568" s="9"/>
      <c r="E568" s="9"/>
      <c r="F568" s="9"/>
      <c r="G568" s="9"/>
      <c r="H568" s="9"/>
      <c r="I568" s="9"/>
      <c r="J568" s="37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customFormat="false" ht="15.75" hidden="false" customHeight="false" outlineLevel="0" collapsed="false">
      <c r="A569" s="13"/>
      <c r="B569" s="13"/>
      <c r="C569" s="9"/>
      <c r="D569" s="9"/>
      <c r="E569" s="9"/>
      <c r="F569" s="9"/>
      <c r="G569" s="9"/>
      <c r="H569" s="9"/>
      <c r="I569" s="9"/>
      <c r="J569" s="37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customFormat="false" ht="15.75" hidden="false" customHeight="false" outlineLevel="0" collapsed="false">
      <c r="A570" s="13"/>
      <c r="B570" s="13"/>
      <c r="C570" s="9"/>
      <c r="D570" s="9"/>
      <c r="E570" s="9"/>
      <c r="F570" s="9"/>
      <c r="G570" s="9"/>
      <c r="H570" s="9"/>
      <c r="I570" s="9"/>
      <c r="J570" s="37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customFormat="false" ht="15.75" hidden="false" customHeight="false" outlineLevel="0" collapsed="false">
      <c r="A571" s="13"/>
      <c r="B571" s="13"/>
      <c r="C571" s="9"/>
      <c r="D571" s="9"/>
      <c r="E571" s="9"/>
      <c r="F571" s="9"/>
      <c r="G571" s="9"/>
      <c r="H571" s="9"/>
      <c r="I571" s="9"/>
      <c r="J571" s="37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customFormat="false" ht="15.75" hidden="false" customHeight="false" outlineLevel="0" collapsed="false">
      <c r="A572" s="13"/>
      <c r="B572" s="13"/>
      <c r="C572" s="9"/>
      <c r="D572" s="9"/>
      <c r="E572" s="9"/>
      <c r="F572" s="9"/>
      <c r="G572" s="9"/>
      <c r="H572" s="9"/>
      <c r="I572" s="9"/>
      <c r="J572" s="37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customFormat="false" ht="15.75" hidden="false" customHeight="false" outlineLevel="0" collapsed="false">
      <c r="A573" s="13"/>
      <c r="B573" s="13"/>
      <c r="C573" s="9"/>
      <c r="D573" s="9"/>
      <c r="E573" s="9"/>
      <c r="F573" s="9"/>
      <c r="G573" s="9"/>
      <c r="H573" s="9"/>
      <c r="I573" s="9"/>
      <c r="J573" s="37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customFormat="false" ht="15.75" hidden="false" customHeight="false" outlineLevel="0" collapsed="false">
      <c r="A574" s="13"/>
      <c r="B574" s="13"/>
      <c r="C574" s="9"/>
      <c r="D574" s="9"/>
      <c r="E574" s="9"/>
      <c r="F574" s="9"/>
      <c r="G574" s="9"/>
      <c r="H574" s="9"/>
      <c r="I574" s="9"/>
      <c r="J574" s="37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customFormat="false" ht="15.75" hidden="false" customHeight="false" outlineLevel="0" collapsed="false">
      <c r="A575" s="13"/>
      <c r="B575" s="13"/>
      <c r="C575" s="9"/>
      <c r="D575" s="9"/>
      <c r="E575" s="9"/>
      <c r="F575" s="9"/>
      <c r="G575" s="9"/>
      <c r="H575" s="9"/>
      <c r="I575" s="9"/>
      <c r="J575" s="37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customFormat="false" ht="15.75" hidden="false" customHeight="false" outlineLevel="0" collapsed="false">
      <c r="A576" s="13"/>
      <c r="B576" s="13"/>
      <c r="C576" s="9"/>
      <c r="D576" s="9"/>
      <c r="E576" s="9"/>
      <c r="F576" s="9"/>
      <c r="G576" s="9"/>
      <c r="H576" s="9"/>
      <c r="I576" s="9"/>
      <c r="J576" s="37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customFormat="false" ht="15.75" hidden="false" customHeight="false" outlineLevel="0" collapsed="false">
      <c r="A577" s="13"/>
      <c r="B577" s="13"/>
      <c r="C577" s="9"/>
      <c r="D577" s="9"/>
      <c r="E577" s="9"/>
      <c r="F577" s="9"/>
      <c r="G577" s="9"/>
      <c r="H577" s="9"/>
      <c r="I577" s="9"/>
      <c r="J577" s="37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customFormat="false" ht="15.75" hidden="false" customHeight="false" outlineLevel="0" collapsed="false">
      <c r="A578" s="13"/>
      <c r="B578" s="13"/>
      <c r="C578" s="9"/>
      <c r="D578" s="9"/>
      <c r="E578" s="9"/>
      <c r="F578" s="9"/>
      <c r="G578" s="9"/>
      <c r="H578" s="9"/>
      <c r="I578" s="9"/>
      <c r="J578" s="37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customFormat="false" ht="15.75" hidden="false" customHeight="false" outlineLevel="0" collapsed="false">
      <c r="A579" s="13"/>
      <c r="B579" s="13"/>
      <c r="C579" s="9"/>
      <c r="D579" s="9"/>
      <c r="E579" s="9"/>
      <c r="F579" s="9"/>
      <c r="G579" s="9"/>
      <c r="H579" s="9"/>
      <c r="I579" s="9"/>
      <c r="J579" s="37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customFormat="false" ht="15.75" hidden="false" customHeight="false" outlineLevel="0" collapsed="false">
      <c r="A580" s="13"/>
      <c r="B580" s="13"/>
      <c r="C580" s="9"/>
      <c r="D580" s="9"/>
      <c r="E580" s="9"/>
      <c r="F580" s="9"/>
      <c r="G580" s="9"/>
      <c r="H580" s="9"/>
      <c r="I580" s="9"/>
      <c r="J580" s="37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customFormat="false" ht="15.75" hidden="false" customHeight="false" outlineLevel="0" collapsed="false">
      <c r="A581" s="13"/>
      <c r="B581" s="13"/>
      <c r="C581" s="9"/>
      <c r="D581" s="9"/>
      <c r="E581" s="9"/>
      <c r="F581" s="9"/>
      <c r="G581" s="9"/>
      <c r="H581" s="9"/>
      <c r="I581" s="9"/>
      <c r="J581" s="37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customFormat="false" ht="15.75" hidden="false" customHeight="false" outlineLevel="0" collapsed="false">
      <c r="A582" s="13"/>
      <c r="B582" s="13"/>
      <c r="C582" s="9"/>
      <c r="D582" s="9"/>
      <c r="E582" s="9"/>
      <c r="F582" s="9"/>
      <c r="G582" s="9"/>
      <c r="H582" s="9"/>
      <c r="I582" s="9"/>
      <c r="J582" s="37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customFormat="false" ht="15.75" hidden="false" customHeight="false" outlineLevel="0" collapsed="false">
      <c r="A583" s="13"/>
      <c r="B583" s="13"/>
      <c r="C583" s="9"/>
      <c r="D583" s="9"/>
      <c r="E583" s="9"/>
      <c r="F583" s="9"/>
      <c r="G583" s="9"/>
      <c r="H583" s="9"/>
      <c r="I583" s="9"/>
      <c r="J583" s="37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customFormat="false" ht="15.75" hidden="false" customHeight="false" outlineLevel="0" collapsed="false">
      <c r="A584" s="13"/>
      <c r="B584" s="13"/>
      <c r="C584" s="9"/>
      <c r="D584" s="9"/>
      <c r="E584" s="9"/>
      <c r="F584" s="9"/>
      <c r="G584" s="9"/>
      <c r="H584" s="9"/>
      <c r="I584" s="9"/>
      <c r="J584" s="37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customFormat="false" ht="15.75" hidden="false" customHeight="false" outlineLevel="0" collapsed="false">
      <c r="A585" s="13"/>
      <c r="B585" s="13"/>
      <c r="C585" s="9"/>
      <c r="D585" s="9"/>
      <c r="E585" s="9"/>
      <c r="F585" s="9"/>
      <c r="G585" s="9"/>
      <c r="H585" s="9"/>
      <c r="I585" s="9"/>
      <c r="J585" s="37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customFormat="false" ht="15.75" hidden="false" customHeight="false" outlineLevel="0" collapsed="false">
      <c r="A586" s="13"/>
      <c r="B586" s="13"/>
      <c r="C586" s="9"/>
      <c r="D586" s="9"/>
      <c r="E586" s="9"/>
      <c r="F586" s="9"/>
      <c r="G586" s="9"/>
      <c r="H586" s="9"/>
      <c r="I586" s="9"/>
      <c r="J586" s="37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customFormat="false" ht="15.75" hidden="false" customHeight="false" outlineLevel="0" collapsed="false">
      <c r="A587" s="13"/>
      <c r="B587" s="13"/>
      <c r="C587" s="9"/>
      <c r="D587" s="9"/>
      <c r="E587" s="9"/>
      <c r="F587" s="9"/>
      <c r="G587" s="9"/>
      <c r="H587" s="9"/>
      <c r="I587" s="9"/>
      <c r="J587" s="37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customFormat="false" ht="15.75" hidden="false" customHeight="false" outlineLevel="0" collapsed="false">
      <c r="A588" s="13"/>
      <c r="B588" s="13"/>
      <c r="C588" s="9"/>
      <c r="D588" s="9"/>
      <c r="E588" s="9"/>
      <c r="F588" s="9"/>
      <c r="G588" s="9"/>
      <c r="H588" s="9"/>
      <c r="I588" s="9"/>
      <c r="J588" s="37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customFormat="false" ht="15.75" hidden="false" customHeight="false" outlineLevel="0" collapsed="false">
      <c r="A589" s="13"/>
      <c r="B589" s="13"/>
      <c r="C589" s="9"/>
      <c r="D589" s="9"/>
      <c r="E589" s="9"/>
      <c r="F589" s="9"/>
      <c r="G589" s="9"/>
      <c r="H589" s="9"/>
      <c r="I589" s="9"/>
      <c r="J589" s="37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customFormat="false" ht="15.75" hidden="false" customHeight="false" outlineLevel="0" collapsed="false">
      <c r="A590" s="13"/>
      <c r="B590" s="13"/>
      <c r="C590" s="9"/>
      <c r="D590" s="9"/>
      <c r="E590" s="9"/>
      <c r="F590" s="9"/>
      <c r="G590" s="9"/>
      <c r="H590" s="9"/>
      <c r="I590" s="9"/>
      <c r="J590" s="37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customFormat="false" ht="15.75" hidden="false" customHeight="false" outlineLevel="0" collapsed="false">
      <c r="A591" s="13"/>
      <c r="B591" s="13"/>
      <c r="C591" s="9"/>
      <c r="D591" s="9"/>
      <c r="E591" s="9"/>
      <c r="F591" s="9"/>
      <c r="G591" s="9"/>
      <c r="H591" s="9"/>
      <c r="I591" s="9"/>
      <c r="J591" s="37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customFormat="false" ht="15.75" hidden="false" customHeight="false" outlineLevel="0" collapsed="false">
      <c r="A592" s="13"/>
      <c r="B592" s="13"/>
      <c r="C592" s="9"/>
      <c r="D592" s="9"/>
      <c r="E592" s="9"/>
      <c r="F592" s="9"/>
      <c r="G592" s="9"/>
      <c r="H592" s="9"/>
      <c r="I592" s="9"/>
      <c r="J592" s="37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customFormat="false" ht="15.75" hidden="false" customHeight="false" outlineLevel="0" collapsed="false">
      <c r="A593" s="13"/>
      <c r="B593" s="13"/>
      <c r="C593" s="9"/>
      <c r="D593" s="9"/>
      <c r="E593" s="9"/>
      <c r="F593" s="9"/>
      <c r="G593" s="9"/>
      <c r="H593" s="9"/>
      <c r="I593" s="9"/>
      <c r="J593" s="37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customFormat="false" ht="15.75" hidden="false" customHeight="false" outlineLevel="0" collapsed="false">
      <c r="A594" s="13"/>
      <c r="B594" s="13"/>
      <c r="C594" s="9"/>
      <c r="D594" s="9"/>
      <c r="E594" s="9"/>
      <c r="F594" s="9"/>
      <c r="G594" s="9"/>
      <c r="H594" s="9"/>
      <c r="I594" s="9"/>
      <c r="J594" s="37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customFormat="false" ht="15.75" hidden="false" customHeight="false" outlineLevel="0" collapsed="false">
      <c r="A595" s="13"/>
      <c r="B595" s="13"/>
      <c r="C595" s="9"/>
      <c r="D595" s="9"/>
      <c r="E595" s="9"/>
      <c r="F595" s="9"/>
      <c r="G595" s="9"/>
      <c r="H595" s="9"/>
      <c r="I595" s="9"/>
      <c r="J595" s="37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customFormat="false" ht="15.75" hidden="false" customHeight="false" outlineLevel="0" collapsed="false">
      <c r="A596" s="13"/>
      <c r="B596" s="13"/>
      <c r="C596" s="9"/>
      <c r="D596" s="9"/>
      <c r="E596" s="9"/>
      <c r="F596" s="9"/>
      <c r="G596" s="9"/>
      <c r="H596" s="9"/>
      <c r="I596" s="9"/>
      <c r="J596" s="37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customFormat="false" ht="15.75" hidden="false" customHeight="false" outlineLevel="0" collapsed="false">
      <c r="A597" s="13"/>
      <c r="B597" s="13"/>
      <c r="C597" s="9"/>
      <c r="D597" s="9"/>
      <c r="E597" s="9"/>
      <c r="F597" s="9"/>
      <c r="G597" s="9"/>
      <c r="H597" s="9"/>
      <c r="I597" s="9"/>
      <c r="J597" s="37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customFormat="false" ht="15.75" hidden="false" customHeight="false" outlineLevel="0" collapsed="false">
      <c r="A598" s="13"/>
      <c r="B598" s="13"/>
      <c r="C598" s="9"/>
      <c r="D598" s="9"/>
      <c r="E598" s="9"/>
      <c r="F598" s="9"/>
      <c r="G598" s="9"/>
      <c r="H598" s="9"/>
      <c r="I598" s="9"/>
      <c r="J598" s="37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customFormat="false" ht="15.75" hidden="false" customHeight="false" outlineLevel="0" collapsed="false">
      <c r="A599" s="13"/>
      <c r="B599" s="13"/>
      <c r="C599" s="9"/>
      <c r="D599" s="9"/>
      <c r="E599" s="9"/>
      <c r="F599" s="9"/>
      <c r="G599" s="9"/>
      <c r="H599" s="9"/>
      <c r="I599" s="9"/>
      <c r="J599" s="37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customFormat="false" ht="15.75" hidden="false" customHeight="false" outlineLevel="0" collapsed="false">
      <c r="A600" s="13"/>
      <c r="B600" s="13"/>
      <c r="C600" s="9"/>
      <c r="D600" s="9"/>
      <c r="E600" s="9"/>
      <c r="F600" s="9"/>
      <c r="G600" s="9"/>
      <c r="H600" s="9"/>
      <c r="I600" s="9"/>
      <c r="J600" s="37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customFormat="false" ht="15.75" hidden="false" customHeight="false" outlineLevel="0" collapsed="false">
      <c r="A601" s="13"/>
      <c r="B601" s="13"/>
      <c r="C601" s="9"/>
      <c r="D601" s="9"/>
      <c r="E601" s="9"/>
      <c r="F601" s="9"/>
      <c r="G601" s="9"/>
      <c r="H601" s="9"/>
      <c r="I601" s="9"/>
      <c r="J601" s="37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customFormat="false" ht="15.75" hidden="false" customHeight="false" outlineLevel="0" collapsed="false">
      <c r="A602" s="13"/>
      <c r="B602" s="13"/>
      <c r="C602" s="9"/>
      <c r="D602" s="9"/>
      <c r="E602" s="9"/>
      <c r="F602" s="9"/>
      <c r="G602" s="9"/>
      <c r="H602" s="9"/>
      <c r="I602" s="9"/>
      <c r="J602" s="37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customFormat="false" ht="15.75" hidden="false" customHeight="false" outlineLevel="0" collapsed="false">
      <c r="A603" s="13"/>
      <c r="B603" s="13"/>
      <c r="C603" s="9"/>
      <c r="D603" s="9"/>
      <c r="E603" s="9"/>
      <c r="F603" s="9"/>
      <c r="G603" s="9"/>
      <c r="H603" s="9"/>
      <c r="I603" s="9"/>
      <c r="J603" s="37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customFormat="false" ht="15.75" hidden="false" customHeight="false" outlineLevel="0" collapsed="false">
      <c r="A604" s="13"/>
      <c r="B604" s="13"/>
      <c r="C604" s="9"/>
      <c r="D604" s="9"/>
      <c r="E604" s="9"/>
      <c r="F604" s="9"/>
      <c r="G604" s="9"/>
      <c r="H604" s="9"/>
      <c r="I604" s="9"/>
      <c r="J604" s="37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customFormat="false" ht="15.75" hidden="false" customHeight="false" outlineLevel="0" collapsed="false">
      <c r="A605" s="13"/>
      <c r="B605" s="13"/>
      <c r="C605" s="9"/>
      <c r="D605" s="9"/>
      <c r="E605" s="9"/>
      <c r="F605" s="9"/>
      <c r="G605" s="9"/>
      <c r="H605" s="9"/>
      <c r="I605" s="9"/>
      <c r="J605" s="37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customFormat="false" ht="15.75" hidden="false" customHeight="false" outlineLevel="0" collapsed="false">
      <c r="A606" s="13"/>
      <c r="B606" s="13"/>
      <c r="C606" s="9"/>
      <c r="D606" s="9"/>
      <c r="E606" s="9"/>
      <c r="F606" s="9"/>
      <c r="G606" s="9"/>
      <c r="H606" s="9"/>
      <c r="I606" s="9"/>
      <c r="J606" s="37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customFormat="false" ht="15.75" hidden="false" customHeight="false" outlineLevel="0" collapsed="false">
      <c r="A607" s="13"/>
      <c r="B607" s="13"/>
      <c r="C607" s="9"/>
      <c r="D607" s="9"/>
      <c r="E607" s="9"/>
      <c r="F607" s="9"/>
      <c r="G607" s="9"/>
      <c r="H607" s="9"/>
      <c r="I607" s="9"/>
      <c r="J607" s="37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customFormat="false" ht="15.75" hidden="false" customHeight="false" outlineLevel="0" collapsed="false">
      <c r="A608" s="13"/>
      <c r="B608" s="13"/>
      <c r="C608" s="9"/>
      <c r="D608" s="9"/>
      <c r="E608" s="9"/>
      <c r="F608" s="9"/>
      <c r="G608" s="9"/>
      <c r="H608" s="9"/>
      <c r="I608" s="9"/>
      <c r="J608" s="37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customFormat="false" ht="15.75" hidden="false" customHeight="false" outlineLevel="0" collapsed="false">
      <c r="A609" s="13"/>
      <c r="B609" s="13"/>
      <c r="C609" s="9"/>
      <c r="D609" s="9"/>
      <c r="E609" s="9"/>
      <c r="F609" s="9"/>
      <c r="G609" s="9"/>
      <c r="H609" s="9"/>
      <c r="I609" s="9"/>
      <c r="J609" s="37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customFormat="false" ht="15.75" hidden="false" customHeight="false" outlineLevel="0" collapsed="false">
      <c r="A610" s="13"/>
      <c r="B610" s="13"/>
      <c r="C610" s="9"/>
      <c r="D610" s="9"/>
      <c r="E610" s="9"/>
      <c r="F610" s="9"/>
      <c r="G610" s="9"/>
      <c r="H610" s="9"/>
      <c r="I610" s="9"/>
      <c r="J610" s="37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customFormat="false" ht="15.75" hidden="false" customHeight="false" outlineLevel="0" collapsed="false">
      <c r="A611" s="13"/>
      <c r="B611" s="13"/>
      <c r="C611" s="9"/>
      <c r="D611" s="9"/>
      <c r="E611" s="9"/>
      <c r="F611" s="9"/>
      <c r="G611" s="9"/>
      <c r="H611" s="9"/>
      <c r="I611" s="9"/>
      <c r="J611" s="37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customFormat="false" ht="15.75" hidden="false" customHeight="false" outlineLevel="0" collapsed="false">
      <c r="A612" s="13"/>
      <c r="B612" s="13"/>
      <c r="C612" s="9"/>
      <c r="D612" s="9"/>
      <c r="E612" s="9"/>
      <c r="F612" s="9"/>
      <c r="G612" s="9"/>
      <c r="H612" s="9"/>
      <c r="I612" s="9"/>
      <c r="J612" s="37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customFormat="false" ht="15.75" hidden="false" customHeight="false" outlineLevel="0" collapsed="false">
      <c r="A613" s="13"/>
      <c r="B613" s="13"/>
      <c r="C613" s="9"/>
      <c r="D613" s="9"/>
      <c r="E613" s="9"/>
      <c r="F613" s="9"/>
      <c r="G613" s="9"/>
      <c r="H613" s="9"/>
      <c r="I613" s="9"/>
      <c r="J613" s="37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customFormat="false" ht="15.75" hidden="false" customHeight="false" outlineLevel="0" collapsed="false">
      <c r="A614" s="13"/>
      <c r="B614" s="13"/>
      <c r="C614" s="9"/>
      <c r="D614" s="9"/>
      <c r="E614" s="9"/>
      <c r="F614" s="9"/>
      <c r="G614" s="9"/>
      <c r="H614" s="9"/>
      <c r="I614" s="9"/>
      <c r="J614" s="37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customFormat="false" ht="15.75" hidden="false" customHeight="false" outlineLevel="0" collapsed="false">
      <c r="A615" s="13"/>
      <c r="B615" s="13"/>
      <c r="C615" s="9"/>
      <c r="D615" s="9"/>
      <c r="E615" s="9"/>
      <c r="F615" s="9"/>
      <c r="G615" s="9"/>
      <c r="H615" s="9"/>
      <c r="I615" s="9"/>
      <c r="J615" s="37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customFormat="false" ht="15.75" hidden="false" customHeight="false" outlineLevel="0" collapsed="false">
      <c r="A616" s="13"/>
      <c r="B616" s="13"/>
      <c r="C616" s="9"/>
      <c r="D616" s="9"/>
      <c r="E616" s="9"/>
      <c r="F616" s="9"/>
      <c r="G616" s="9"/>
      <c r="H616" s="9"/>
      <c r="I616" s="9"/>
      <c r="J616" s="37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customFormat="false" ht="15.75" hidden="false" customHeight="false" outlineLevel="0" collapsed="false">
      <c r="A617" s="13"/>
      <c r="B617" s="13"/>
      <c r="C617" s="9"/>
      <c r="D617" s="9"/>
      <c r="E617" s="9"/>
      <c r="F617" s="9"/>
      <c r="G617" s="9"/>
      <c r="H617" s="9"/>
      <c r="I617" s="9"/>
      <c r="J617" s="37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customFormat="false" ht="15.75" hidden="false" customHeight="false" outlineLevel="0" collapsed="false">
      <c r="A618" s="13"/>
      <c r="B618" s="13"/>
      <c r="C618" s="9"/>
      <c r="D618" s="9"/>
      <c r="E618" s="9"/>
      <c r="F618" s="9"/>
      <c r="G618" s="9"/>
      <c r="H618" s="9"/>
      <c r="I618" s="9"/>
      <c r="J618" s="37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customFormat="false" ht="15.75" hidden="false" customHeight="false" outlineLevel="0" collapsed="false">
      <c r="A619" s="13"/>
      <c r="B619" s="13"/>
      <c r="C619" s="9"/>
      <c r="D619" s="9"/>
      <c r="E619" s="9"/>
      <c r="F619" s="9"/>
      <c r="G619" s="9"/>
      <c r="H619" s="9"/>
      <c r="I619" s="9"/>
      <c r="J619" s="37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customFormat="false" ht="15.75" hidden="false" customHeight="false" outlineLevel="0" collapsed="false">
      <c r="A620" s="13"/>
      <c r="B620" s="13"/>
      <c r="C620" s="9"/>
      <c r="D620" s="9"/>
      <c r="E620" s="9"/>
      <c r="F620" s="9"/>
      <c r="G620" s="9"/>
      <c r="H620" s="9"/>
      <c r="I620" s="9"/>
      <c r="J620" s="37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customFormat="false" ht="15.75" hidden="false" customHeight="false" outlineLevel="0" collapsed="false">
      <c r="A621" s="13"/>
      <c r="B621" s="13"/>
      <c r="C621" s="9"/>
      <c r="D621" s="9"/>
      <c r="E621" s="9"/>
      <c r="F621" s="9"/>
      <c r="G621" s="9"/>
      <c r="H621" s="9"/>
      <c r="I621" s="9"/>
      <c r="J621" s="37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customFormat="false" ht="15.75" hidden="false" customHeight="false" outlineLevel="0" collapsed="false">
      <c r="A622" s="13"/>
      <c r="B622" s="13"/>
      <c r="C622" s="9"/>
      <c r="D622" s="9"/>
      <c r="E622" s="9"/>
      <c r="F622" s="9"/>
      <c r="G622" s="9"/>
      <c r="H622" s="9"/>
      <c r="I622" s="9"/>
      <c r="J622" s="37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customFormat="false" ht="15.75" hidden="false" customHeight="false" outlineLevel="0" collapsed="false">
      <c r="A623" s="13"/>
      <c r="B623" s="13"/>
      <c r="C623" s="9"/>
      <c r="D623" s="9"/>
      <c r="E623" s="9"/>
      <c r="F623" s="9"/>
      <c r="G623" s="9"/>
      <c r="H623" s="9"/>
      <c r="I623" s="9"/>
      <c r="J623" s="37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customFormat="false" ht="15.75" hidden="false" customHeight="false" outlineLevel="0" collapsed="false">
      <c r="A624" s="13"/>
      <c r="B624" s="13"/>
      <c r="C624" s="9"/>
      <c r="D624" s="9"/>
      <c r="E624" s="9"/>
      <c r="F624" s="9"/>
      <c r="G624" s="9"/>
      <c r="H624" s="9"/>
      <c r="I624" s="9"/>
      <c r="J624" s="37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customFormat="false" ht="15.75" hidden="false" customHeight="false" outlineLevel="0" collapsed="false">
      <c r="A625" s="13"/>
      <c r="B625" s="13"/>
      <c r="C625" s="9"/>
      <c r="D625" s="9"/>
      <c r="E625" s="9"/>
      <c r="F625" s="9"/>
      <c r="G625" s="9"/>
      <c r="H625" s="9"/>
      <c r="I625" s="9"/>
      <c r="J625" s="37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customFormat="false" ht="15.75" hidden="false" customHeight="false" outlineLevel="0" collapsed="false">
      <c r="A626" s="13"/>
      <c r="B626" s="13"/>
      <c r="C626" s="9"/>
      <c r="D626" s="9"/>
      <c r="E626" s="9"/>
      <c r="F626" s="9"/>
      <c r="G626" s="9"/>
      <c r="H626" s="9"/>
      <c r="I626" s="9"/>
      <c r="J626" s="37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customFormat="false" ht="15.75" hidden="false" customHeight="false" outlineLevel="0" collapsed="false">
      <c r="A627" s="13"/>
      <c r="B627" s="13"/>
      <c r="C627" s="9"/>
      <c r="D627" s="9"/>
      <c r="E627" s="9"/>
      <c r="F627" s="9"/>
      <c r="G627" s="9"/>
      <c r="H627" s="9"/>
      <c r="I627" s="9"/>
      <c r="J627" s="37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customFormat="false" ht="15.75" hidden="false" customHeight="false" outlineLevel="0" collapsed="false">
      <c r="A628" s="13"/>
      <c r="B628" s="13"/>
      <c r="C628" s="9"/>
      <c r="D628" s="9"/>
      <c r="E628" s="9"/>
      <c r="F628" s="9"/>
      <c r="G628" s="9"/>
      <c r="H628" s="9"/>
      <c r="I628" s="9"/>
      <c r="J628" s="37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customFormat="false" ht="15.75" hidden="false" customHeight="false" outlineLevel="0" collapsed="false">
      <c r="A629" s="13"/>
      <c r="B629" s="13"/>
      <c r="C629" s="9"/>
      <c r="D629" s="9"/>
      <c r="E629" s="9"/>
      <c r="F629" s="9"/>
      <c r="G629" s="9"/>
      <c r="H629" s="9"/>
      <c r="I629" s="9"/>
      <c r="J629" s="37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customFormat="false" ht="15.75" hidden="false" customHeight="false" outlineLevel="0" collapsed="false">
      <c r="A630" s="13"/>
      <c r="B630" s="13"/>
      <c r="C630" s="9"/>
      <c r="D630" s="9"/>
      <c r="E630" s="9"/>
      <c r="F630" s="9"/>
      <c r="G630" s="9"/>
      <c r="H630" s="9"/>
      <c r="I630" s="9"/>
      <c r="J630" s="37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customFormat="false" ht="15.75" hidden="false" customHeight="false" outlineLevel="0" collapsed="false">
      <c r="A631" s="13"/>
      <c r="B631" s="13"/>
      <c r="C631" s="9"/>
      <c r="D631" s="9"/>
      <c r="E631" s="9"/>
      <c r="F631" s="9"/>
      <c r="G631" s="9"/>
      <c r="H631" s="9"/>
      <c r="I631" s="9"/>
      <c r="J631" s="37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customFormat="false" ht="15.75" hidden="false" customHeight="false" outlineLevel="0" collapsed="false">
      <c r="A632" s="13"/>
      <c r="B632" s="13"/>
      <c r="C632" s="9"/>
      <c r="D632" s="9"/>
      <c r="E632" s="9"/>
      <c r="F632" s="9"/>
      <c r="G632" s="9"/>
      <c r="H632" s="9"/>
      <c r="I632" s="9"/>
      <c r="J632" s="37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customFormat="false" ht="15.75" hidden="false" customHeight="false" outlineLevel="0" collapsed="false">
      <c r="A633" s="13"/>
      <c r="B633" s="13"/>
      <c r="C633" s="9"/>
      <c r="D633" s="9"/>
      <c r="E633" s="9"/>
      <c r="F633" s="9"/>
      <c r="G633" s="9"/>
      <c r="H633" s="9"/>
      <c r="I633" s="9"/>
      <c r="J633" s="37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customFormat="false" ht="15.75" hidden="false" customHeight="false" outlineLevel="0" collapsed="false">
      <c r="A634" s="13"/>
      <c r="B634" s="13"/>
      <c r="C634" s="9"/>
      <c r="D634" s="9"/>
      <c r="E634" s="9"/>
      <c r="F634" s="9"/>
      <c r="G634" s="9"/>
      <c r="H634" s="9"/>
      <c r="I634" s="9"/>
      <c r="J634" s="37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customFormat="false" ht="15.75" hidden="false" customHeight="false" outlineLevel="0" collapsed="false">
      <c r="A635" s="13"/>
      <c r="B635" s="13"/>
      <c r="C635" s="9"/>
      <c r="D635" s="9"/>
      <c r="E635" s="9"/>
      <c r="F635" s="9"/>
      <c r="G635" s="9"/>
      <c r="H635" s="9"/>
      <c r="I635" s="9"/>
      <c r="J635" s="37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customFormat="false" ht="15.75" hidden="false" customHeight="false" outlineLevel="0" collapsed="false">
      <c r="A636" s="13"/>
      <c r="B636" s="13"/>
      <c r="C636" s="9"/>
      <c r="D636" s="9"/>
      <c r="E636" s="9"/>
      <c r="F636" s="9"/>
      <c r="G636" s="9"/>
      <c r="H636" s="9"/>
      <c r="I636" s="9"/>
      <c r="J636" s="37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customFormat="false" ht="15.75" hidden="false" customHeight="false" outlineLevel="0" collapsed="false">
      <c r="A637" s="13"/>
      <c r="B637" s="13"/>
      <c r="C637" s="9"/>
      <c r="D637" s="9"/>
      <c r="E637" s="9"/>
      <c r="F637" s="9"/>
      <c r="G637" s="9"/>
      <c r="H637" s="9"/>
      <c r="I637" s="9"/>
      <c r="J637" s="37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customFormat="false" ht="15.75" hidden="false" customHeight="false" outlineLevel="0" collapsed="false">
      <c r="A638" s="13"/>
      <c r="B638" s="13"/>
      <c r="C638" s="9"/>
      <c r="D638" s="9"/>
      <c r="E638" s="9"/>
      <c r="F638" s="9"/>
      <c r="G638" s="9"/>
      <c r="H638" s="9"/>
      <c r="I638" s="9"/>
      <c r="J638" s="37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customFormat="false" ht="15.75" hidden="false" customHeight="false" outlineLevel="0" collapsed="false">
      <c r="A639" s="13"/>
      <c r="B639" s="13"/>
      <c r="C639" s="9"/>
      <c r="D639" s="9"/>
      <c r="E639" s="9"/>
      <c r="F639" s="9"/>
      <c r="G639" s="9"/>
      <c r="H639" s="9"/>
      <c r="I639" s="9"/>
      <c r="J639" s="37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customFormat="false" ht="15.75" hidden="false" customHeight="false" outlineLevel="0" collapsed="false">
      <c r="A640" s="13"/>
      <c r="B640" s="13"/>
      <c r="C640" s="9"/>
      <c r="D640" s="9"/>
      <c r="E640" s="9"/>
      <c r="F640" s="9"/>
      <c r="G640" s="9"/>
      <c r="H640" s="9"/>
      <c r="I640" s="9"/>
      <c r="J640" s="37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customFormat="false" ht="15.75" hidden="false" customHeight="false" outlineLevel="0" collapsed="false">
      <c r="A641" s="13"/>
      <c r="B641" s="13"/>
      <c r="C641" s="9"/>
      <c r="D641" s="9"/>
      <c r="E641" s="9"/>
      <c r="F641" s="9"/>
      <c r="G641" s="9"/>
      <c r="H641" s="9"/>
      <c r="I641" s="9"/>
      <c r="J641" s="37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customFormat="false" ht="15.75" hidden="false" customHeight="false" outlineLevel="0" collapsed="false">
      <c r="A642" s="13"/>
      <c r="B642" s="13"/>
      <c r="C642" s="9"/>
      <c r="D642" s="9"/>
      <c r="E642" s="9"/>
      <c r="F642" s="9"/>
      <c r="G642" s="9"/>
      <c r="H642" s="9"/>
      <c r="I642" s="9"/>
      <c r="J642" s="37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customFormat="false" ht="15.75" hidden="false" customHeight="false" outlineLevel="0" collapsed="false">
      <c r="A643" s="13"/>
      <c r="B643" s="13"/>
      <c r="C643" s="9"/>
      <c r="D643" s="9"/>
      <c r="E643" s="9"/>
      <c r="F643" s="9"/>
      <c r="G643" s="9"/>
      <c r="H643" s="9"/>
      <c r="I643" s="9"/>
      <c r="J643" s="37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customFormat="false" ht="15.75" hidden="false" customHeight="false" outlineLevel="0" collapsed="false">
      <c r="A644" s="13"/>
      <c r="B644" s="13"/>
      <c r="C644" s="9"/>
      <c r="D644" s="9"/>
      <c r="E644" s="9"/>
      <c r="F644" s="9"/>
      <c r="G644" s="9"/>
      <c r="H644" s="9"/>
      <c r="I644" s="9"/>
      <c r="J644" s="37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customFormat="false" ht="15.75" hidden="false" customHeight="false" outlineLevel="0" collapsed="false">
      <c r="A645" s="13"/>
      <c r="B645" s="13"/>
      <c r="C645" s="9"/>
      <c r="D645" s="9"/>
      <c r="E645" s="9"/>
      <c r="F645" s="9"/>
      <c r="G645" s="9"/>
      <c r="H645" s="9"/>
      <c r="I645" s="9"/>
      <c r="J645" s="37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customFormat="false" ht="15.75" hidden="false" customHeight="false" outlineLevel="0" collapsed="false">
      <c r="A646" s="13"/>
      <c r="B646" s="13"/>
      <c r="C646" s="9"/>
      <c r="D646" s="9"/>
      <c r="E646" s="9"/>
      <c r="F646" s="9"/>
      <c r="G646" s="9"/>
      <c r="H646" s="9"/>
      <c r="I646" s="9"/>
      <c r="J646" s="37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customFormat="false" ht="15.75" hidden="false" customHeight="false" outlineLevel="0" collapsed="false">
      <c r="A647" s="13"/>
      <c r="B647" s="13"/>
      <c r="C647" s="9"/>
      <c r="D647" s="9"/>
      <c r="E647" s="9"/>
      <c r="F647" s="9"/>
      <c r="G647" s="9"/>
      <c r="H647" s="9"/>
      <c r="I647" s="9"/>
      <c r="J647" s="37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customFormat="false" ht="15.75" hidden="false" customHeight="false" outlineLevel="0" collapsed="false">
      <c r="A648" s="13"/>
      <c r="B648" s="13"/>
      <c r="C648" s="9"/>
      <c r="D648" s="9"/>
      <c r="E648" s="9"/>
      <c r="F648" s="9"/>
      <c r="G648" s="9"/>
      <c r="H648" s="9"/>
      <c r="I648" s="9"/>
      <c r="J648" s="37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customFormat="false" ht="15.75" hidden="false" customHeight="false" outlineLevel="0" collapsed="false">
      <c r="A649" s="13"/>
      <c r="B649" s="13"/>
      <c r="C649" s="9"/>
      <c r="D649" s="9"/>
      <c r="E649" s="9"/>
      <c r="F649" s="9"/>
      <c r="G649" s="9"/>
      <c r="H649" s="9"/>
      <c r="I649" s="9"/>
      <c r="J649" s="37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customFormat="false" ht="15.75" hidden="false" customHeight="false" outlineLevel="0" collapsed="false">
      <c r="A650" s="13"/>
      <c r="B650" s="13"/>
      <c r="C650" s="9"/>
      <c r="D650" s="9"/>
      <c r="E650" s="9"/>
      <c r="F650" s="9"/>
      <c r="G650" s="9"/>
      <c r="H650" s="9"/>
      <c r="I650" s="9"/>
      <c r="J650" s="37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customFormat="false" ht="15.75" hidden="false" customHeight="false" outlineLevel="0" collapsed="false">
      <c r="A651" s="13"/>
      <c r="B651" s="13"/>
      <c r="C651" s="9"/>
      <c r="D651" s="9"/>
      <c r="E651" s="9"/>
      <c r="F651" s="9"/>
      <c r="G651" s="9"/>
      <c r="H651" s="9"/>
      <c r="I651" s="9"/>
      <c r="J651" s="37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customFormat="false" ht="15.75" hidden="false" customHeight="false" outlineLevel="0" collapsed="false">
      <c r="A652" s="13"/>
      <c r="B652" s="13"/>
      <c r="C652" s="9"/>
      <c r="D652" s="9"/>
      <c r="E652" s="9"/>
      <c r="F652" s="9"/>
      <c r="G652" s="9"/>
      <c r="H652" s="9"/>
      <c r="I652" s="9"/>
      <c r="J652" s="37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customFormat="false" ht="15.75" hidden="false" customHeight="false" outlineLevel="0" collapsed="false">
      <c r="A653" s="13"/>
      <c r="B653" s="13"/>
      <c r="C653" s="9"/>
      <c r="D653" s="9"/>
      <c r="E653" s="9"/>
      <c r="F653" s="9"/>
      <c r="G653" s="9"/>
      <c r="H653" s="9"/>
      <c r="I653" s="9"/>
      <c r="J653" s="37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customFormat="false" ht="15.75" hidden="false" customHeight="false" outlineLevel="0" collapsed="false">
      <c r="A654" s="13"/>
      <c r="B654" s="13"/>
      <c r="C654" s="9"/>
      <c r="D654" s="9"/>
      <c r="E654" s="9"/>
      <c r="F654" s="9"/>
      <c r="G654" s="9"/>
      <c r="H654" s="9"/>
      <c r="I654" s="9"/>
      <c r="J654" s="37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customFormat="false" ht="15.75" hidden="false" customHeight="false" outlineLevel="0" collapsed="false">
      <c r="A655" s="13"/>
      <c r="B655" s="13"/>
      <c r="C655" s="9"/>
      <c r="D655" s="9"/>
      <c r="E655" s="9"/>
      <c r="F655" s="9"/>
      <c r="G655" s="9"/>
      <c r="H655" s="9"/>
      <c r="I655" s="9"/>
      <c r="J655" s="37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customFormat="false" ht="15.75" hidden="false" customHeight="false" outlineLevel="0" collapsed="false">
      <c r="A656" s="13"/>
      <c r="B656" s="13"/>
      <c r="C656" s="9"/>
      <c r="D656" s="9"/>
      <c r="E656" s="9"/>
      <c r="F656" s="9"/>
      <c r="G656" s="9"/>
      <c r="H656" s="9"/>
      <c r="I656" s="9"/>
      <c r="J656" s="37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customFormat="false" ht="15.75" hidden="false" customHeight="false" outlineLevel="0" collapsed="false">
      <c r="A657" s="13"/>
      <c r="B657" s="13"/>
      <c r="C657" s="9"/>
      <c r="D657" s="9"/>
      <c r="E657" s="9"/>
      <c r="F657" s="9"/>
      <c r="G657" s="9"/>
      <c r="H657" s="9"/>
      <c r="I657" s="9"/>
      <c r="J657" s="37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customFormat="false" ht="15.75" hidden="false" customHeight="false" outlineLevel="0" collapsed="false">
      <c r="A658" s="13"/>
      <c r="B658" s="13"/>
      <c r="C658" s="9"/>
      <c r="D658" s="9"/>
      <c r="E658" s="9"/>
      <c r="F658" s="9"/>
      <c r="G658" s="9"/>
      <c r="H658" s="9"/>
      <c r="I658" s="9"/>
      <c r="J658" s="37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customFormat="false" ht="15.75" hidden="false" customHeight="false" outlineLevel="0" collapsed="false">
      <c r="A659" s="13"/>
      <c r="B659" s="13"/>
      <c r="C659" s="9"/>
      <c r="D659" s="9"/>
      <c r="E659" s="9"/>
      <c r="F659" s="9"/>
      <c r="G659" s="9"/>
      <c r="H659" s="9"/>
      <c r="I659" s="9"/>
      <c r="J659" s="37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customFormat="false" ht="15.75" hidden="false" customHeight="false" outlineLevel="0" collapsed="false">
      <c r="A660" s="13"/>
      <c r="B660" s="13"/>
      <c r="C660" s="9"/>
      <c r="D660" s="9"/>
      <c r="E660" s="9"/>
      <c r="F660" s="9"/>
      <c r="G660" s="9"/>
      <c r="H660" s="9"/>
      <c r="I660" s="9"/>
      <c r="J660" s="37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customFormat="false" ht="15.75" hidden="false" customHeight="false" outlineLevel="0" collapsed="false">
      <c r="A661" s="13"/>
      <c r="B661" s="13"/>
      <c r="C661" s="9"/>
      <c r="D661" s="9"/>
      <c r="E661" s="9"/>
      <c r="F661" s="9"/>
      <c r="G661" s="9"/>
      <c r="H661" s="9"/>
      <c r="I661" s="9"/>
      <c r="J661" s="37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customFormat="false" ht="15.75" hidden="false" customHeight="false" outlineLevel="0" collapsed="false">
      <c r="A662" s="13"/>
      <c r="B662" s="13"/>
      <c r="C662" s="9"/>
      <c r="D662" s="9"/>
      <c r="E662" s="9"/>
      <c r="F662" s="9"/>
      <c r="G662" s="9"/>
      <c r="H662" s="9"/>
      <c r="I662" s="9"/>
      <c r="J662" s="37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customFormat="false" ht="15.75" hidden="false" customHeight="false" outlineLevel="0" collapsed="false">
      <c r="A663" s="13"/>
      <c r="B663" s="13"/>
      <c r="C663" s="9"/>
      <c r="D663" s="9"/>
      <c r="E663" s="9"/>
      <c r="F663" s="9"/>
      <c r="G663" s="9"/>
      <c r="H663" s="9"/>
      <c r="I663" s="9"/>
      <c r="J663" s="37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customFormat="false" ht="15.75" hidden="false" customHeight="false" outlineLevel="0" collapsed="false">
      <c r="A664" s="13"/>
      <c r="B664" s="13"/>
      <c r="C664" s="9"/>
      <c r="D664" s="9"/>
      <c r="E664" s="9"/>
      <c r="F664" s="9"/>
      <c r="G664" s="9"/>
      <c r="H664" s="9"/>
      <c r="I664" s="9"/>
      <c r="J664" s="37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customFormat="false" ht="15.75" hidden="false" customHeight="false" outlineLevel="0" collapsed="false">
      <c r="A665" s="13"/>
      <c r="B665" s="13"/>
      <c r="C665" s="9"/>
      <c r="D665" s="9"/>
      <c r="E665" s="9"/>
      <c r="F665" s="9"/>
      <c r="G665" s="9"/>
      <c r="H665" s="9"/>
      <c r="I665" s="9"/>
      <c r="J665" s="37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customFormat="false" ht="15.75" hidden="false" customHeight="false" outlineLevel="0" collapsed="false">
      <c r="A666" s="13"/>
      <c r="B666" s="13"/>
      <c r="C666" s="9"/>
      <c r="D666" s="9"/>
      <c r="E666" s="9"/>
      <c r="F666" s="9"/>
      <c r="G666" s="9"/>
      <c r="H666" s="9"/>
      <c r="I666" s="9"/>
      <c r="J666" s="37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customFormat="false" ht="15.75" hidden="false" customHeight="false" outlineLevel="0" collapsed="false">
      <c r="A667" s="13"/>
      <c r="B667" s="13"/>
      <c r="C667" s="9"/>
      <c r="D667" s="9"/>
      <c r="E667" s="9"/>
      <c r="F667" s="9"/>
      <c r="G667" s="9"/>
      <c r="H667" s="9"/>
      <c r="I667" s="9"/>
      <c r="J667" s="37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customFormat="false" ht="15.75" hidden="false" customHeight="false" outlineLevel="0" collapsed="false">
      <c r="A668" s="13"/>
      <c r="B668" s="13"/>
      <c r="C668" s="9"/>
      <c r="D668" s="9"/>
      <c r="E668" s="9"/>
      <c r="F668" s="9"/>
      <c r="G668" s="9"/>
      <c r="H668" s="9"/>
      <c r="I668" s="9"/>
      <c r="J668" s="37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customFormat="false" ht="15.75" hidden="false" customHeight="false" outlineLevel="0" collapsed="false">
      <c r="A669" s="13"/>
      <c r="B669" s="13"/>
      <c r="C669" s="9"/>
      <c r="D669" s="9"/>
      <c r="E669" s="9"/>
      <c r="F669" s="9"/>
      <c r="G669" s="9"/>
      <c r="H669" s="9"/>
      <c r="I669" s="9"/>
      <c r="J669" s="37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customFormat="false" ht="15.75" hidden="false" customHeight="false" outlineLevel="0" collapsed="false">
      <c r="A670" s="13"/>
      <c r="B670" s="13"/>
      <c r="C670" s="9"/>
      <c r="D670" s="9"/>
      <c r="E670" s="9"/>
      <c r="F670" s="9"/>
      <c r="G670" s="9"/>
      <c r="H670" s="9"/>
      <c r="I670" s="9"/>
      <c r="J670" s="37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customFormat="false" ht="15.75" hidden="false" customHeight="false" outlineLevel="0" collapsed="false">
      <c r="A671" s="13"/>
      <c r="B671" s="13"/>
      <c r="C671" s="9"/>
      <c r="D671" s="9"/>
      <c r="E671" s="9"/>
      <c r="F671" s="9"/>
      <c r="G671" s="9"/>
      <c r="H671" s="9"/>
      <c r="I671" s="9"/>
      <c r="J671" s="37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customFormat="false" ht="15.75" hidden="false" customHeight="false" outlineLevel="0" collapsed="false">
      <c r="A672" s="13"/>
      <c r="B672" s="13"/>
      <c r="C672" s="9"/>
      <c r="D672" s="9"/>
      <c r="E672" s="9"/>
      <c r="F672" s="9"/>
      <c r="G672" s="9"/>
      <c r="H672" s="9"/>
      <c r="I672" s="9"/>
      <c r="J672" s="37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customFormat="false" ht="15.75" hidden="false" customHeight="false" outlineLevel="0" collapsed="false">
      <c r="A673" s="13"/>
      <c r="B673" s="13"/>
      <c r="C673" s="9"/>
      <c r="D673" s="9"/>
      <c r="E673" s="9"/>
      <c r="F673" s="9"/>
      <c r="G673" s="9"/>
      <c r="H673" s="9"/>
      <c r="I673" s="9"/>
      <c r="J673" s="37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customFormat="false" ht="15.75" hidden="false" customHeight="false" outlineLevel="0" collapsed="false">
      <c r="A674" s="13"/>
      <c r="B674" s="13"/>
      <c r="C674" s="9"/>
      <c r="D674" s="9"/>
      <c r="E674" s="9"/>
      <c r="F674" s="9"/>
      <c r="G674" s="9"/>
      <c r="H674" s="9"/>
      <c r="I674" s="9"/>
      <c r="J674" s="37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customFormat="false" ht="15.75" hidden="false" customHeight="false" outlineLevel="0" collapsed="false">
      <c r="A675" s="13"/>
      <c r="B675" s="13"/>
      <c r="C675" s="9"/>
      <c r="D675" s="9"/>
      <c r="E675" s="9"/>
      <c r="F675" s="9"/>
      <c r="G675" s="9"/>
      <c r="H675" s="9"/>
      <c r="I675" s="9"/>
      <c r="J675" s="37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customFormat="false" ht="15.75" hidden="false" customHeight="false" outlineLevel="0" collapsed="false">
      <c r="A676" s="13"/>
      <c r="B676" s="13"/>
      <c r="C676" s="9"/>
      <c r="D676" s="9"/>
      <c r="E676" s="9"/>
      <c r="F676" s="9"/>
      <c r="G676" s="9"/>
      <c r="H676" s="9"/>
      <c r="I676" s="9"/>
      <c r="J676" s="37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customFormat="false" ht="15.75" hidden="false" customHeight="false" outlineLevel="0" collapsed="false">
      <c r="A677" s="13"/>
      <c r="B677" s="13"/>
      <c r="C677" s="9"/>
      <c r="D677" s="9"/>
      <c r="E677" s="9"/>
      <c r="F677" s="9"/>
      <c r="G677" s="9"/>
      <c r="H677" s="9"/>
      <c r="I677" s="9"/>
      <c r="J677" s="37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customFormat="false" ht="15.75" hidden="false" customHeight="false" outlineLevel="0" collapsed="false">
      <c r="A678" s="13"/>
      <c r="B678" s="13"/>
      <c r="C678" s="9"/>
      <c r="D678" s="9"/>
      <c r="E678" s="9"/>
      <c r="F678" s="9"/>
      <c r="G678" s="9"/>
      <c r="H678" s="9"/>
      <c r="I678" s="9"/>
      <c r="J678" s="37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customFormat="false" ht="15.75" hidden="false" customHeight="false" outlineLevel="0" collapsed="false">
      <c r="A679" s="13"/>
      <c r="B679" s="13"/>
      <c r="C679" s="9"/>
      <c r="D679" s="9"/>
      <c r="E679" s="9"/>
      <c r="F679" s="9"/>
      <c r="G679" s="9"/>
      <c r="H679" s="9"/>
      <c r="I679" s="9"/>
      <c r="J679" s="37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customFormat="false" ht="15.75" hidden="false" customHeight="false" outlineLevel="0" collapsed="false">
      <c r="A680" s="13"/>
      <c r="B680" s="13"/>
      <c r="C680" s="9"/>
      <c r="D680" s="9"/>
      <c r="E680" s="9"/>
      <c r="F680" s="9"/>
      <c r="G680" s="9"/>
      <c r="H680" s="9"/>
      <c r="I680" s="9"/>
      <c r="J680" s="37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customFormat="false" ht="15.75" hidden="false" customHeight="false" outlineLevel="0" collapsed="false">
      <c r="A681" s="13"/>
      <c r="B681" s="13"/>
      <c r="C681" s="9"/>
      <c r="D681" s="9"/>
      <c r="E681" s="9"/>
      <c r="F681" s="9"/>
      <c r="G681" s="9"/>
      <c r="H681" s="9"/>
      <c r="I681" s="9"/>
      <c r="J681" s="37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customFormat="false" ht="15.75" hidden="false" customHeight="false" outlineLevel="0" collapsed="false">
      <c r="A682" s="13"/>
      <c r="B682" s="13"/>
      <c r="C682" s="9"/>
      <c r="D682" s="9"/>
      <c r="E682" s="9"/>
      <c r="F682" s="9"/>
      <c r="G682" s="9"/>
      <c r="H682" s="9"/>
      <c r="I682" s="9"/>
      <c r="J682" s="37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customFormat="false" ht="15.75" hidden="false" customHeight="false" outlineLevel="0" collapsed="false">
      <c r="A683" s="13"/>
      <c r="B683" s="13"/>
      <c r="C683" s="9"/>
      <c r="D683" s="9"/>
      <c r="E683" s="9"/>
      <c r="F683" s="9"/>
      <c r="G683" s="9"/>
      <c r="H683" s="9"/>
      <c r="I683" s="9"/>
      <c r="J683" s="37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customFormat="false" ht="15.75" hidden="false" customHeight="false" outlineLevel="0" collapsed="false">
      <c r="A684" s="13"/>
      <c r="B684" s="13"/>
      <c r="C684" s="9"/>
      <c r="D684" s="9"/>
      <c r="E684" s="9"/>
      <c r="F684" s="9"/>
      <c r="G684" s="9"/>
      <c r="H684" s="9"/>
      <c r="I684" s="9"/>
      <c r="J684" s="37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customFormat="false" ht="15.75" hidden="false" customHeight="false" outlineLevel="0" collapsed="false">
      <c r="A685" s="13"/>
      <c r="B685" s="13"/>
      <c r="C685" s="9"/>
      <c r="D685" s="9"/>
      <c r="E685" s="9"/>
      <c r="F685" s="9"/>
      <c r="G685" s="9"/>
      <c r="H685" s="9"/>
      <c r="I685" s="9"/>
      <c r="J685" s="37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customFormat="false" ht="15.75" hidden="false" customHeight="false" outlineLevel="0" collapsed="false">
      <c r="A686" s="13"/>
      <c r="B686" s="13"/>
      <c r="C686" s="9"/>
      <c r="D686" s="9"/>
      <c r="E686" s="9"/>
      <c r="F686" s="9"/>
      <c r="G686" s="9"/>
      <c r="H686" s="9"/>
      <c r="I686" s="9"/>
      <c r="J686" s="37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customFormat="false" ht="15.75" hidden="false" customHeight="false" outlineLevel="0" collapsed="false">
      <c r="A687" s="13"/>
      <c r="B687" s="13"/>
      <c r="C687" s="9"/>
      <c r="D687" s="9"/>
      <c r="E687" s="9"/>
      <c r="F687" s="9"/>
      <c r="G687" s="9"/>
      <c r="H687" s="9"/>
      <c r="I687" s="9"/>
      <c r="J687" s="37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customFormat="false" ht="15.75" hidden="false" customHeight="false" outlineLevel="0" collapsed="false">
      <c r="A688" s="13"/>
      <c r="B688" s="13"/>
      <c r="C688" s="9"/>
      <c r="D688" s="9"/>
      <c r="E688" s="9"/>
      <c r="F688" s="9"/>
      <c r="G688" s="9"/>
      <c r="H688" s="9"/>
      <c r="I688" s="9"/>
      <c r="J688" s="37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customFormat="false" ht="15.75" hidden="false" customHeight="false" outlineLevel="0" collapsed="false">
      <c r="A689" s="13"/>
      <c r="B689" s="13"/>
      <c r="C689" s="9"/>
      <c r="D689" s="9"/>
      <c r="E689" s="9"/>
      <c r="F689" s="9"/>
      <c r="G689" s="9"/>
      <c r="H689" s="9"/>
      <c r="I689" s="9"/>
      <c r="J689" s="37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customFormat="false" ht="15.75" hidden="false" customHeight="false" outlineLevel="0" collapsed="false">
      <c r="A690" s="13"/>
      <c r="B690" s="13"/>
      <c r="C690" s="9"/>
      <c r="D690" s="9"/>
      <c r="E690" s="9"/>
      <c r="F690" s="9"/>
      <c r="G690" s="9"/>
      <c r="H690" s="9"/>
      <c r="I690" s="9"/>
      <c r="J690" s="37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customFormat="false" ht="15.75" hidden="false" customHeight="false" outlineLevel="0" collapsed="false">
      <c r="A691" s="13"/>
      <c r="B691" s="13"/>
      <c r="C691" s="9"/>
      <c r="D691" s="9"/>
      <c r="E691" s="9"/>
      <c r="F691" s="9"/>
      <c r="G691" s="9"/>
      <c r="H691" s="9"/>
      <c r="I691" s="9"/>
      <c r="J691" s="37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customFormat="false" ht="15.75" hidden="false" customHeight="false" outlineLevel="0" collapsed="false">
      <c r="A692" s="13"/>
      <c r="B692" s="13"/>
      <c r="C692" s="9"/>
      <c r="D692" s="9"/>
      <c r="E692" s="9"/>
      <c r="F692" s="9"/>
      <c r="G692" s="9"/>
      <c r="H692" s="9"/>
      <c r="I692" s="9"/>
      <c r="J692" s="37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customFormat="false" ht="15.75" hidden="false" customHeight="false" outlineLevel="0" collapsed="false">
      <c r="A693" s="13"/>
      <c r="B693" s="13"/>
      <c r="C693" s="9"/>
      <c r="D693" s="9"/>
      <c r="E693" s="9"/>
      <c r="F693" s="9"/>
      <c r="G693" s="9"/>
      <c r="H693" s="9"/>
      <c r="I693" s="9"/>
      <c r="J693" s="37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customFormat="false" ht="15.75" hidden="false" customHeight="false" outlineLevel="0" collapsed="false">
      <c r="A694" s="13"/>
      <c r="B694" s="13"/>
      <c r="C694" s="9"/>
      <c r="D694" s="9"/>
      <c r="E694" s="9"/>
      <c r="F694" s="9"/>
      <c r="G694" s="9"/>
      <c r="H694" s="9"/>
      <c r="I694" s="9"/>
      <c r="J694" s="37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customFormat="false" ht="15.75" hidden="false" customHeight="false" outlineLevel="0" collapsed="false">
      <c r="A695" s="13"/>
      <c r="B695" s="13"/>
      <c r="C695" s="9"/>
      <c r="D695" s="9"/>
      <c r="E695" s="9"/>
      <c r="F695" s="9"/>
      <c r="G695" s="9"/>
      <c r="H695" s="9"/>
      <c r="I695" s="9"/>
      <c r="J695" s="37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customFormat="false" ht="15.75" hidden="false" customHeight="false" outlineLevel="0" collapsed="false">
      <c r="A696" s="13"/>
      <c r="B696" s="13"/>
      <c r="C696" s="9"/>
      <c r="D696" s="9"/>
      <c r="E696" s="9"/>
      <c r="F696" s="9"/>
      <c r="G696" s="9"/>
      <c r="H696" s="9"/>
      <c r="I696" s="9"/>
      <c r="J696" s="37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customFormat="false" ht="15.75" hidden="false" customHeight="false" outlineLevel="0" collapsed="false">
      <c r="A697" s="13"/>
      <c r="B697" s="13"/>
      <c r="C697" s="9"/>
      <c r="D697" s="9"/>
      <c r="E697" s="9"/>
      <c r="F697" s="9"/>
      <c r="G697" s="9"/>
      <c r="H697" s="9"/>
      <c r="I697" s="9"/>
      <c r="J697" s="37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customFormat="false" ht="15.75" hidden="false" customHeight="false" outlineLevel="0" collapsed="false">
      <c r="A698" s="13"/>
      <c r="B698" s="13"/>
      <c r="C698" s="9"/>
      <c r="D698" s="9"/>
      <c r="E698" s="9"/>
      <c r="F698" s="9"/>
      <c r="G698" s="9"/>
      <c r="H698" s="9"/>
      <c r="I698" s="9"/>
      <c r="J698" s="37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customFormat="false" ht="15.75" hidden="false" customHeight="false" outlineLevel="0" collapsed="false">
      <c r="A699" s="13"/>
      <c r="B699" s="13"/>
      <c r="C699" s="9"/>
      <c r="D699" s="9"/>
      <c r="E699" s="9"/>
      <c r="F699" s="9"/>
      <c r="G699" s="9"/>
      <c r="H699" s="9"/>
      <c r="I699" s="9"/>
      <c r="J699" s="37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customFormat="false" ht="15.75" hidden="false" customHeight="false" outlineLevel="0" collapsed="false">
      <c r="A700" s="13"/>
      <c r="B700" s="13"/>
      <c r="C700" s="9"/>
      <c r="D700" s="9"/>
      <c r="E700" s="9"/>
      <c r="F700" s="9"/>
      <c r="G700" s="9"/>
      <c r="H700" s="9"/>
      <c r="I700" s="9"/>
      <c r="J700" s="37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customFormat="false" ht="15.75" hidden="false" customHeight="false" outlineLevel="0" collapsed="false">
      <c r="A701" s="13"/>
      <c r="B701" s="13"/>
      <c r="C701" s="9"/>
      <c r="D701" s="9"/>
      <c r="E701" s="9"/>
      <c r="F701" s="9"/>
      <c r="G701" s="9"/>
      <c r="H701" s="9"/>
      <c r="I701" s="9"/>
      <c r="J701" s="37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customFormat="false" ht="15.75" hidden="false" customHeight="false" outlineLevel="0" collapsed="false">
      <c r="A702" s="13"/>
      <c r="B702" s="13"/>
      <c r="C702" s="9"/>
      <c r="D702" s="9"/>
      <c r="E702" s="9"/>
      <c r="F702" s="9"/>
      <c r="G702" s="9"/>
      <c r="H702" s="9"/>
      <c r="I702" s="9"/>
      <c r="J702" s="37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customFormat="false" ht="15.75" hidden="false" customHeight="false" outlineLevel="0" collapsed="false">
      <c r="A703" s="13"/>
      <c r="B703" s="13"/>
      <c r="C703" s="9"/>
      <c r="D703" s="9"/>
      <c r="E703" s="9"/>
      <c r="F703" s="9"/>
      <c r="G703" s="9"/>
      <c r="H703" s="9"/>
      <c r="I703" s="9"/>
      <c r="J703" s="37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customFormat="false" ht="15.75" hidden="false" customHeight="false" outlineLevel="0" collapsed="false">
      <c r="A704" s="13"/>
      <c r="B704" s="13"/>
      <c r="C704" s="9"/>
      <c r="D704" s="9"/>
      <c r="E704" s="9"/>
      <c r="F704" s="9"/>
      <c r="G704" s="9"/>
      <c r="H704" s="9"/>
      <c r="I704" s="9"/>
      <c r="J704" s="37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customFormat="false" ht="15.75" hidden="false" customHeight="false" outlineLevel="0" collapsed="false">
      <c r="A705" s="13"/>
      <c r="B705" s="13"/>
      <c r="C705" s="9"/>
      <c r="D705" s="9"/>
      <c r="E705" s="9"/>
      <c r="F705" s="9"/>
      <c r="G705" s="9"/>
      <c r="H705" s="9"/>
      <c r="I705" s="9"/>
      <c r="J705" s="37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customFormat="false" ht="15.75" hidden="false" customHeight="false" outlineLevel="0" collapsed="false">
      <c r="A706" s="13"/>
      <c r="B706" s="13"/>
      <c r="C706" s="9"/>
      <c r="D706" s="9"/>
      <c r="E706" s="9"/>
      <c r="F706" s="9"/>
      <c r="G706" s="9"/>
      <c r="H706" s="9"/>
      <c r="I706" s="9"/>
      <c r="J706" s="37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customFormat="false" ht="15.75" hidden="false" customHeight="false" outlineLevel="0" collapsed="false">
      <c r="A707" s="13"/>
      <c r="B707" s="13"/>
      <c r="C707" s="9"/>
      <c r="D707" s="9"/>
      <c r="E707" s="9"/>
      <c r="F707" s="9"/>
      <c r="G707" s="9"/>
      <c r="H707" s="9"/>
      <c r="I707" s="9"/>
      <c r="J707" s="37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customFormat="false" ht="15.75" hidden="false" customHeight="false" outlineLevel="0" collapsed="false">
      <c r="A708" s="13"/>
      <c r="B708" s="13"/>
      <c r="C708" s="9"/>
      <c r="D708" s="9"/>
      <c r="E708" s="9"/>
      <c r="F708" s="9"/>
      <c r="G708" s="9"/>
      <c r="H708" s="9"/>
      <c r="I708" s="9"/>
      <c r="J708" s="37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customFormat="false" ht="15.75" hidden="false" customHeight="false" outlineLevel="0" collapsed="false">
      <c r="A709" s="13"/>
      <c r="B709" s="13"/>
      <c r="C709" s="9"/>
      <c r="D709" s="9"/>
      <c r="E709" s="9"/>
      <c r="F709" s="9"/>
      <c r="G709" s="9"/>
      <c r="H709" s="9"/>
      <c r="I709" s="9"/>
      <c r="J709" s="37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customFormat="false" ht="15.75" hidden="false" customHeight="false" outlineLevel="0" collapsed="false">
      <c r="A710" s="13"/>
      <c r="B710" s="13"/>
      <c r="C710" s="9"/>
      <c r="D710" s="9"/>
      <c r="E710" s="9"/>
      <c r="F710" s="9"/>
      <c r="G710" s="9"/>
      <c r="H710" s="9"/>
      <c r="I710" s="9"/>
      <c r="J710" s="37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customFormat="false" ht="15.75" hidden="false" customHeight="false" outlineLevel="0" collapsed="false">
      <c r="A711" s="13"/>
      <c r="B711" s="13"/>
      <c r="C711" s="9"/>
      <c r="D711" s="9"/>
      <c r="E711" s="9"/>
      <c r="F711" s="9"/>
      <c r="G711" s="9"/>
      <c r="H711" s="9"/>
      <c r="I711" s="9"/>
      <c r="J711" s="37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customFormat="false" ht="15.75" hidden="false" customHeight="false" outlineLevel="0" collapsed="false">
      <c r="A712" s="13"/>
      <c r="B712" s="13"/>
      <c r="C712" s="9"/>
      <c r="D712" s="9"/>
      <c r="E712" s="9"/>
      <c r="F712" s="9"/>
      <c r="G712" s="9"/>
      <c r="H712" s="9"/>
      <c r="I712" s="9"/>
      <c r="J712" s="37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customFormat="false" ht="15.75" hidden="false" customHeight="false" outlineLevel="0" collapsed="false">
      <c r="A713" s="13"/>
      <c r="B713" s="13"/>
      <c r="C713" s="9"/>
      <c r="D713" s="9"/>
      <c r="E713" s="9"/>
      <c r="F713" s="9"/>
      <c r="G713" s="9"/>
      <c r="H713" s="9"/>
      <c r="I713" s="9"/>
      <c r="J713" s="37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customFormat="false" ht="15.75" hidden="false" customHeight="false" outlineLevel="0" collapsed="false">
      <c r="A714" s="13"/>
      <c r="B714" s="13"/>
      <c r="C714" s="9"/>
      <c r="D714" s="9"/>
      <c r="E714" s="9"/>
      <c r="F714" s="9"/>
      <c r="G714" s="9"/>
      <c r="H714" s="9"/>
      <c r="I714" s="9"/>
      <c r="J714" s="37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customFormat="false" ht="15.75" hidden="false" customHeight="false" outlineLevel="0" collapsed="false">
      <c r="A715" s="13"/>
      <c r="B715" s="13"/>
      <c r="C715" s="9"/>
      <c r="D715" s="9"/>
      <c r="E715" s="9"/>
      <c r="F715" s="9"/>
      <c r="G715" s="9"/>
      <c r="H715" s="9"/>
      <c r="I715" s="9"/>
      <c r="J715" s="37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customFormat="false" ht="15.75" hidden="false" customHeight="false" outlineLevel="0" collapsed="false">
      <c r="A716" s="13"/>
      <c r="B716" s="13"/>
      <c r="C716" s="9"/>
      <c r="D716" s="9"/>
      <c r="E716" s="9"/>
      <c r="F716" s="9"/>
      <c r="G716" s="9"/>
      <c r="H716" s="9"/>
      <c r="I716" s="9"/>
      <c r="J716" s="37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customFormat="false" ht="15.75" hidden="false" customHeight="false" outlineLevel="0" collapsed="false">
      <c r="A717" s="13"/>
      <c r="B717" s="13"/>
      <c r="C717" s="9"/>
      <c r="D717" s="9"/>
      <c r="E717" s="9"/>
      <c r="F717" s="9"/>
      <c r="G717" s="9"/>
      <c r="H717" s="9"/>
      <c r="I717" s="9"/>
      <c r="J717" s="37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customFormat="false" ht="15.75" hidden="false" customHeight="false" outlineLevel="0" collapsed="false">
      <c r="A718" s="13"/>
      <c r="B718" s="13"/>
      <c r="C718" s="9"/>
      <c r="D718" s="9"/>
      <c r="E718" s="9"/>
      <c r="F718" s="9"/>
      <c r="G718" s="9"/>
      <c r="H718" s="9"/>
      <c r="I718" s="9"/>
      <c r="J718" s="37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customFormat="false" ht="15.75" hidden="false" customHeight="false" outlineLevel="0" collapsed="false">
      <c r="A719" s="13"/>
      <c r="B719" s="13"/>
      <c r="C719" s="9"/>
      <c r="D719" s="9"/>
      <c r="E719" s="9"/>
      <c r="F719" s="9"/>
      <c r="G719" s="9"/>
      <c r="H719" s="9"/>
      <c r="I719" s="9"/>
      <c r="J719" s="37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customFormat="false" ht="15.75" hidden="false" customHeight="false" outlineLevel="0" collapsed="false">
      <c r="A720" s="13"/>
      <c r="B720" s="13"/>
      <c r="C720" s="9"/>
      <c r="D720" s="9"/>
      <c r="E720" s="9"/>
      <c r="F720" s="9"/>
      <c r="G720" s="9"/>
      <c r="H720" s="9"/>
      <c r="I720" s="9"/>
      <c r="J720" s="37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customFormat="false" ht="15.75" hidden="false" customHeight="false" outlineLevel="0" collapsed="false">
      <c r="A721" s="13"/>
      <c r="B721" s="13"/>
      <c r="C721" s="9"/>
      <c r="D721" s="9"/>
      <c r="E721" s="9"/>
      <c r="F721" s="9"/>
      <c r="G721" s="9"/>
      <c r="H721" s="9"/>
      <c r="I721" s="9"/>
      <c r="J721" s="37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customFormat="false" ht="15.75" hidden="false" customHeight="false" outlineLevel="0" collapsed="false">
      <c r="A722" s="13"/>
      <c r="B722" s="13"/>
      <c r="C722" s="9"/>
      <c r="D722" s="9"/>
      <c r="E722" s="9"/>
      <c r="F722" s="9"/>
      <c r="G722" s="9"/>
      <c r="H722" s="9"/>
      <c r="I722" s="9"/>
      <c r="J722" s="37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customFormat="false" ht="15.75" hidden="false" customHeight="false" outlineLevel="0" collapsed="false">
      <c r="A723" s="13"/>
      <c r="B723" s="13"/>
      <c r="C723" s="9"/>
      <c r="D723" s="9"/>
      <c r="E723" s="9"/>
      <c r="F723" s="9"/>
      <c r="G723" s="9"/>
      <c r="H723" s="9"/>
      <c r="I723" s="9"/>
      <c r="J723" s="37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customFormat="false" ht="15.75" hidden="false" customHeight="false" outlineLevel="0" collapsed="false">
      <c r="A724" s="13"/>
      <c r="B724" s="13"/>
      <c r="C724" s="9"/>
      <c r="D724" s="9"/>
      <c r="E724" s="9"/>
      <c r="F724" s="9"/>
      <c r="G724" s="9"/>
      <c r="H724" s="9"/>
      <c r="I724" s="9"/>
      <c r="J724" s="37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customFormat="false" ht="15.75" hidden="false" customHeight="false" outlineLevel="0" collapsed="false">
      <c r="A725" s="13"/>
      <c r="B725" s="13"/>
      <c r="C725" s="9"/>
      <c r="D725" s="9"/>
      <c r="E725" s="9"/>
      <c r="F725" s="9"/>
      <c r="G725" s="9"/>
      <c r="H725" s="9"/>
      <c r="I725" s="9"/>
      <c r="J725" s="37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customFormat="false" ht="15.75" hidden="false" customHeight="false" outlineLevel="0" collapsed="false">
      <c r="A726" s="13"/>
      <c r="B726" s="13"/>
      <c r="C726" s="9"/>
      <c r="D726" s="9"/>
      <c r="E726" s="9"/>
      <c r="F726" s="9"/>
      <c r="G726" s="9"/>
      <c r="H726" s="9"/>
      <c r="I726" s="9"/>
      <c r="J726" s="37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customFormat="false" ht="15.75" hidden="false" customHeight="false" outlineLevel="0" collapsed="false">
      <c r="A727" s="13"/>
      <c r="B727" s="13"/>
      <c r="C727" s="9"/>
      <c r="D727" s="9"/>
      <c r="E727" s="9"/>
      <c r="F727" s="9"/>
      <c r="G727" s="9"/>
      <c r="H727" s="9"/>
      <c r="I727" s="9"/>
      <c r="J727" s="37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customFormat="false" ht="15.75" hidden="false" customHeight="false" outlineLevel="0" collapsed="false">
      <c r="A728" s="13"/>
      <c r="B728" s="13"/>
      <c r="C728" s="9"/>
      <c r="D728" s="9"/>
      <c r="E728" s="9"/>
      <c r="F728" s="9"/>
      <c r="G728" s="9"/>
      <c r="H728" s="9"/>
      <c r="I728" s="9"/>
      <c r="J728" s="37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customFormat="false" ht="15.75" hidden="false" customHeight="false" outlineLevel="0" collapsed="false">
      <c r="A729" s="13"/>
      <c r="B729" s="13"/>
      <c r="C729" s="9"/>
      <c r="D729" s="9"/>
      <c r="E729" s="9"/>
      <c r="F729" s="9"/>
      <c r="G729" s="9"/>
      <c r="H729" s="9"/>
      <c r="I729" s="9"/>
      <c r="J729" s="37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customFormat="false" ht="15.75" hidden="false" customHeight="false" outlineLevel="0" collapsed="false">
      <c r="A730" s="13"/>
      <c r="B730" s="13"/>
      <c r="C730" s="9"/>
      <c r="D730" s="9"/>
      <c r="E730" s="9"/>
      <c r="F730" s="9"/>
      <c r="G730" s="9"/>
      <c r="H730" s="9"/>
      <c r="I730" s="9"/>
      <c r="J730" s="37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customFormat="false" ht="15.75" hidden="false" customHeight="false" outlineLevel="0" collapsed="false">
      <c r="A731" s="13"/>
      <c r="B731" s="13"/>
      <c r="C731" s="9"/>
      <c r="D731" s="9"/>
      <c r="E731" s="9"/>
      <c r="F731" s="9"/>
      <c r="G731" s="9"/>
      <c r="H731" s="9"/>
      <c r="I731" s="9"/>
      <c r="J731" s="37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customFormat="false" ht="15.75" hidden="false" customHeight="false" outlineLevel="0" collapsed="false">
      <c r="A732" s="13"/>
      <c r="B732" s="13"/>
      <c r="C732" s="9"/>
      <c r="D732" s="9"/>
      <c r="E732" s="9"/>
      <c r="F732" s="9"/>
      <c r="G732" s="9"/>
      <c r="H732" s="9"/>
      <c r="I732" s="9"/>
      <c r="J732" s="37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customFormat="false" ht="15.75" hidden="false" customHeight="false" outlineLevel="0" collapsed="false">
      <c r="A733" s="13"/>
      <c r="B733" s="13"/>
      <c r="C733" s="9"/>
      <c r="D733" s="9"/>
      <c r="E733" s="9"/>
      <c r="F733" s="9"/>
      <c r="G733" s="9"/>
      <c r="H733" s="9"/>
      <c r="I733" s="9"/>
      <c r="J733" s="37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customFormat="false" ht="15.75" hidden="false" customHeight="false" outlineLevel="0" collapsed="false">
      <c r="A734" s="13"/>
      <c r="B734" s="13"/>
      <c r="C734" s="9"/>
      <c r="D734" s="9"/>
      <c r="E734" s="9"/>
      <c r="F734" s="9"/>
      <c r="G734" s="9"/>
      <c r="H734" s="9"/>
      <c r="I734" s="9"/>
      <c r="J734" s="37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customFormat="false" ht="15.75" hidden="false" customHeight="false" outlineLevel="0" collapsed="false">
      <c r="A735" s="13"/>
      <c r="B735" s="13"/>
      <c r="C735" s="9"/>
      <c r="D735" s="9"/>
      <c r="E735" s="9"/>
      <c r="F735" s="9"/>
      <c r="G735" s="9"/>
      <c r="H735" s="9"/>
      <c r="I735" s="9"/>
      <c r="J735" s="37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customFormat="false" ht="15.75" hidden="false" customHeight="false" outlineLevel="0" collapsed="false">
      <c r="A736" s="13"/>
      <c r="B736" s="13"/>
      <c r="C736" s="9"/>
      <c r="D736" s="9"/>
      <c r="E736" s="9"/>
      <c r="F736" s="9"/>
      <c r="G736" s="9"/>
      <c r="H736" s="9"/>
      <c r="I736" s="9"/>
      <c r="J736" s="37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customFormat="false" ht="15.75" hidden="false" customHeight="false" outlineLevel="0" collapsed="false">
      <c r="A737" s="13"/>
      <c r="B737" s="13"/>
      <c r="C737" s="9"/>
      <c r="D737" s="9"/>
      <c r="E737" s="9"/>
      <c r="F737" s="9"/>
      <c r="G737" s="9"/>
      <c r="H737" s="9"/>
      <c r="I737" s="9"/>
      <c r="J737" s="37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customFormat="false" ht="15.75" hidden="false" customHeight="false" outlineLevel="0" collapsed="false">
      <c r="A738" s="13"/>
      <c r="B738" s="13"/>
      <c r="C738" s="9"/>
      <c r="D738" s="9"/>
      <c r="E738" s="9"/>
      <c r="F738" s="9"/>
      <c r="G738" s="9"/>
      <c r="H738" s="9"/>
      <c r="I738" s="9"/>
      <c r="J738" s="37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customFormat="false" ht="15.75" hidden="false" customHeight="false" outlineLevel="0" collapsed="false">
      <c r="A739" s="13"/>
      <c r="B739" s="13"/>
      <c r="C739" s="9"/>
      <c r="D739" s="9"/>
      <c r="E739" s="9"/>
      <c r="F739" s="9"/>
      <c r="G739" s="9"/>
      <c r="H739" s="9"/>
      <c r="I739" s="9"/>
      <c r="J739" s="37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customFormat="false" ht="15.75" hidden="false" customHeight="false" outlineLevel="0" collapsed="false">
      <c r="A740" s="13"/>
      <c r="B740" s="13"/>
      <c r="C740" s="9"/>
      <c r="D740" s="9"/>
      <c r="E740" s="9"/>
      <c r="F740" s="9"/>
      <c r="G740" s="9"/>
      <c r="H740" s="9"/>
      <c r="I740" s="9"/>
      <c r="J740" s="37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customFormat="false" ht="15.75" hidden="false" customHeight="false" outlineLevel="0" collapsed="false">
      <c r="A741" s="13"/>
      <c r="B741" s="13"/>
      <c r="C741" s="9"/>
      <c r="D741" s="9"/>
      <c r="E741" s="9"/>
      <c r="F741" s="9"/>
      <c r="G741" s="9"/>
      <c r="H741" s="9"/>
      <c r="I741" s="9"/>
      <c r="J741" s="37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customFormat="false" ht="15.75" hidden="false" customHeight="false" outlineLevel="0" collapsed="false">
      <c r="A742" s="13"/>
      <c r="B742" s="13"/>
      <c r="C742" s="9"/>
      <c r="D742" s="9"/>
      <c r="E742" s="9"/>
      <c r="F742" s="9"/>
      <c r="G742" s="9"/>
      <c r="H742" s="9"/>
      <c r="I742" s="9"/>
      <c r="J742" s="37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customFormat="false" ht="15.75" hidden="false" customHeight="false" outlineLevel="0" collapsed="false">
      <c r="A743" s="13"/>
      <c r="B743" s="13"/>
      <c r="C743" s="9"/>
      <c r="D743" s="9"/>
      <c r="E743" s="9"/>
      <c r="F743" s="9"/>
      <c r="G743" s="9"/>
      <c r="H743" s="9"/>
      <c r="I743" s="9"/>
      <c r="J743" s="37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customFormat="false" ht="15.75" hidden="false" customHeight="false" outlineLevel="0" collapsed="false">
      <c r="A744" s="13"/>
      <c r="B744" s="13"/>
      <c r="C744" s="9"/>
      <c r="D744" s="9"/>
      <c r="E744" s="9"/>
      <c r="F744" s="9"/>
      <c r="G744" s="9"/>
      <c r="H744" s="9"/>
      <c r="I744" s="9"/>
      <c r="J744" s="37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customFormat="false" ht="15.75" hidden="false" customHeight="false" outlineLevel="0" collapsed="false">
      <c r="A745" s="13"/>
      <c r="B745" s="13"/>
      <c r="C745" s="9"/>
      <c r="D745" s="9"/>
      <c r="E745" s="9"/>
      <c r="F745" s="9"/>
      <c r="G745" s="9"/>
      <c r="H745" s="9"/>
      <c r="I745" s="9"/>
      <c r="J745" s="37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customFormat="false" ht="15.75" hidden="false" customHeight="false" outlineLevel="0" collapsed="false">
      <c r="A746" s="13"/>
      <c r="B746" s="13"/>
      <c r="C746" s="9"/>
      <c r="D746" s="9"/>
      <c r="E746" s="9"/>
      <c r="F746" s="9"/>
      <c r="G746" s="9"/>
      <c r="H746" s="9"/>
      <c r="I746" s="9"/>
      <c r="J746" s="37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customFormat="false" ht="15.75" hidden="false" customHeight="false" outlineLevel="0" collapsed="false">
      <c r="A747" s="13"/>
      <c r="B747" s="13"/>
      <c r="C747" s="9"/>
      <c r="D747" s="9"/>
      <c r="E747" s="9"/>
      <c r="F747" s="9"/>
      <c r="G747" s="9"/>
      <c r="H747" s="9"/>
      <c r="I747" s="9"/>
      <c r="J747" s="37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customFormat="false" ht="15.75" hidden="false" customHeight="false" outlineLevel="0" collapsed="false">
      <c r="A748" s="13"/>
      <c r="B748" s="13"/>
      <c r="C748" s="9"/>
      <c r="D748" s="9"/>
      <c r="E748" s="9"/>
      <c r="F748" s="9"/>
      <c r="G748" s="9"/>
      <c r="H748" s="9"/>
      <c r="I748" s="9"/>
      <c r="J748" s="37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customFormat="false" ht="15.75" hidden="false" customHeight="false" outlineLevel="0" collapsed="false">
      <c r="A749" s="13"/>
      <c r="B749" s="13"/>
      <c r="C749" s="9"/>
      <c r="D749" s="9"/>
      <c r="E749" s="9"/>
      <c r="F749" s="9"/>
      <c r="G749" s="9"/>
      <c r="H749" s="9"/>
      <c r="I749" s="9"/>
      <c r="J749" s="37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customFormat="false" ht="15.75" hidden="false" customHeight="false" outlineLevel="0" collapsed="false">
      <c r="A750" s="13"/>
      <c r="B750" s="13"/>
      <c r="C750" s="9"/>
      <c r="D750" s="9"/>
      <c r="E750" s="9"/>
      <c r="F750" s="9"/>
      <c r="G750" s="9"/>
      <c r="H750" s="9"/>
      <c r="I750" s="9"/>
      <c r="J750" s="37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customFormat="false" ht="15.75" hidden="false" customHeight="false" outlineLevel="0" collapsed="false">
      <c r="A751" s="13"/>
      <c r="B751" s="13"/>
      <c r="C751" s="9"/>
      <c r="D751" s="9"/>
      <c r="E751" s="9"/>
      <c r="F751" s="9"/>
      <c r="G751" s="9"/>
      <c r="H751" s="9"/>
      <c r="I751" s="9"/>
      <c r="J751" s="37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customFormat="false" ht="15.75" hidden="false" customHeight="false" outlineLevel="0" collapsed="false">
      <c r="A752" s="13"/>
      <c r="B752" s="13"/>
      <c r="C752" s="9"/>
      <c r="D752" s="9"/>
      <c r="E752" s="9"/>
      <c r="F752" s="9"/>
      <c r="G752" s="9"/>
      <c r="H752" s="9"/>
      <c r="I752" s="9"/>
      <c r="J752" s="37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customFormat="false" ht="15.75" hidden="false" customHeight="false" outlineLevel="0" collapsed="false">
      <c r="A753" s="13"/>
      <c r="B753" s="13"/>
      <c r="C753" s="9"/>
      <c r="D753" s="9"/>
      <c r="E753" s="9"/>
      <c r="F753" s="9"/>
      <c r="G753" s="9"/>
      <c r="H753" s="9"/>
      <c r="I753" s="9"/>
      <c r="J753" s="37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customFormat="false" ht="15.75" hidden="false" customHeight="false" outlineLevel="0" collapsed="false">
      <c r="A754" s="13"/>
      <c r="B754" s="13"/>
      <c r="C754" s="9"/>
      <c r="D754" s="9"/>
      <c r="E754" s="9"/>
      <c r="F754" s="9"/>
      <c r="G754" s="9"/>
      <c r="H754" s="9"/>
      <c r="I754" s="9"/>
      <c r="J754" s="37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customFormat="false" ht="15.75" hidden="false" customHeight="false" outlineLevel="0" collapsed="false">
      <c r="A755" s="13"/>
      <c r="B755" s="13"/>
      <c r="C755" s="9"/>
      <c r="D755" s="9"/>
      <c r="E755" s="9"/>
      <c r="F755" s="9"/>
      <c r="G755" s="9"/>
      <c r="H755" s="9"/>
      <c r="I755" s="9"/>
      <c r="J755" s="37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customFormat="false" ht="15.75" hidden="false" customHeight="false" outlineLevel="0" collapsed="false">
      <c r="A756" s="13"/>
      <c r="B756" s="13"/>
      <c r="C756" s="9"/>
      <c r="D756" s="9"/>
      <c r="E756" s="9"/>
      <c r="F756" s="9"/>
      <c r="G756" s="9"/>
      <c r="H756" s="9"/>
      <c r="I756" s="9"/>
      <c r="J756" s="37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customFormat="false" ht="15.75" hidden="false" customHeight="false" outlineLevel="0" collapsed="false">
      <c r="A757" s="13"/>
      <c r="B757" s="13"/>
      <c r="C757" s="9"/>
      <c r="D757" s="9"/>
      <c r="E757" s="9"/>
      <c r="F757" s="9"/>
      <c r="G757" s="9"/>
      <c r="H757" s="9"/>
      <c r="I757" s="9"/>
      <c r="J757" s="37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customFormat="false" ht="15.75" hidden="false" customHeight="false" outlineLevel="0" collapsed="false">
      <c r="A758" s="13"/>
      <c r="B758" s="13"/>
      <c r="C758" s="9"/>
      <c r="D758" s="9"/>
      <c r="E758" s="9"/>
      <c r="F758" s="9"/>
      <c r="G758" s="9"/>
      <c r="H758" s="9"/>
      <c r="I758" s="9"/>
      <c r="J758" s="37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customFormat="false" ht="15.75" hidden="false" customHeight="false" outlineLevel="0" collapsed="false">
      <c r="A759" s="13"/>
      <c r="B759" s="13"/>
      <c r="C759" s="9"/>
      <c r="D759" s="9"/>
      <c r="E759" s="9"/>
      <c r="F759" s="9"/>
      <c r="G759" s="9"/>
      <c r="H759" s="9"/>
      <c r="I759" s="9"/>
      <c r="J759" s="37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customFormat="false" ht="15.75" hidden="false" customHeight="false" outlineLevel="0" collapsed="false">
      <c r="A760" s="13"/>
      <c r="B760" s="13"/>
      <c r="C760" s="9"/>
      <c r="D760" s="9"/>
      <c r="E760" s="9"/>
      <c r="F760" s="9"/>
      <c r="G760" s="9"/>
      <c r="H760" s="9"/>
      <c r="I760" s="9"/>
      <c r="J760" s="37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customFormat="false" ht="15.75" hidden="false" customHeight="false" outlineLevel="0" collapsed="false">
      <c r="A761" s="13"/>
      <c r="B761" s="13"/>
      <c r="C761" s="9"/>
      <c r="D761" s="9"/>
      <c r="E761" s="9"/>
      <c r="F761" s="9"/>
      <c r="G761" s="9"/>
      <c r="H761" s="9"/>
      <c r="I761" s="9"/>
      <c r="J761" s="37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customFormat="false" ht="15.75" hidden="false" customHeight="false" outlineLevel="0" collapsed="false">
      <c r="A762" s="13"/>
      <c r="B762" s="13"/>
      <c r="C762" s="9"/>
      <c r="D762" s="9"/>
      <c r="E762" s="9"/>
      <c r="F762" s="9"/>
      <c r="G762" s="9"/>
      <c r="H762" s="9"/>
      <c r="I762" s="9"/>
      <c r="J762" s="37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customFormat="false" ht="15.75" hidden="false" customHeight="false" outlineLevel="0" collapsed="false">
      <c r="A763" s="13"/>
      <c r="B763" s="13"/>
      <c r="C763" s="9"/>
      <c r="D763" s="9"/>
      <c r="E763" s="9"/>
      <c r="F763" s="9"/>
      <c r="G763" s="9"/>
      <c r="H763" s="9"/>
      <c r="I763" s="9"/>
      <c r="J763" s="37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customFormat="false" ht="15.75" hidden="false" customHeight="false" outlineLevel="0" collapsed="false">
      <c r="A764" s="13"/>
      <c r="B764" s="13"/>
      <c r="C764" s="9"/>
      <c r="D764" s="9"/>
      <c r="E764" s="9"/>
      <c r="F764" s="9"/>
      <c r="G764" s="9"/>
      <c r="H764" s="9"/>
      <c r="I764" s="9"/>
      <c r="J764" s="37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customFormat="false" ht="15.75" hidden="false" customHeight="false" outlineLevel="0" collapsed="false">
      <c r="A765" s="13"/>
      <c r="B765" s="13"/>
      <c r="C765" s="9"/>
      <c r="D765" s="9"/>
      <c r="E765" s="9"/>
      <c r="F765" s="9"/>
      <c r="G765" s="9"/>
      <c r="H765" s="9"/>
      <c r="I765" s="9"/>
      <c r="J765" s="37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customFormat="false" ht="15.75" hidden="false" customHeight="false" outlineLevel="0" collapsed="false">
      <c r="A766" s="13"/>
      <c r="B766" s="13"/>
      <c r="C766" s="9"/>
      <c r="D766" s="9"/>
      <c r="E766" s="9"/>
      <c r="F766" s="9"/>
      <c r="G766" s="9"/>
      <c r="H766" s="9"/>
      <c r="I766" s="9"/>
      <c r="J766" s="37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customFormat="false" ht="15.75" hidden="false" customHeight="false" outlineLevel="0" collapsed="false">
      <c r="A767" s="13"/>
      <c r="B767" s="13"/>
      <c r="C767" s="9"/>
      <c r="D767" s="9"/>
      <c r="E767" s="9"/>
      <c r="F767" s="9"/>
      <c r="G767" s="9"/>
      <c r="H767" s="9"/>
      <c r="I767" s="9"/>
      <c r="J767" s="37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customFormat="false" ht="15.75" hidden="false" customHeight="false" outlineLevel="0" collapsed="false">
      <c r="A768" s="13"/>
      <c r="B768" s="13"/>
      <c r="C768" s="9"/>
      <c r="D768" s="9"/>
      <c r="E768" s="9"/>
      <c r="F768" s="9"/>
      <c r="G768" s="9"/>
      <c r="H768" s="9"/>
      <c r="I768" s="9"/>
      <c r="J768" s="37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customFormat="false" ht="15.75" hidden="false" customHeight="false" outlineLevel="0" collapsed="false">
      <c r="A769" s="13"/>
      <c r="B769" s="13"/>
      <c r="C769" s="9"/>
      <c r="D769" s="9"/>
      <c r="E769" s="9"/>
      <c r="F769" s="9"/>
      <c r="G769" s="9"/>
      <c r="H769" s="9"/>
      <c r="I769" s="9"/>
      <c r="J769" s="37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customFormat="false" ht="15.75" hidden="false" customHeight="false" outlineLevel="0" collapsed="false">
      <c r="A770" s="13"/>
      <c r="B770" s="13"/>
      <c r="C770" s="9"/>
      <c r="D770" s="9"/>
      <c r="E770" s="9"/>
      <c r="F770" s="9"/>
      <c r="G770" s="9"/>
      <c r="H770" s="9"/>
      <c r="I770" s="9"/>
      <c r="J770" s="37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customFormat="false" ht="15.75" hidden="false" customHeight="false" outlineLevel="0" collapsed="false">
      <c r="A771" s="13"/>
      <c r="B771" s="13"/>
      <c r="C771" s="9"/>
      <c r="D771" s="9"/>
      <c r="E771" s="9"/>
      <c r="F771" s="9"/>
      <c r="G771" s="9"/>
      <c r="H771" s="9"/>
      <c r="I771" s="9"/>
      <c r="J771" s="37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customFormat="false" ht="15.75" hidden="false" customHeight="false" outlineLevel="0" collapsed="false">
      <c r="A772" s="13"/>
      <c r="B772" s="13"/>
      <c r="C772" s="9"/>
      <c r="D772" s="9"/>
      <c r="E772" s="9"/>
      <c r="F772" s="9"/>
      <c r="G772" s="9"/>
      <c r="H772" s="9"/>
      <c r="I772" s="9"/>
      <c r="J772" s="37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customFormat="false" ht="15.75" hidden="false" customHeight="false" outlineLevel="0" collapsed="false">
      <c r="A773" s="13"/>
      <c r="B773" s="13"/>
      <c r="C773" s="9"/>
      <c r="D773" s="9"/>
      <c r="E773" s="9"/>
      <c r="F773" s="9"/>
      <c r="G773" s="9"/>
      <c r="H773" s="9"/>
      <c r="I773" s="9"/>
      <c r="J773" s="37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customFormat="false" ht="15.75" hidden="false" customHeight="false" outlineLevel="0" collapsed="false">
      <c r="A774" s="13"/>
      <c r="B774" s="13"/>
      <c r="C774" s="9"/>
      <c r="D774" s="9"/>
      <c r="E774" s="9"/>
      <c r="F774" s="9"/>
      <c r="G774" s="9"/>
      <c r="H774" s="9"/>
      <c r="I774" s="9"/>
      <c r="J774" s="37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customFormat="false" ht="15.75" hidden="false" customHeight="false" outlineLevel="0" collapsed="false">
      <c r="A775" s="13"/>
      <c r="B775" s="13"/>
      <c r="C775" s="9"/>
      <c r="D775" s="9"/>
      <c r="E775" s="9"/>
      <c r="F775" s="9"/>
      <c r="G775" s="9"/>
      <c r="H775" s="9"/>
      <c r="I775" s="9"/>
      <c r="J775" s="37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customFormat="false" ht="15.75" hidden="false" customHeight="false" outlineLevel="0" collapsed="false">
      <c r="A776" s="13"/>
      <c r="B776" s="13"/>
      <c r="C776" s="9"/>
      <c r="D776" s="9"/>
      <c r="E776" s="9"/>
      <c r="F776" s="9"/>
      <c r="G776" s="9"/>
      <c r="H776" s="9"/>
      <c r="I776" s="9"/>
      <c r="J776" s="37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customFormat="false" ht="15.75" hidden="false" customHeight="false" outlineLevel="0" collapsed="false">
      <c r="A777" s="13"/>
      <c r="B777" s="13"/>
      <c r="C777" s="9"/>
      <c r="D777" s="9"/>
      <c r="E777" s="9"/>
      <c r="F777" s="9"/>
      <c r="G777" s="9"/>
      <c r="H777" s="9"/>
      <c r="I777" s="9"/>
      <c r="J777" s="37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customFormat="false" ht="15.75" hidden="false" customHeight="false" outlineLevel="0" collapsed="false">
      <c r="A778" s="13"/>
      <c r="B778" s="13"/>
      <c r="C778" s="9"/>
      <c r="D778" s="9"/>
      <c r="E778" s="9"/>
      <c r="F778" s="9"/>
      <c r="G778" s="9"/>
      <c r="H778" s="9"/>
      <c r="I778" s="9"/>
      <c r="J778" s="37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customFormat="false" ht="15.75" hidden="false" customHeight="false" outlineLevel="0" collapsed="false">
      <c r="A779" s="13"/>
      <c r="B779" s="13"/>
      <c r="C779" s="9"/>
      <c r="D779" s="9"/>
      <c r="E779" s="9"/>
      <c r="F779" s="9"/>
      <c r="G779" s="9"/>
      <c r="H779" s="9"/>
      <c r="I779" s="9"/>
      <c r="J779" s="37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customFormat="false" ht="15.75" hidden="false" customHeight="false" outlineLevel="0" collapsed="false">
      <c r="A780" s="13"/>
      <c r="B780" s="13"/>
      <c r="C780" s="9"/>
      <c r="D780" s="9"/>
      <c r="E780" s="9"/>
      <c r="F780" s="9"/>
      <c r="G780" s="9"/>
      <c r="H780" s="9"/>
      <c r="I780" s="9"/>
      <c r="J780" s="37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customFormat="false" ht="15.75" hidden="false" customHeight="false" outlineLevel="0" collapsed="false">
      <c r="A781" s="13"/>
      <c r="B781" s="13"/>
      <c r="C781" s="9"/>
      <c r="D781" s="9"/>
      <c r="E781" s="9"/>
      <c r="F781" s="9"/>
      <c r="G781" s="9"/>
      <c r="H781" s="9"/>
      <c r="I781" s="9"/>
      <c r="J781" s="37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customFormat="false" ht="15.75" hidden="false" customHeight="false" outlineLevel="0" collapsed="false">
      <c r="A782" s="13"/>
      <c r="B782" s="13"/>
      <c r="C782" s="9"/>
      <c r="D782" s="9"/>
      <c r="E782" s="9"/>
      <c r="F782" s="9"/>
      <c r="G782" s="9"/>
      <c r="H782" s="9"/>
      <c r="I782" s="9"/>
      <c r="J782" s="37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customFormat="false" ht="15.75" hidden="false" customHeight="false" outlineLevel="0" collapsed="false">
      <c r="A783" s="13"/>
      <c r="B783" s="13"/>
      <c r="C783" s="9"/>
      <c r="D783" s="9"/>
      <c r="E783" s="9"/>
      <c r="F783" s="9"/>
      <c r="G783" s="9"/>
      <c r="H783" s="9"/>
      <c r="I783" s="9"/>
      <c r="J783" s="37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customFormat="false" ht="15.75" hidden="false" customHeight="false" outlineLevel="0" collapsed="false">
      <c r="A784" s="13"/>
      <c r="B784" s="13"/>
      <c r="C784" s="9"/>
      <c r="D784" s="9"/>
      <c r="E784" s="9"/>
      <c r="F784" s="9"/>
      <c r="G784" s="9"/>
      <c r="H784" s="9"/>
      <c r="I784" s="9"/>
      <c r="J784" s="37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customFormat="false" ht="15.75" hidden="false" customHeight="false" outlineLevel="0" collapsed="false">
      <c r="A785" s="13"/>
      <c r="B785" s="13"/>
      <c r="C785" s="9"/>
      <c r="D785" s="9"/>
      <c r="E785" s="9"/>
      <c r="F785" s="9"/>
      <c r="G785" s="9"/>
      <c r="H785" s="9"/>
      <c r="I785" s="9"/>
      <c r="J785" s="37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customFormat="false" ht="15.75" hidden="false" customHeight="false" outlineLevel="0" collapsed="false">
      <c r="A786" s="13"/>
      <c r="B786" s="13"/>
      <c r="C786" s="9"/>
      <c r="D786" s="9"/>
      <c r="E786" s="9"/>
      <c r="F786" s="9"/>
      <c r="G786" s="9"/>
      <c r="H786" s="9"/>
      <c r="I786" s="9"/>
      <c r="J786" s="37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customFormat="false" ht="15.75" hidden="false" customHeight="false" outlineLevel="0" collapsed="false">
      <c r="A787" s="13"/>
      <c r="B787" s="13"/>
      <c r="C787" s="9"/>
      <c r="D787" s="9"/>
      <c r="E787" s="9"/>
      <c r="F787" s="9"/>
      <c r="G787" s="9"/>
      <c r="H787" s="9"/>
      <c r="I787" s="9"/>
      <c r="J787" s="37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customFormat="false" ht="15.75" hidden="false" customHeight="false" outlineLevel="0" collapsed="false">
      <c r="A788" s="13"/>
      <c r="B788" s="13"/>
      <c r="C788" s="9"/>
      <c r="D788" s="9"/>
      <c r="E788" s="9"/>
      <c r="F788" s="9"/>
      <c r="G788" s="9"/>
      <c r="H788" s="9"/>
      <c r="I788" s="9"/>
      <c r="J788" s="37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customFormat="false" ht="15.75" hidden="false" customHeight="false" outlineLevel="0" collapsed="false">
      <c r="A789" s="13"/>
      <c r="B789" s="13"/>
      <c r="C789" s="9"/>
      <c r="D789" s="9"/>
      <c r="E789" s="9"/>
      <c r="F789" s="9"/>
      <c r="G789" s="9"/>
      <c r="H789" s="9"/>
      <c r="I789" s="9"/>
      <c r="J789" s="37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customFormat="false" ht="15.75" hidden="false" customHeight="false" outlineLevel="0" collapsed="false">
      <c r="A790" s="13"/>
      <c r="B790" s="13"/>
      <c r="C790" s="9"/>
      <c r="D790" s="9"/>
      <c r="E790" s="9"/>
      <c r="F790" s="9"/>
      <c r="G790" s="9"/>
      <c r="H790" s="9"/>
      <c r="I790" s="9"/>
      <c r="J790" s="37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customFormat="false" ht="15.75" hidden="false" customHeight="false" outlineLevel="0" collapsed="false">
      <c r="A791" s="13"/>
      <c r="B791" s="13"/>
      <c r="C791" s="9"/>
      <c r="D791" s="9"/>
      <c r="E791" s="9"/>
      <c r="F791" s="9"/>
      <c r="G791" s="9"/>
      <c r="H791" s="9"/>
      <c r="I791" s="9"/>
      <c r="J791" s="37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customFormat="false" ht="15.75" hidden="false" customHeight="false" outlineLevel="0" collapsed="false">
      <c r="A792" s="13"/>
      <c r="B792" s="13"/>
      <c r="C792" s="9"/>
      <c r="D792" s="9"/>
      <c r="E792" s="9"/>
      <c r="F792" s="9"/>
      <c r="G792" s="9"/>
      <c r="H792" s="9"/>
      <c r="I792" s="9"/>
      <c r="J792" s="37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customFormat="false" ht="15.75" hidden="false" customHeight="false" outlineLevel="0" collapsed="false">
      <c r="A793" s="13"/>
      <c r="B793" s="13"/>
      <c r="C793" s="9"/>
      <c r="D793" s="9"/>
      <c r="E793" s="9"/>
      <c r="F793" s="9"/>
      <c r="G793" s="9"/>
      <c r="H793" s="9"/>
      <c r="I793" s="9"/>
      <c r="J793" s="37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customFormat="false" ht="15.75" hidden="false" customHeight="false" outlineLevel="0" collapsed="false">
      <c r="A794" s="13"/>
      <c r="B794" s="13"/>
      <c r="C794" s="9"/>
      <c r="D794" s="9"/>
      <c r="E794" s="9"/>
      <c r="F794" s="9"/>
      <c r="G794" s="9"/>
      <c r="H794" s="9"/>
      <c r="I794" s="9"/>
      <c r="J794" s="37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customFormat="false" ht="15.75" hidden="false" customHeight="false" outlineLevel="0" collapsed="false">
      <c r="A795" s="13"/>
      <c r="B795" s="13"/>
      <c r="C795" s="9"/>
      <c r="D795" s="9"/>
      <c r="E795" s="9"/>
      <c r="F795" s="9"/>
      <c r="G795" s="9"/>
      <c r="H795" s="9"/>
      <c r="I795" s="9"/>
      <c r="J795" s="37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customFormat="false" ht="15.75" hidden="false" customHeight="false" outlineLevel="0" collapsed="false">
      <c r="A796" s="13"/>
      <c r="B796" s="13"/>
      <c r="C796" s="9"/>
      <c r="D796" s="9"/>
      <c r="E796" s="9"/>
      <c r="F796" s="9"/>
      <c r="G796" s="9"/>
      <c r="H796" s="9"/>
      <c r="I796" s="9"/>
      <c r="J796" s="37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customFormat="false" ht="15.75" hidden="false" customHeight="false" outlineLevel="0" collapsed="false">
      <c r="A797" s="13"/>
      <c r="B797" s="13"/>
      <c r="C797" s="9"/>
      <c r="D797" s="9"/>
      <c r="E797" s="9"/>
      <c r="F797" s="9"/>
      <c r="G797" s="9"/>
      <c r="H797" s="9"/>
      <c r="I797" s="9"/>
      <c r="J797" s="37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customFormat="false" ht="15.75" hidden="false" customHeight="false" outlineLevel="0" collapsed="false">
      <c r="A798" s="13"/>
      <c r="B798" s="13"/>
      <c r="C798" s="9"/>
      <c r="D798" s="9"/>
      <c r="E798" s="9"/>
      <c r="F798" s="9"/>
      <c r="G798" s="9"/>
      <c r="H798" s="9"/>
      <c r="I798" s="9"/>
      <c r="J798" s="37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customFormat="false" ht="15.75" hidden="false" customHeight="false" outlineLevel="0" collapsed="false">
      <c r="A799" s="13"/>
      <c r="B799" s="13"/>
      <c r="C799" s="9"/>
      <c r="D799" s="9"/>
      <c r="E799" s="9"/>
      <c r="F799" s="9"/>
      <c r="G799" s="9"/>
      <c r="H799" s="9"/>
      <c r="I799" s="9"/>
      <c r="J799" s="37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customFormat="false" ht="15.75" hidden="false" customHeight="false" outlineLevel="0" collapsed="false">
      <c r="A800" s="13"/>
      <c r="B800" s="13"/>
      <c r="C800" s="9"/>
      <c r="D800" s="9"/>
      <c r="E800" s="9"/>
      <c r="F800" s="9"/>
      <c r="G800" s="9"/>
      <c r="H800" s="9"/>
      <c r="I800" s="9"/>
      <c r="J800" s="37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customFormat="false" ht="15.75" hidden="false" customHeight="false" outlineLevel="0" collapsed="false">
      <c r="A801" s="13"/>
      <c r="B801" s="13"/>
      <c r="C801" s="9"/>
      <c r="D801" s="9"/>
      <c r="E801" s="9"/>
      <c r="F801" s="9"/>
      <c r="G801" s="9"/>
      <c r="H801" s="9"/>
      <c r="I801" s="9"/>
      <c r="J801" s="37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customFormat="false" ht="15.75" hidden="false" customHeight="false" outlineLevel="0" collapsed="false">
      <c r="A802" s="13"/>
      <c r="B802" s="13"/>
      <c r="C802" s="9"/>
      <c r="D802" s="9"/>
      <c r="E802" s="9"/>
      <c r="F802" s="9"/>
      <c r="G802" s="9"/>
      <c r="H802" s="9"/>
      <c r="I802" s="9"/>
      <c r="J802" s="37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customFormat="false" ht="15.75" hidden="false" customHeight="false" outlineLevel="0" collapsed="false">
      <c r="A803" s="13"/>
      <c r="B803" s="13"/>
      <c r="C803" s="9"/>
      <c r="D803" s="9"/>
      <c r="E803" s="9"/>
      <c r="F803" s="9"/>
      <c r="G803" s="9"/>
      <c r="H803" s="9"/>
      <c r="I803" s="9"/>
      <c r="J803" s="37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customFormat="false" ht="15.75" hidden="false" customHeight="false" outlineLevel="0" collapsed="false">
      <c r="A804" s="13"/>
      <c r="B804" s="13"/>
      <c r="C804" s="9"/>
      <c r="D804" s="9"/>
      <c r="E804" s="9"/>
      <c r="F804" s="9"/>
      <c r="G804" s="9"/>
      <c r="H804" s="9"/>
      <c r="I804" s="9"/>
      <c r="J804" s="37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customFormat="false" ht="15.75" hidden="false" customHeight="false" outlineLevel="0" collapsed="false">
      <c r="A805" s="13"/>
      <c r="B805" s="13"/>
      <c r="C805" s="9"/>
      <c r="D805" s="9"/>
      <c r="E805" s="9"/>
      <c r="F805" s="9"/>
      <c r="G805" s="9"/>
      <c r="H805" s="9"/>
      <c r="I805" s="9"/>
      <c r="J805" s="37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customFormat="false" ht="15.75" hidden="false" customHeight="false" outlineLevel="0" collapsed="false">
      <c r="A806" s="13"/>
      <c r="B806" s="13"/>
      <c r="C806" s="9"/>
      <c r="D806" s="9"/>
      <c r="E806" s="9"/>
      <c r="F806" s="9"/>
      <c r="G806" s="9"/>
      <c r="H806" s="9"/>
      <c r="I806" s="9"/>
      <c r="J806" s="37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customFormat="false" ht="15.75" hidden="false" customHeight="false" outlineLevel="0" collapsed="false">
      <c r="A807" s="13"/>
      <c r="B807" s="13"/>
      <c r="C807" s="9"/>
      <c r="D807" s="9"/>
      <c r="E807" s="9"/>
      <c r="F807" s="9"/>
      <c r="G807" s="9"/>
      <c r="H807" s="9"/>
      <c r="I807" s="9"/>
      <c r="J807" s="37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customFormat="false" ht="15.75" hidden="false" customHeight="false" outlineLevel="0" collapsed="false">
      <c r="A808" s="13"/>
      <c r="B808" s="13"/>
      <c r="C808" s="9"/>
      <c r="D808" s="9"/>
      <c r="E808" s="9"/>
      <c r="F808" s="9"/>
      <c r="G808" s="9"/>
      <c r="H808" s="9"/>
      <c r="I808" s="9"/>
      <c r="J808" s="37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customFormat="false" ht="15.75" hidden="false" customHeight="false" outlineLevel="0" collapsed="false">
      <c r="A809" s="13"/>
      <c r="B809" s="13"/>
      <c r="C809" s="9"/>
      <c r="D809" s="9"/>
      <c r="E809" s="9"/>
      <c r="F809" s="9"/>
      <c r="G809" s="9"/>
      <c r="H809" s="9"/>
      <c r="I809" s="9"/>
      <c r="J809" s="37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customFormat="false" ht="15.75" hidden="false" customHeight="false" outlineLevel="0" collapsed="false">
      <c r="A810" s="13"/>
      <c r="B810" s="13"/>
      <c r="C810" s="9"/>
      <c r="D810" s="9"/>
      <c r="E810" s="9"/>
      <c r="F810" s="9"/>
      <c r="G810" s="9"/>
      <c r="H810" s="9"/>
      <c r="I810" s="9"/>
      <c r="J810" s="37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customFormat="false" ht="15.75" hidden="false" customHeight="false" outlineLevel="0" collapsed="false">
      <c r="A811" s="13"/>
      <c r="B811" s="13"/>
      <c r="C811" s="9"/>
      <c r="D811" s="9"/>
      <c r="E811" s="9"/>
      <c r="F811" s="9"/>
      <c r="G811" s="9"/>
      <c r="H811" s="9"/>
      <c r="I811" s="9"/>
      <c r="J811" s="37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customFormat="false" ht="15.75" hidden="false" customHeight="false" outlineLevel="0" collapsed="false">
      <c r="A812" s="13"/>
      <c r="B812" s="13"/>
      <c r="C812" s="9"/>
      <c r="D812" s="9"/>
      <c r="E812" s="9"/>
      <c r="F812" s="9"/>
      <c r="G812" s="9"/>
      <c r="H812" s="9"/>
      <c r="I812" s="9"/>
      <c r="J812" s="37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customFormat="false" ht="15.75" hidden="false" customHeight="false" outlineLevel="0" collapsed="false">
      <c r="A813" s="13"/>
      <c r="B813" s="13"/>
      <c r="C813" s="9"/>
      <c r="D813" s="9"/>
      <c r="E813" s="9"/>
      <c r="F813" s="9"/>
      <c r="G813" s="9"/>
      <c r="H813" s="9"/>
      <c r="I813" s="9"/>
      <c r="J813" s="37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customFormat="false" ht="15.75" hidden="false" customHeight="false" outlineLevel="0" collapsed="false">
      <c r="A814" s="13"/>
      <c r="B814" s="13"/>
      <c r="C814" s="9"/>
      <c r="D814" s="9"/>
      <c r="E814" s="9"/>
      <c r="F814" s="9"/>
      <c r="G814" s="9"/>
      <c r="H814" s="9"/>
      <c r="I814" s="9"/>
      <c r="J814" s="37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customFormat="false" ht="15.75" hidden="false" customHeight="false" outlineLevel="0" collapsed="false">
      <c r="A815" s="13"/>
      <c r="B815" s="13"/>
      <c r="C815" s="9"/>
      <c r="D815" s="9"/>
      <c r="E815" s="9"/>
      <c r="F815" s="9"/>
      <c r="G815" s="9"/>
      <c r="H815" s="9"/>
      <c r="I815" s="9"/>
      <c r="J815" s="37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customFormat="false" ht="15.75" hidden="false" customHeight="false" outlineLevel="0" collapsed="false">
      <c r="A816" s="13"/>
      <c r="B816" s="13"/>
      <c r="C816" s="9"/>
      <c r="D816" s="9"/>
      <c r="E816" s="9"/>
      <c r="F816" s="9"/>
      <c r="G816" s="9"/>
      <c r="H816" s="9"/>
      <c r="I816" s="9"/>
      <c r="J816" s="37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customFormat="false" ht="15.75" hidden="false" customHeight="false" outlineLevel="0" collapsed="false">
      <c r="A817" s="13"/>
      <c r="B817" s="13"/>
      <c r="C817" s="9"/>
      <c r="D817" s="9"/>
      <c r="E817" s="9"/>
      <c r="F817" s="9"/>
      <c r="G817" s="9"/>
      <c r="H817" s="9"/>
      <c r="I817" s="9"/>
      <c r="J817" s="37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customFormat="false" ht="15.75" hidden="false" customHeight="false" outlineLevel="0" collapsed="false">
      <c r="A818" s="13"/>
      <c r="B818" s="13"/>
      <c r="C818" s="9"/>
      <c r="D818" s="9"/>
      <c r="E818" s="9"/>
      <c r="F818" s="9"/>
      <c r="G818" s="9"/>
      <c r="H818" s="9"/>
      <c r="I818" s="9"/>
      <c r="J818" s="37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customFormat="false" ht="15.75" hidden="false" customHeight="false" outlineLevel="0" collapsed="false">
      <c r="A819" s="13"/>
      <c r="B819" s="13"/>
      <c r="C819" s="9"/>
      <c r="D819" s="9"/>
      <c r="E819" s="9"/>
      <c r="F819" s="9"/>
      <c r="G819" s="9"/>
      <c r="H819" s="9"/>
      <c r="I819" s="9"/>
      <c r="J819" s="37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customFormat="false" ht="15.75" hidden="false" customHeight="false" outlineLevel="0" collapsed="false">
      <c r="A820" s="13"/>
      <c r="B820" s="13"/>
      <c r="C820" s="9"/>
      <c r="D820" s="9"/>
      <c r="E820" s="9"/>
      <c r="F820" s="9"/>
      <c r="G820" s="9"/>
      <c r="H820" s="9"/>
      <c r="I820" s="9"/>
      <c r="J820" s="37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customFormat="false" ht="15.75" hidden="false" customHeight="false" outlineLevel="0" collapsed="false">
      <c r="A821" s="13"/>
      <c r="B821" s="13"/>
      <c r="C821" s="9"/>
      <c r="D821" s="9"/>
      <c r="E821" s="9"/>
      <c r="F821" s="9"/>
      <c r="G821" s="9"/>
      <c r="H821" s="9"/>
      <c r="I821" s="9"/>
      <c r="J821" s="37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customFormat="false" ht="15.75" hidden="false" customHeight="false" outlineLevel="0" collapsed="false">
      <c r="A822" s="13"/>
      <c r="B822" s="13"/>
      <c r="C822" s="9"/>
      <c r="D822" s="9"/>
      <c r="E822" s="9"/>
      <c r="F822" s="9"/>
      <c r="G822" s="9"/>
      <c r="H822" s="9"/>
      <c r="I822" s="9"/>
      <c r="J822" s="37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customFormat="false" ht="15.75" hidden="false" customHeight="false" outlineLevel="0" collapsed="false">
      <c r="A823" s="13"/>
      <c r="B823" s="13"/>
      <c r="C823" s="9"/>
      <c r="D823" s="9"/>
      <c r="E823" s="9"/>
      <c r="F823" s="9"/>
      <c r="G823" s="9"/>
      <c r="H823" s="9"/>
      <c r="I823" s="9"/>
      <c r="J823" s="37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customFormat="false" ht="15.75" hidden="false" customHeight="false" outlineLevel="0" collapsed="false">
      <c r="A824" s="13"/>
      <c r="B824" s="13"/>
      <c r="C824" s="9"/>
      <c r="D824" s="9"/>
      <c r="E824" s="9"/>
      <c r="F824" s="9"/>
      <c r="G824" s="9"/>
      <c r="H824" s="9"/>
      <c r="I824" s="9"/>
      <c r="J824" s="37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customFormat="false" ht="15.75" hidden="false" customHeight="false" outlineLevel="0" collapsed="false">
      <c r="A825" s="13"/>
      <c r="B825" s="13"/>
      <c r="C825" s="9"/>
      <c r="D825" s="9"/>
      <c r="E825" s="9"/>
      <c r="F825" s="9"/>
      <c r="G825" s="9"/>
      <c r="H825" s="9"/>
      <c r="I825" s="9"/>
      <c r="J825" s="37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customFormat="false" ht="15.75" hidden="false" customHeight="false" outlineLevel="0" collapsed="false">
      <c r="A826" s="13"/>
      <c r="B826" s="13"/>
      <c r="C826" s="9"/>
      <c r="D826" s="9"/>
      <c r="E826" s="9"/>
      <c r="F826" s="9"/>
      <c r="G826" s="9"/>
      <c r="H826" s="9"/>
      <c r="I826" s="9"/>
      <c r="J826" s="37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customFormat="false" ht="15.75" hidden="false" customHeight="false" outlineLevel="0" collapsed="false">
      <c r="A827" s="13"/>
      <c r="B827" s="13"/>
      <c r="C827" s="9"/>
      <c r="D827" s="9"/>
      <c r="E827" s="9"/>
      <c r="F827" s="9"/>
      <c r="G827" s="9"/>
      <c r="H827" s="9"/>
      <c r="I827" s="9"/>
      <c r="J827" s="37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customFormat="false" ht="15.75" hidden="false" customHeight="false" outlineLevel="0" collapsed="false">
      <c r="A828" s="13"/>
      <c r="B828" s="13"/>
      <c r="C828" s="9"/>
      <c r="D828" s="9"/>
      <c r="E828" s="9"/>
      <c r="F828" s="9"/>
      <c r="G828" s="9"/>
      <c r="H828" s="9"/>
      <c r="I828" s="9"/>
      <c r="J828" s="37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customFormat="false" ht="15.75" hidden="false" customHeight="false" outlineLevel="0" collapsed="false">
      <c r="A829" s="13"/>
      <c r="B829" s="13"/>
      <c r="C829" s="9"/>
      <c r="D829" s="9"/>
      <c r="E829" s="9"/>
      <c r="F829" s="9"/>
      <c r="G829" s="9"/>
      <c r="H829" s="9"/>
      <c r="I829" s="9"/>
      <c r="J829" s="37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customFormat="false" ht="15.75" hidden="false" customHeight="false" outlineLevel="0" collapsed="false">
      <c r="A830" s="13"/>
      <c r="B830" s="13"/>
      <c r="C830" s="9"/>
      <c r="D830" s="9"/>
      <c r="E830" s="9"/>
      <c r="F830" s="9"/>
      <c r="G830" s="9"/>
      <c r="H830" s="9"/>
      <c r="I830" s="9"/>
      <c r="J830" s="37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customFormat="false" ht="15.75" hidden="false" customHeight="false" outlineLevel="0" collapsed="false">
      <c r="A831" s="13"/>
      <c r="B831" s="13"/>
      <c r="C831" s="9"/>
      <c r="D831" s="9"/>
      <c r="E831" s="9"/>
      <c r="F831" s="9"/>
      <c r="G831" s="9"/>
      <c r="H831" s="9"/>
      <c r="I831" s="9"/>
      <c r="J831" s="37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customFormat="false" ht="15.75" hidden="false" customHeight="false" outlineLevel="0" collapsed="false">
      <c r="A832" s="13"/>
      <c r="B832" s="13"/>
      <c r="C832" s="9"/>
      <c r="D832" s="9"/>
      <c r="E832" s="9"/>
      <c r="F832" s="9"/>
      <c r="G832" s="9"/>
      <c r="H832" s="9"/>
      <c r="I832" s="9"/>
      <c r="J832" s="37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customFormat="false" ht="15.75" hidden="false" customHeight="false" outlineLevel="0" collapsed="false">
      <c r="A833" s="13"/>
      <c r="B833" s="13"/>
      <c r="C833" s="9"/>
      <c r="D833" s="9"/>
      <c r="E833" s="9"/>
      <c r="F833" s="9"/>
      <c r="G833" s="9"/>
      <c r="H833" s="9"/>
      <c r="I833" s="9"/>
      <c r="J833" s="37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customFormat="false" ht="15.75" hidden="false" customHeight="false" outlineLevel="0" collapsed="false">
      <c r="A834" s="13"/>
      <c r="B834" s="13"/>
      <c r="C834" s="9"/>
      <c r="D834" s="9"/>
      <c r="E834" s="9"/>
      <c r="F834" s="9"/>
      <c r="G834" s="9"/>
      <c r="H834" s="9"/>
      <c r="I834" s="9"/>
      <c r="J834" s="37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customFormat="false" ht="15.75" hidden="false" customHeight="false" outlineLevel="0" collapsed="false">
      <c r="A835" s="13"/>
      <c r="B835" s="13"/>
      <c r="C835" s="9"/>
      <c r="D835" s="9"/>
      <c r="E835" s="9"/>
      <c r="F835" s="9"/>
      <c r="G835" s="9"/>
      <c r="H835" s="9"/>
      <c r="I835" s="9"/>
      <c r="J835" s="37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customFormat="false" ht="15.75" hidden="false" customHeight="false" outlineLevel="0" collapsed="false">
      <c r="A836" s="13"/>
      <c r="B836" s="13"/>
      <c r="C836" s="9"/>
      <c r="D836" s="9"/>
      <c r="E836" s="9"/>
      <c r="F836" s="9"/>
      <c r="G836" s="9"/>
      <c r="H836" s="9"/>
      <c r="I836" s="9"/>
      <c r="J836" s="37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customFormat="false" ht="15.75" hidden="false" customHeight="false" outlineLevel="0" collapsed="false">
      <c r="A837" s="13"/>
      <c r="B837" s="13"/>
      <c r="C837" s="9"/>
      <c r="D837" s="9"/>
      <c r="E837" s="9"/>
      <c r="F837" s="9"/>
      <c r="G837" s="9"/>
      <c r="H837" s="9"/>
      <c r="I837" s="9"/>
      <c r="J837" s="37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customFormat="false" ht="15.75" hidden="false" customHeight="false" outlineLevel="0" collapsed="false">
      <c r="A838" s="13"/>
      <c r="B838" s="13"/>
      <c r="C838" s="9"/>
      <c r="D838" s="9"/>
      <c r="E838" s="9"/>
      <c r="F838" s="9"/>
      <c r="G838" s="9"/>
      <c r="H838" s="9"/>
      <c r="I838" s="9"/>
      <c r="J838" s="37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customFormat="false" ht="15.75" hidden="false" customHeight="false" outlineLevel="0" collapsed="false">
      <c r="A839" s="13"/>
      <c r="B839" s="13"/>
      <c r="C839" s="9"/>
      <c r="D839" s="9"/>
      <c r="E839" s="9"/>
      <c r="F839" s="9"/>
      <c r="G839" s="9"/>
      <c r="H839" s="9"/>
      <c r="I839" s="9"/>
      <c r="J839" s="37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customFormat="false" ht="15.75" hidden="false" customHeight="false" outlineLevel="0" collapsed="false">
      <c r="A840" s="13"/>
      <c r="B840" s="13"/>
      <c r="C840" s="9"/>
      <c r="D840" s="9"/>
      <c r="E840" s="9"/>
      <c r="F840" s="9"/>
      <c r="G840" s="9"/>
      <c r="H840" s="9"/>
      <c r="I840" s="9"/>
      <c r="J840" s="37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customFormat="false" ht="15.75" hidden="false" customHeight="false" outlineLevel="0" collapsed="false">
      <c r="A841" s="13"/>
      <c r="B841" s="13"/>
      <c r="C841" s="9"/>
      <c r="D841" s="9"/>
      <c r="E841" s="9"/>
      <c r="F841" s="9"/>
      <c r="G841" s="9"/>
      <c r="H841" s="9"/>
      <c r="I841" s="9"/>
      <c r="J841" s="37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customFormat="false" ht="15.75" hidden="false" customHeight="false" outlineLevel="0" collapsed="false">
      <c r="A842" s="13"/>
      <c r="B842" s="13"/>
      <c r="C842" s="9"/>
      <c r="D842" s="9"/>
      <c r="E842" s="9"/>
      <c r="F842" s="9"/>
      <c r="G842" s="9"/>
      <c r="H842" s="9"/>
      <c r="I842" s="9"/>
      <c r="J842" s="37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customFormat="false" ht="15.75" hidden="false" customHeight="false" outlineLevel="0" collapsed="false">
      <c r="A843" s="13"/>
      <c r="B843" s="13"/>
      <c r="C843" s="9"/>
      <c r="D843" s="9"/>
      <c r="E843" s="9"/>
      <c r="F843" s="9"/>
      <c r="G843" s="9"/>
      <c r="H843" s="9"/>
      <c r="I843" s="9"/>
      <c r="J843" s="37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customFormat="false" ht="15.75" hidden="false" customHeight="false" outlineLevel="0" collapsed="false">
      <c r="A844" s="13"/>
      <c r="B844" s="13"/>
      <c r="C844" s="9"/>
      <c r="D844" s="9"/>
      <c r="E844" s="9"/>
      <c r="F844" s="9"/>
      <c r="G844" s="9"/>
      <c r="H844" s="9"/>
      <c r="I844" s="9"/>
      <c r="J844" s="37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customFormat="false" ht="15.75" hidden="false" customHeight="false" outlineLevel="0" collapsed="false">
      <c r="A845" s="13"/>
      <c r="B845" s="13"/>
      <c r="C845" s="9"/>
      <c r="D845" s="9"/>
      <c r="E845" s="9"/>
      <c r="F845" s="9"/>
      <c r="G845" s="9"/>
      <c r="H845" s="9"/>
      <c r="I845" s="9"/>
      <c r="J845" s="37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customFormat="false" ht="15.75" hidden="false" customHeight="false" outlineLevel="0" collapsed="false">
      <c r="A846" s="13"/>
      <c r="B846" s="13"/>
      <c r="C846" s="9"/>
      <c r="D846" s="9"/>
      <c r="E846" s="9"/>
      <c r="F846" s="9"/>
      <c r="G846" s="9"/>
      <c r="H846" s="9"/>
      <c r="I846" s="9"/>
      <c r="J846" s="37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customFormat="false" ht="15.75" hidden="false" customHeight="false" outlineLevel="0" collapsed="false">
      <c r="A847" s="13"/>
      <c r="B847" s="13"/>
      <c r="C847" s="9"/>
      <c r="D847" s="9"/>
      <c r="E847" s="9"/>
      <c r="F847" s="9"/>
      <c r="G847" s="9"/>
      <c r="H847" s="9"/>
      <c r="I847" s="9"/>
      <c r="J847" s="37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customFormat="false" ht="15.75" hidden="false" customHeight="false" outlineLevel="0" collapsed="false">
      <c r="A848" s="13"/>
      <c r="B848" s="13"/>
      <c r="C848" s="9"/>
      <c r="D848" s="9"/>
      <c r="E848" s="9"/>
      <c r="F848" s="9"/>
      <c r="G848" s="9"/>
      <c r="H848" s="9"/>
      <c r="I848" s="9"/>
      <c r="J848" s="37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customFormat="false" ht="15.75" hidden="false" customHeight="false" outlineLevel="0" collapsed="false">
      <c r="A849" s="13"/>
      <c r="B849" s="13"/>
      <c r="C849" s="9"/>
      <c r="D849" s="9"/>
      <c r="E849" s="9"/>
      <c r="F849" s="9"/>
      <c r="G849" s="9"/>
      <c r="H849" s="9"/>
      <c r="I849" s="9"/>
      <c r="J849" s="37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customFormat="false" ht="15.75" hidden="false" customHeight="false" outlineLevel="0" collapsed="false">
      <c r="A850" s="13"/>
      <c r="B850" s="13"/>
      <c r="C850" s="9"/>
      <c r="D850" s="9"/>
      <c r="E850" s="9"/>
      <c r="F850" s="9"/>
      <c r="G850" s="9"/>
      <c r="H850" s="9"/>
      <c r="I850" s="9"/>
      <c r="J850" s="37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customFormat="false" ht="15.75" hidden="false" customHeight="false" outlineLevel="0" collapsed="false">
      <c r="A851" s="13"/>
      <c r="B851" s="13"/>
      <c r="C851" s="9"/>
      <c r="D851" s="9"/>
      <c r="E851" s="9"/>
      <c r="F851" s="9"/>
      <c r="G851" s="9"/>
      <c r="H851" s="9"/>
      <c r="I851" s="9"/>
      <c r="J851" s="37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customFormat="false" ht="15.75" hidden="false" customHeight="false" outlineLevel="0" collapsed="false">
      <c r="A852" s="13"/>
      <c r="B852" s="13"/>
      <c r="C852" s="9"/>
      <c r="D852" s="9"/>
      <c r="E852" s="9"/>
      <c r="F852" s="9"/>
      <c r="G852" s="9"/>
      <c r="H852" s="9"/>
      <c r="I852" s="9"/>
      <c r="J852" s="37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customFormat="false" ht="15.75" hidden="false" customHeight="false" outlineLevel="0" collapsed="false">
      <c r="A853" s="13"/>
      <c r="B853" s="13"/>
      <c r="C853" s="9"/>
      <c r="D853" s="9"/>
      <c r="E853" s="9"/>
      <c r="F853" s="9"/>
      <c r="G853" s="9"/>
      <c r="H853" s="9"/>
      <c r="I853" s="9"/>
      <c r="J853" s="37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customFormat="false" ht="15.75" hidden="false" customHeight="false" outlineLevel="0" collapsed="false">
      <c r="A854" s="13"/>
      <c r="B854" s="13"/>
      <c r="C854" s="9"/>
      <c r="D854" s="9"/>
      <c r="E854" s="9"/>
      <c r="F854" s="9"/>
      <c r="G854" s="9"/>
      <c r="H854" s="9"/>
      <c r="I854" s="9"/>
      <c r="J854" s="37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customFormat="false" ht="15.75" hidden="false" customHeight="false" outlineLevel="0" collapsed="false">
      <c r="A855" s="13"/>
      <c r="B855" s="13"/>
      <c r="C855" s="9"/>
      <c r="D855" s="9"/>
      <c r="E855" s="9"/>
      <c r="F855" s="9"/>
      <c r="G855" s="9"/>
      <c r="H855" s="9"/>
      <c r="I855" s="9"/>
      <c r="J855" s="37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customFormat="false" ht="15.75" hidden="false" customHeight="false" outlineLevel="0" collapsed="false">
      <c r="A856" s="13"/>
      <c r="B856" s="13"/>
      <c r="C856" s="9"/>
      <c r="D856" s="9"/>
      <c r="E856" s="9"/>
      <c r="F856" s="9"/>
      <c r="G856" s="9"/>
      <c r="H856" s="9"/>
      <c r="I856" s="9"/>
      <c r="J856" s="37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customFormat="false" ht="15.75" hidden="false" customHeight="false" outlineLevel="0" collapsed="false">
      <c r="A857" s="13"/>
      <c r="B857" s="13"/>
      <c r="C857" s="9"/>
      <c r="D857" s="9"/>
      <c r="E857" s="9"/>
      <c r="F857" s="9"/>
      <c r="G857" s="9"/>
      <c r="H857" s="9"/>
      <c r="I857" s="9"/>
      <c r="J857" s="37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customFormat="false" ht="15.75" hidden="false" customHeight="false" outlineLevel="0" collapsed="false">
      <c r="A858" s="13"/>
      <c r="B858" s="13"/>
      <c r="C858" s="9"/>
      <c r="D858" s="9"/>
      <c r="E858" s="9"/>
      <c r="F858" s="9"/>
      <c r="G858" s="9"/>
      <c r="H858" s="9"/>
      <c r="I858" s="9"/>
      <c r="J858" s="37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customFormat="false" ht="15.75" hidden="false" customHeight="false" outlineLevel="0" collapsed="false">
      <c r="A859" s="13"/>
      <c r="B859" s="13"/>
      <c r="C859" s="9"/>
      <c r="D859" s="9"/>
      <c r="E859" s="9"/>
      <c r="F859" s="9"/>
      <c r="G859" s="9"/>
      <c r="H859" s="9"/>
      <c r="I859" s="9"/>
      <c r="J859" s="37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customFormat="false" ht="15.75" hidden="false" customHeight="false" outlineLevel="0" collapsed="false">
      <c r="A860" s="13"/>
      <c r="B860" s="13"/>
      <c r="C860" s="9"/>
      <c r="D860" s="9"/>
      <c r="E860" s="9"/>
      <c r="F860" s="9"/>
      <c r="G860" s="9"/>
      <c r="H860" s="9"/>
      <c r="I860" s="9"/>
      <c r="J860" s="37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customFormat="false" ht="15.75" hidden="false" customHeight="false" outlineLevel="0" collapsed="false">
      <c r="A861" s="13"/>
      <c r="B861" s="13"/>
      <c r="C861" s="9"/>
      <c r="D861" s="9"/>
      <c r="E861" s="9"/>
      <c r="F861" s="9"/>
      <c r="G861" s="9"/>
      <c r="H861" s="9"/>
      <c r="I861" s="9"/>
      <c r="J861" s="37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customFormat="false" ht="15.75" hidden="false" customHeight="false" outlineLevel="0" collapsed="false">
      <c r="A862" s="13"/>
      <c r="B862" s="13"/>
      <c r="C862" s="9"/>
      <c r="D862" s="9"/>
      <c r="E862" s="9"/>
      <c r="F862" s="9"/>
      <c r="G862" s="9"/>
      <c r="H862" s="9"/>
      <c r="I862" s="9"/>
      <c r="J862" s="37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customFormat="false" ht="15.75" hidden="false" customHeight="false" outlineLevel="0" collapsed="false">
      <c r="A863" s="13"/>
      <c r="B863" s="13"/>
      <c r="C863" s="9"/>
      <c r="D863" s="9"/>
      <c r="E863" s="9"/>
      <c r="F863" s="9"/>
      <c r="G863" s="9"/>
      <c r="H863" s="9"/>
      <c r="I863" s="9"/>
      <c r="J863" s="37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customFormat="false" ht="15.75" hidden="false" customHeight="false" outlineLevel="0" collapsed="false">
      <c r="A864" s="13"/>
      <c r="B864" s="13"/>
      <c r="C864" s="9"/>
      <c r="D864" s="9"/>
      <c r="E864" s="9"/>
      <c r="F864" s="9"/>
      <c r="G864" s="9"/>
      <c r="H864" s="9"/>
      <c r="I864" s="9"/>
      <c r="J864" s="37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customFormat="false" ht="15.75" hidden="false" customHeight="false" outlineLevel="0" collapsed="false">
      <c r="A865" s="13"/>
      <c r="B865" s="13"/>
      <c r="C865" s="9"/>
      <c r="D865" s="9"/>
      <c r="E865" s="9"/>
      <c r="F865" s="9"/>
      <c r="G865" s="9"/>
      <c r="H865" s="9"/>
      <c r="I865" s="9"/>
      <c r="J865" s="37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customFormat="false" ht="15.75" hidden="false" customHeight="false" outlineLevel="0" collapsed="false">
      <c r="A866" s="13"/>
      <c r="B866" s="13"/>
      <c r="C866" s="9"/>
      <c r="D866" s="9"/>
      <c r="E866" s="9"/>
      <c r="F866" s="9"/>
      <c r="G866" s="9"/>
      <c r="H866" s="9"/>
      <c r="I866" s="9"/>
      <c r="J866" s="37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customFormat="false" ht="15.75" hidden="false" customHeight="false" outlineLevel="0" collapsed="false">
      <c r="A867" s="13"/>
      <c r="B867" s="13"/>
      <c r="C867" s="9"/>
      <c r="D867" s="9"/>
      <c r="E867" s="9"/>
      <c r="F867" s="9"/>
      <c r="G867" s="9"/>
      <c r="H867" s="9"/>
      <c r="I867" s="9"/>
      <c r="J867" s="37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customFormat="false" ht="15.75" hidden="false" customHeight="false" outlineLevel="0" collapsed="false">
      <c r="A868" s="13"/>
      <c r="B868" s="13"/>
      <c r="C868" s="9"/>
      <c r="D868" s="9"/>
      <c r="E868" s="9"/>
      <c r="F868" s="9"/>
      <c r="G868" s="9"/>
      <c r="H868" s="9"/>
      <c r="I868" s="9"/>
      <c r="J868" s="37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customFormat="false" ht="15.75" hidden="false" customHeight="false" outlineLevel="0" collapsed="false">
      <c r="A869" s="13"/>
      <c r="B869" s="13"/>
      <c r="C869" s="9"/>
      <c r="D869" s="9"/>
      <c r="E869" s="9"/>
      <c r="F869" s="9"/>
      <c r="G869" s="9"/>
      <c r="H869" s="9"/>
      <c r="I869" s="9"/>
      <c r="J869" s="37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customFormat="false" ht="15.75" hidden="false" customHeight="false" outlineLevel="0" collapsed="false">
      <c r="A870" s="13"/>
      <c r="B870" s="13"/>
      <c r="C870" s="9"/>
      <c r="D870" s="9"/>
      <c r="E870" s="9"/>
      <c r="F870" s="9"/>
      <c r="G870" s="9"/>
      <c r="H870" s="9"/>
      <c r="I870" s="9"/>
      <c r="J870" s="37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customFormat="false" ht="15.75" hidden="false" customHeight="false" outlineLevel="0" collapsed="false">
      <c r="A871" s="13"/>
      <c r="B871" s="13"/>
      <c r="C871" s="9"/>
      <c r="D871" s="9"/>
      <c r="E871" s="9"/>
      <c r="F871" s="9"/>
      <c r="G871" s="9"/>
      <c r="H871" s="9"/>
      <c r="I871" s="9"/>
      <c r="J871" s="37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customFormat="false" ht="15.75" hidden="false" customHeight="false" outlineLevel="0" collapsed="false">
      <c r="A872" s="13"/>
      <c r="B872" s="13"/>
      <c r="C872" s="9"/>
      <c r="D872" s="9"/>
      <c r="E872" s="9"/>
      <c r="F872" s="9"/>
      <c r="G872" s="9"/>
      <c r="H872" s="9"/>
      <c r="I872" s="9"/>
      <c r="J872" s="37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customFormat="false" ht="15.75" hidden="false" customHeight="false" outlineLevel="0" collapsed="false">
      <c r="A873" s="13"/>
      <c r="B873" s="13"/>
      <c r="C873" s="9"/>
      <c r="D873" s="9"/>
      <c r="E873" s="9"/>
      <c r="F873" s="9"/>
      <c r="G873" s="9"/>
      <c r="H873" s="9"/>
      <c r="I873" s="9"/>
      <c r="J873" s="37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customFormat="false" ht="15.75" hidden="false" customHeight="false" outlineLevel="0" collapsed="false">
      <c r="A874" s="13"/>
      <c r="B874" s="13"/>
      <c r="C874" s="9"/>
      <c r="D874" s="9"/>
      <c r="E874" s="9"/>
      <c r="F874" s="9"/>
      <c r="G874" s="9"/>
      <c r="H874" s="9"/>
      <c r="I874" s="9"/>
      <c r="J874" s="37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customFormat="false" ht="15.75" hidden="false" customHeight="false" outlineLevel="0" collapsed="false">
      <c r="A875" s="13"/>
      <c r="B875" s="13"/>
      <c r="C875" s="9"/>
      <c r="D875" s="9"/>
      <c r="E875" s="9"/>
      <c r="F875" s="9"/>
      <c r="G875" s="9"/>
      <c r="H875" s="9"/>
      <c r="I875" s="9"/>
      <c r="J875" s="37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customFormat="false" ht="15.75" hidden="false" customHeight="false" outlineLevel="0" collapsed="false">
      <c r="A876" s="13"/>
      <c r="B876" s="13"/>
      <c r="C876" s="9"/>
      <c r="D876" s="9"/>
      <c r="E876" s="9"/>
      <c r="F876" s="9"/>
      <c r="G876" s="9"/>
      <c r="H876" s="9"/>
      <c r="I876" s="9"/>
      <c r="J876" s="37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customFormat="false" ht="15.75" hidden="false" customHeight="false" outlineLevel="0" collapsed="false">
      <c r="A877" s="13"/>
      <c r="B877" s="13"/>
      <c r="C877" s="9"/>
      <c r="D877" s="9"/>
      <c r="E877" s="9"/>
      <c r="F877" s="9"/>
      <c r="G877" s="9"/>
      <c r="H877" s="9"/>
      <c r="I877" s="9"/>
      <c r="J877" s="37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customFormat="false" ht="15.75" hidden="false" customHeight="false" outlineLevel="0" collapsed="false">
      <c r="A878" s="13"/>
      <c r="B878" s="13"/>
      <c r="C878" s="9"/>
      <c r="D878" s="9"/>
      <c r="E878" s="9"/>
      <c r="F878" s="9"/>
      <c r="G878" s="9"/>
      <c r="H878" s="9"/>
      <c r="I878" s="9"/>
      <c r="J878" s="37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customFormat="false" ht="15.75" hidden="false" customHeight="false" outlineLevel="0" collapsed="false">
      <c r="A879" s="13"/>
      <c r="B879" s="13"/>
      <c r="C879" s="9"/>
      <c r="D879" s="9"/>
      <c r="E879" s="9"/>
      <c r="F879" s="9"/>
      <c r="G879" s="9"/>
      <c r="H879" s="9"/>
      <c r="I879" s="9"/>
      <c r="J879" s="37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customFormat="false" ht="15.75" hidden="false" customHeight="false" outlineLevel="0" collapsed="false">
      <c r="A880" s="13"/>
      <c r="B880" s="13"/>
      <c r="C880" s="9"/>
      <c r="D880" s="9"/>
      <c r="E880" s="9"/>
      <c r="F880" s="9"/>
      <c r="G880" s="9"/>
      <c r="H880" s="9"/>
      <c r="I880" s="9"/>
      <c r="J880" s="37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customFormat="false" ht="15.75" hidden="false" customHeight="false" outlineLevel="0" collapsed="false">
      <c r="A881" s="13"/>
      <c r="B881" s="13"/>
      <c r="C881" s="9"/>
      <c r="D881" s="9"/>
      <c r="E881" s="9"/>
      <c r="F881" s="9"/>
      <c r="G881" s="9"/>
      <c r="H881" s="9"/>
      <c r="I881" s="9"/>
      <c r="J881" s="37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customFormat="false" ht="15.75" hidden="false" customHeight="false" outlineLevel="0" collapsed="false">
      <c r="A882" s="13"/>
      <c r="B882" s="13"/>
      <c r="C882" s="9"/>
      <c r="D882" s="9"/>
      <c r="E882" s="9"/>
      <c r="F882" s="9"/>
      <c r="G882" s="9"/>
      <c r="H882" s="9"/>
      <c r="I882" s="9"/>
      <c r="J882" s="37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customFormat="false" ht="15.75" hidden="false" customHeight="false" outlineLevel="0" collapsed="false">
      <c r="A883" s="13"/>
      <c r="B883" s="13"/>
      <c r="C883" s="9"/>
      <c r="D883" s="9"/>
      <c r="E883" s="9"/>
      <c r="F883" s="9"/>
      <c r="G883" s="9"/>
      <c r="H883" s="9"/>
      <c r="I883" s="9"/>
      <c r="J883" s="37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customFormat="false" ht="15.75" hidden="false" customHeight="false" outlineLevel="0" collapsed="false">
      <c r="A884" s="13"/>
      <c r="B884" s="13"/>
      <c r="C884" s="9"/>
      <c r="D884" s="9"/>
      <c r="E884" s="9"/>
      <c r="F884" s="9"/>
      <c r="G884" s="9"/>
      <c r="H884" s="9"/>
      <c r="I884" s="9"/>
      <c r="J884" s="37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customFormat="false" ht="15.75" hidden="false" customHeight="false" outlineLevel="0" collapsed="false">
      <c r="A885" s="13"/>
      <c r="B885" s="13"/>
      <c r="C885" s="9"/>
      <c r="D885" s="9"/>
      <c r="E885" s="9"/>
      <c r="F885" s="9"/>
      <c r="G885" s="9"/>
      <c r="H885" s="9"/>
      <c r="I885" s="9"/>
      <c r="J885" s="37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customFormat="false" ht="15.75" hidden="false" customHeight="false" outlineLevel="0" collapsed="false">
      <c r="A886" s="13"/>
      <c r="B886" s="13"/>
      <c r="C886" s="9"/>
      <c r="D886" s="9"/>
      <c r="E886" s="9"/>
      <c r="F886" s="9"/>
      <c r="G886" s="9"/>
      <c r="H886" s="9"/>
      <c r="I886" s="9"/>
      <c r="J886" s="37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customFormat="false" ht="15.75" hidden="false" customHeight="false" outlineLevel="0" collapsed="false">
      <c r="A887" s="13"/>
      <c r="B887" s="13"/>
      <c r="C887" s="9"/>
      <c r="D887" s="9"/>
      <c r="E887" s="9"/>
      <c r="F887" s="9"/>
      <c r="G887" s="9"/>
      <c r="H887" s="9"/>
      <c r="I887" s="9"/>
      <c r="J887" s="37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customFormat="false" ht="15.75" hidden="false" customHeight="false" outlineLevel="0" collapsed="false">
      <c r="A888" s="13"/>
      <c r="B888" s="13"/>
      <c r="C888" s="9"/>
      <c r="D888" s="9"/>
      <c r="E888" s="9"/>
      <c r="F888" s="9"/>
      <c r="G888" s="9"/>
      <c r="H888" s="9"/>
      <c r="I888" s="9"/>
      <c r="J888" s="37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customFormat="false" ht="15.75" hidden="false" customHeight="false" outlineLevel="0" collapsed="false">
      <c r="A889" s="13"/>
      <c r="B889" s="13"/>
      <c r="C889" s="9"/>
      <c r="D889" s="9"/>
      <c r="E889" s="9"/>
      <c r="F889" s="9"/>
      <c r="G889" s="9"/>
      <c r="H889" s="9"/>
      <c r="I889" s="9"/>
      <c r="J889" s="37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customFormat="false" ht="15.75" hidden="false" customHeight="false" outlineLevel="0" collapsed="false">
      <c r="A890" s="13"/>
      <c r="B890" s="13"/>
      <c r="C890" s="9"/>
      <c r="D890" s="9"/>
      <c r="E890" s="9"/>
      <c r="F890" s="9"/>
      <c r="G890" s="9"/>
      <c r="H890" s="9"/>
      <c r="I890" s="9"/>
      <c r="J890" s="37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customFormat="false" ht="15.75" hidden="false" customHeight="false" outlineLevel="0" collapsed="false">
      <c r="A891" s="13"/>
      <c r="B891" s="13"/>
      <c r="C891" s="9"/>
      <c r="D891" s="9"/>
      <c r="E891" s="9"/>
      <c r="F891" s="9"/>
      <c r="G891" s="9"/>
      <c r="H891" s="9"/>
      <c r="I891" s="9"/>
      <c r="J891" s="37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customFormat="false" ht="15.75" hidden="false" customHeight="false" outlineLevel="0" collapsed="false">
      <c r="A892" s="13"/>
      <c r="B892" s="13"/>
      <c r="C892" s="9"/>
      <c r="D892" s="9"/>
      <c r="E892" s="9"/>
      <c r="F892" s="9"/>
      <c r="G892" s="9"/>
      <c r="H892" s="9"/>
      <c r="I892" s="9"/>
      <c r="J892" s="37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customFormat="false" ht="15.75" hidden="false" customHeight="false" outlineLevel="0" collapsed="false">
      <c r="A893" s="13"/>
      <c r="B893" s="13"/>
      <c r="C893" s="9"/>
      <c r="D893" s="9"/>
      <c r="E893" s="9"/>
      <c r="F893" s="9"/>
      <c r="G893" s="9"/>
      <c r="H893" s="9"/>
      <c r="I893" s="9"/>
      <c r="J893" s="37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customFormat="false" ht="15.75" hidden="false" customHeight="false" outlineLevel="0" collapsed="false">
      <c r="A894" s="13"/>
      <c r="B894" s="13"/>
      <c r="C894" s="9"/>
      <c r="D894" s="9"/>
      <c r="E894" s="9"/>
      <c r="F894" s="9"/>
      <c r="G894" s="9"/>
      <c r="H894" s="9"/>
      <c r="I894" s="9"/>
      <c r="J894" s="37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customFormat="false" ht="15.75" hidden="false" customHeight="false" outlineLevel="0" collapsed="false">
      <c r="A895" s="13"/>
      <c r="B895" s="13"/>
      <c r="C895" s="9"/>
      <c r="D895" s="9"/>
      <c r="E895" s="9"/>
      <c r="F895" s="9"/>
      <c r="G895" s="9"/>
      <c r="H895" s="9"/>
      <c r="I895" s="9"/>
      <c r="J895" s="37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customFormat="false" ht="15.75" hidden="false" customHeight="false" outlineLevel="0" collapsed="false">
      <c r="A896" s="13"/>
      <c r="B896" s="13"/>
      <c r="C896" s="9"/>
      <c r="D896" s="9"/>
      <c r="E896" s="9"/>
      <c r="F896" s="9"/>
      <c r="G896" s="9"/>
      <c r="H896" s="9"/>
      <c r="I896" s="9"/>
      <c r="J896" s="37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customFormat="false" ht="15.75" hidden="false" customHeight="false" outlineLevel="0" collapsed="false">
      <c r="A897" s="13"/>
      <c r="B897" s="13"/>
      <c r="C897" s="9"/>
      <c r="D897" s="9"/>
      <c r="E897" s="9"/>
      <c r="F897" s="9"/>
      <c r="G897" s="9"/>
      <c r="H897" s="9"/>
      <c r="I897" s="9"/>
      <c r="J897" s="37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customFormat="false" ht="15.75" hidden="false" customHeight="false" outlineLevel="0" collapsed="false">
      <c r="A898" s="13"/>
      <c r="B898" s="13"/>
      <c r="C898" s="9"/>
      <c r="D898" s="9"/>
      <c r="E898" s="9"/>
      <c r="F898" s="9"/>
      <c r="G898" s="9"/>
      <c r="H898" s="9"/>
      <c r="I898" s="9"/>
      <c r="J898" s="37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customFormat="false" ht="15.75" hidden="false" customHeight="false" outlineLevel="0" collapsed="false">
      <c r="A899" s="13"/>
      <c r="B899" s="13"/>
      <c r="C899" s="9"/>
      <c r="D899" s="9"/>
      <c r="E899" s="9"/>
      <c r="F899" s="9"/>
      <c r="G899" s="9"/>
      <c r="H899" s="9"/>
      <c r="I899" s="9"/>
      <c r="J899" s="37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customFormat="false" ht="15.75" hidden="false" customHeight="false" outlineLevel="0" collapsed="false">
      <c r="A900" s="13"/>
      <c r="B900" s="13"/>
      <c r="C900" s="9"/>
      <c r="D900" s="9"/>
      <c r="E900" s="9"/>
      <c r="F900" s="9"/>
      <c r="G900" s="9"/>
      <c r="H900" s="9"/>
      <c r="I900" s="9"/>
      <c r="J900" s="37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customFormat="false" ht="15.75" hidden="false" customHeight="false" outlineLevel="0" collapsed="false">
      <c r="A901" s="13"/>
      <c r="B901" s="13"/>
      <c r="C901" s="9"/>
      <c r="D901" s="9"/>
      <c r="E901" s="9"/>
      <c r="F901" s="9"/>
      <c r="G901" s="9"/>
      <c r="H901" s="9"/>
      <c r="I901" s="9"/>
      <c r="J901" s="37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customFormat="false" ht="15.75" hidden="false" customHeight="false" outlineLevel="0" collapsed="false">
      <c r="A902" s="13"/>
      <c r="B902" s="13"/>
      <c r="C902" s="9"/>
      <c r="D902" s="9"/>
      <c r="E902" s="9"/>
      <c r="F902" s="9"/>
      <c r="G902" s="9"/>
      <c r="H902" s="9"/>
      <c r="I902" s="9"/>
      <c r="J902" s="37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customFormat="false" ht="15.75" hidden="false" customHeight="false" outlineLevel="0" collapsed="false">
      <c r="A903" s="13"/>
      <c r="B903" s="13"/>
      <c r="C903" s="9"/>
      <c r="D903" s="9"/>
      <c r="E903" s="9"/>
      <c r="F903" s="9"/>
      <c r="G903" s="9"/>
      <c r="H903" s="9"/>
      <c r="I903" s="9"/>
      <c r="J903" s="37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customFormat="false" ht="15.75" hidden="false" customHeight="false" outlineLevel="0" collapsed="false">
      <c r="A904" s="13"/>
      <c r="B904" s="13"/>
      <c r="C904" s="9"/>
      <c r="D904" s="9"/>
      <c r="E904" s="9"/>
      <c r="F904" s="9"/>
      <c r="G904" s="9"/>
      <c r="H904" s="9"/>
      <c r="I904" s="9"/>
      <c r="J904" s="37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customFormat="false" ht="15.75" hidden="false" customHeight="false" outlineLevel="0" collapsed="false">
      <c r="A905" s="13"/>
      <c r="B905" s="13"/>
      <c r="C905" s="9"/>
      <c r="D905" s="9"/>
      <c r="E905" s="9"/>
      <c r="F905" s="9"/>
      <c r="G905" s="9"/>
      <c r="H905" s="9"/>
      <c r="I905" s="9"/>
      <c r="J905" s="37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customFormat="false" ht="15.75" hidden="false" customHeight="false" outlineLevel="0" collapsed="false">
      <c r="A906" s="13"/>
      <c r="B906" s="13"/>
      <c r="C906" s="9"/>
      <c r="D906" s="9"/>
      <c r="E906" s="9"/>
      <c r="F906" s="9"/>
      <c r="G906" s="9"/>
      <c r="H906" s="9"/>
      <c r="I906" s="9"/>
      <c r="J906" s="37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customFormat="false" ht="15.75" hidden="false" customHeight="false" outlineLevel="0" collapsed="false">
      <c r="A907" s="13"/>
      <c r="B907" s="13"/>
      <c r="C907" s="9"/>
      <c r="D907" s="9"/>
      <c r="E907" s="9"/>
      <c r="F907" s="9"/>
      <c r="G907" s="9"/>
      <c r="H907" s="9"/>
      <c r="I907" s="9"/>
      <c r="J907" s="37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customFormat="false" ht="15.75" hidden="false" customHeight="false" outlineLevel="0" collapsed="false">
      <c r="A908" s="13"/>
      <c r="B908" s="13"/>
      <c r="C908" s="9"/>
      <c r="D908" s="9"/>
      <c r="E908" s="9"/>
      <c r="F908" s="9"/>
      <c r="G908" s="9"/>
      <c r="H908" s="9"/>
      <c r="I908" s="9"/>
      <c r="J908" s="37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customFormat="false" ht="15.75" hidden="false" customHeight="false" outlineLevel="0" collapsed="false">
      <c r="A909" s="13"/>
      <c r="B909" s="13"/>
      <c r="C909" s="9"/>
      <c r="D909" s="9"/>
      <c r="E909" s="9"/>
      <c r="F909" s="9"/>
      <c r="G909" s="9"/>
      <c r="H909" s="9"/>
      <c r="I909" s="9"/>
      <c r="J909" s="37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customFormat="false" ht="15.75" hidden="false" customHeight="false" outlineLevel="0" collapsed="false">
      <c r="A910" s="13"/>
      <c r="B910" s="13"/>
      <c r="C910" s="9"/>
      <c r="D910" s="9"/>
      <c r="E910" s="9"/>
      <c r="F910" s="9"/>
      <c r="G910" s="9"/>
      <c r="H910" s="9"/>
      <c r="I910" s="9"/>
      <c r="J910" s="37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customFormat="false" ht="15.75" hidden="false" customHeight="false" outlineLevel="0" collapsed="false">
      <c r="A911" s="13"/>
      <c r="B911" s="13"/>
      <c r="C911" s="9"/>
      <c r="D911" s="9"/>
      <c r="E911" s="9"/>
      <c r="F911" s="9"/>
      <c r="G911" s="9"/>
      <c r="H911" s="9"/>
      <c r="I911" s="9"/>
      <c r="J911" s="37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customFormat="false" ht="15.75" hidden="false" customHeight="false" outlineLevel="0" collapsed="false">
      <c r="A912" s="13"/>
      <c r="B912" s="13"/>
      <c r="C912" s="9"/>
      <c r="D912" s="9"/>
      <c r="E912" s="9"/>
      <c r="F912" s="9"/>
      <c r="G912" s="9"/>
      <c r="H912" s="9"/>
      <c r="I912" s="9"/>
      <c r="J912" s="37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customFormat="false" ht="15.75" hidden="false" customHeight="false" outlineLevel="0" collapsed="false">
      <c r="A913" s="13"/>
      <c r="B913" s="13"/>
      <c r="C913" s="9"/>
      <c r="D913" s="9"/>
      <c r="E913" s="9"/>
      <c r="F913" s="9"/>
      <c r="G913" s="9"/>
      <c r="H913" s="9"/>
      <c r="I913" s="9"/>
      <c r="J913" s="37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customFormat="false" ht="15.75" hidden="false" customHeight="false" outlineLevel="0" collapsed="false">
      <c r="A914" s="13"/>
      <c r="B914" s="13"/>
      <c r="C914" s="9"/>
      <c r="D914" s="9"/>
      <c r="E914" s="9"/>
      <c r="F914" s="9"/>
      <c r="G914" s="9"/>
      <c r="H914" s="9"/>
      <c r="I914" s="9"/>
      <c r="J914" s="37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customFormat="false" ht="15.75" hidden="false" customHeight="false" outlineLevel="0" collapsed="false">
      <c r="A915" s="13"/>
      <c r="B915" s="13"/>
      <c r="C915" s="9"/>
      <c r="D915" s="9"/>
      <c r="E915" s="9"/>
      <c r="F915" s="9"/>
      <c r="G915" s="9"/>
      <c r="H915" s="9"/>
      <c r="I915" s="9"/>
      <c r="J915" s="37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customFormat="false" ht="15.75" hidden="false" customHeight="false" outlineLevel="0" collapsed="false">
      <c r="A916" s="13"/>
      <c r="B916" s="13"/>
      <c r="C916" s="9"/>
      <c r="D916" s="9"/>
      <c r="E916" s="9"/>
      <c r="F916" s="9"/>
      <c r="G916" s="9"/>
      <c r="H916" s="9"/>
      <c r="I916" s="9"/>
      <c r="J916" s="37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customFormat="false" ht="15.75" hidden="false" customHeight="false" outlineLevel="0" collapsed="false">
      <c r="A917" s="13"/>
      <c r="B917" s="13"/>
      <c r="C917" s="9"/>
      <c r="D917" s="9"/>
      <c r="E917" s="9"/>
      <c r="F917" s="9"/>
      <c r="G917" s="9"/>
      <c r="H917" s="9"/>
      <c r="I917" s="9"/>
      <c r="J917" s="37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customFormat="false" ht="15.75" hidden="false" customHeight="false" outlineLevel="0" collapsed="false">
      <c r="A918" s="13"/>
      <c r="B918" s="13"/>
      <c r="C918" s="9"/>
      <c r="D918" s="9"/>
      <c r="E918" s="9"/>
      <c r="F918" s="9"/>
      <c r="G918" s="9"/>
      <c r="H918" s="9"/>
      <c r="I918" s="9"/>
      <c r="J918" s="37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customFormat="false" ht="15.75" hidden="false" customHeight="false" outlineLevel="0" collapsed="false">
      <c r="A919" s="13"/>
      <c r="B919" s="13"/>
      <c r="C919" s="9"/>
      <c r="D919" s="9"/>
      <c r="E919" s="9"/>
      <c r="F919" s="9"/>
      <c r="G919" s="9"/>
      <c r="H919" s="9"/>
      <c r="I919" s="9"/>
      <c r="J919" s="37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customFormat="false" ht="15.75" hidden="false" customHeight="false" outlineLevel="0" collapsed="false">
      <c r="A920" s="13"/>
      <c r="B920" s="13"/>
      <c r="C920" s="9"/>
      <c r="D920" s="9"/>
      <c r="E920" s="9"/>
      <c r="F920" s="9"/>
      <c r="G920" s="9"/>
      <c r="H920" s="9"/>
      <c r="I920" s="9"/>
      <c r="J920" s="37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customFormat="false" ht="15.75" hidden="false" customHeight="false" outlineLevel="0" collapsed="false">
      <c r="A921" s="13"/>
      <c r="B921" s="13"/>
      <c r="C921" s="9"/>
      <c r="D921" s="9"/>
      <c r="E921" s="9"/>
      <c r="F921" s="9"/>
      <c r="G921" s="9"/>
      <c r="H921" s="9"/>
      <c r="I921" s="9"/>
      <c r="J921" s="37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customFormat="false" ht="15.75" hidden="false" customHeight="false" outlineLevel="0" collapsed="false">
      <c r="A922" s="13"/>
      <c r="B922" s="13"/>
      <c r="C922" s="9"/>
      <c r="D922" s="9"/>
      <c r="E922" s="9"/>
      <c r="F922" s="9"/>
      <c r="G922" s="9"/>
      <c r="H922" s="9"/>
      <c r="I922" s="9"/>
      <c r="J922" s="37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customFormat="false" ht="15.75" hidden="false" customHeight="false" outlineLevel="0" collapsed="false">
      <c r="A923" s="13"/>
      <c r="B923" s="13"/>
      <c r="C923" s="9"/>
      <c r="D923" s="9"/>
      <c r="E923" s="9"/>
      <c r="F923" s="9"/>
      <c r="G923" s="9"/>
      <c r="H923" s="9"/>
      <c r="I923" s="9"/>
      <c r="J923" s="37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customFormat="false" ht="15.75" hidden="false" customHeight="false" outlineLevel="0" collapsed="false">
      <c r="A924" s="13"/>
      <c r="B924" s="13"/>
      <c r="C924" s="9"/>
      <c r="D924" s="9"/>
      <c r="E924" s="9"/>
      <c r="F924" s="9"/>
      <c r="G924" s="9"/>
      <c r="H924" s="9"/>
      <c r="I924" s="9"/>
      <c r="J924" s="37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customFormat="false" ht="15.75" hidden="false" customHeight="false" outlineLevel="0" collapsed="false">
      <c r="A925" s="13"/>
      <c r="B925" s="13"/>
      <c r="C925" s="9"/>
      <c r="D925" s="9"/>
      <c r="E925" s="9"/>
      <c r="F925" s="9"/>
      <c r="G925" s="9"/>
      <c r="H925" s="9"/>
      <c r="I925" s="9"/>
      <c r="J925" s="37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customFormat="false" ht="15.75" hidden="false" customHeight="false" outlineLevel="0" collapsed="false">
      <c r="A926" s="13"/>
      <c r="B926" s="13"/>
      <c r="C926" s="9"/>
      <c r="D926" s="9"/>
      <c r="E926" s="9"/>
      <c r="F926" s="9"/>
      <c r="G926" s="9"/>
      <c r="H926" s="9"/>
      <c r="I926" s="9"/>
      <c r="J926" s="37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customFormat="false" ht="15.75" hidden="false" customHeight="false" outlineLevel="0" collapsed="false">
      <c r="A927" s="13"/>
      <c r="B927" s="13"/>
      <c r="C927" s="9"/>
      <c r="D927" s="9"/>
      <c r="E927" s="9"/>
      <c r="F927" s="9"/>
      <c r="G927" s="9"/>
      <c r="H927" s="9"/>
      <c r="I927" s="9"/>
      <c r="J927" s="37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customFormat="false" ht="15.75" hidden="false" customHeight="false" outlineLevel="0" collapsed="false">
      <c r="A928" s="13"/>
      <c r="B928" s="13"/>
      <c r="C928" s="9"/>
      <c r="D928" s="9"/>
      <c r="E928" s="9"/>
      <c r="F928" s="9"/>
      <c r="G928" s="9"/>
      <c r="H928" s="9"/>
      <c r="I928" s="9"/>
      <c r="J928" s="37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customFormat="false" ht="15.75" hidden="false" customHeight="false" outlineLevel="0" collapsed="false">
      <c r="A929" s="13"/>
      <c r="B929" s="13"/>
      <c r="C929" s="9"/>
      <c r="D929" s="9"/>
      <c r="E929" s="9"/>
      <c r="F929" s="9"/>
      <c r="G929" s="9"/>
      <c r="H929" s="9"/>
      <c r="I929" s="9"/>
      <c r="J929" s="37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customFormat="false" ht="15.75" hidden="false" customHeight="false" outlineLevel="0" collapsed="false">
      <c r="A930" s="13"/>
      <c r="B930" s="13"/>
      <c r="C930" s="9"/>
      <c r="D930" s="9"/>
      <c r="E930" s="9"/>
      <c r="F930" s="9"/>
      <c r="G930" s="9"/>
      <c r="H930" s="9"/>
      <c r="I930" s="9"/>
      <c r="J930" s="37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customFormat="false" ht="15.75" hidden="false" customHeight="false" outlineLevel="0" collapsed="false">
      <c r="A931" s="13"/>
      <c r="B931" s="13"/>
      <c r="C931" s="9"/>
      <c r="D931" s="9"/>
      <c r="E931" s="9"/>
      <c r="F931" s="9"/>
      <c r="G931" s="9"/>
      <c r="H931" s="9"/>
      <c r="I931" s="9"/>
      <c r="J931" s="37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customFormat="false" ht="15.75" hidden="false" customHeight="false" outlineLevel="0" collapsed="false">
      <c r="A932" s="13"/>
      <c r="B932" s="13"/>
      <c r="C932" s="9"/>
      <c r="D932" s="9"/>
      <c r="E932" s="9"/>
      <c r="F932" s="9"/>
      <c r="G932" s="9"/>
      <c r="H932" s="9"/>
      <c r="I932" s="9"/>
      <c r="J932" s="37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customFormat="false" ht="15.75" hidden="false" customHeight="false" outlineLevel="0" collapsed="false">
      <c r="A933" s="13"/>
      <c r="B933" s="13"/>
      <c r="C933" s="9"/>
      <c r="D933" s="9"/>
      <c r="E933" s="9"/>
      <c r="F933" s="9"/>
      <c r="G933" s="9"/>
      <c r="H933" s="9"/>
      <c r="I933" s="9"/>
      <c r="J933" s="37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customFormat="false" ht="15.75" hidden="false" customHeight="false" outlineLevel="0" collapsed="false">
      <c r="A934" s="13"/>
      <c r="B934" s="13"/>
      <c r="C934" s="9"/>
      <c r="D934" s="9"/>
      <c r="E934" s="9"/>
      <c r="F934" s="9"/>
      <c r="G934" s="9"/>
      <c r="H934" s="9"/>
      <c r="I934" s="9"/>
      <c r="J934" s="37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customFormat="false" ht="15.75" hidden="false" customHeight="false" outlineLevel="0" collapsed="false">
      <c r="A935" s="13"/>
      <c r="B935" s="13"/>
      <c r="C935" s="9"/>
      <c r="D935" s="9"/>
      <c r="E935" s="9"/>
      <c r="F935" s="9"/>
      <c r="G935" s="9"/>
      <c r="H935" s="9"/>
      <c r="I935" s="9"/>
      <c r="J935" s="37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customFormat="false" ht="15.75" hidden="false" customHeight="false" outlineLevel="0" collapsed="false">
      <c r="A936" s="13"/>
      <c r="B936" s="13"/>
      <c r="C936" s="9"/>
      <c r="D936" s="9"/>
      <c r="E936" s="9"/>
      <c r="F936" s="9"/>
      <c r="G936" s="9"/>
      <c r="H936" s="9"/>
      <c r="I936" s="9"/>
      <c r="J936" s="37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customFormat="false" ht="15.75" hidden="false" customHeight="false" outlineLevel="0" collapsed="false">
      <c r="A937" s="13"/>
      <c r="B937" s="13"/>
      <c r="C937" s="9"/>
      <c r="D937" s="9"/>
      <c r="E937" s="9"/>
      <c r="F937" s="9"/>
      <c r="G937" s="9"/>
      <c r="H937" s="9"/>
      <c r="I937" s="9"/>
      <c r="J937" s="37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customFormat="false" ht="15.75" hidden="false" customHeight="false" outlineLevel="0" collapsed="false">
      <c r="A938" s="13"/>
      <c r="B938" s="13"/>
      <c r="C938" s="9"/>
      <c r="D938" s="9"/>
      <c r="E938" s="9"/>
      <c r="F938" s="9"/>
      <c r="G938" s="9"/>
      <c r="H938" s="9"/>
      <c r="I938" s="9"/>
      <c r="J938" s="37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customFormat="false" ht="15.75" hidden="false" customHeight="false" outlineLevel="0" collapsed="false">
      <c r="A939" s="13"/>
      <c r="B939" s="13"/>
      <c r="C939" s="9"/>
      <c r="D939" s="9"/>
      <c r="E939" s="9"/>
      <c r="F939" s="9"/>
      <c r="G939" s="9"/>
      <c r="H939" s="9"/>
      <c r="I939" s="9"/>
      <c r="J939" s="37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customFormat="false" ht="15.75" hidden="false" customHeight="false" outlineLevel="0" collapsed="false">
      <c r="A940" s="13"/>
      <c r="B940" s="13"/>
      <c r="C940" s="9"/>
      <c r="D940" s="9"/>
      <c r="E940" s="9"/>
      <c r="F940" s="9"/>
      <c r="G940" s="9"/>
      <c r="H940" s="9"/>
      <c r="I940" s="9"/>
      <c r="J940" s="37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customFormat="false" ht="15.75" hidden="false" customHeight="false" outlineLevel="0" collapsed="false">
      <c r="A941" s="13"/>
      <c r="B941" s="13"/>
      <c r="C941" s="9"/>
      <c r="D941" s="9"/>
      <c r="E941" s="9"/>
      <c r="F941" s="9"/>
      <c r="G941" s="9"/>
      <c r="H941" s="9"/>
      <c r="I941" s="9"/>
      <c r="J941" s="37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customFormat="false" ht="15.75" hidden="false" customHeight="false" outlineLevel="0" collapsed="false">
      <c r="A942" s="13"/>
      <c r="B942" s="13"/>
      <c r="C942" s="9"/>
      <c r="D942" s="9"/>
      <c r="E942" s="9"/>
      <c r="F942" s="9"/>
      <c r="G942" s="9"/>
      <c r="H942" s="9"/>
      <c r="I942" s="9"/>
      <c r="J942" s="37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customFormat="false" ht="15.75" hidden="false" customHeight="false" outlineLevel="0" collapsed="false">
      <c r="A943" s="13"/>
      <c r="B943" s="13"/>
      <c r="C943" s="9"/>
      <c r="D943" s="9"/>
      <c r="E943" s="9"/>
      <c r="F943" s="9"/>
      <c r="G943" s="9"/>
      <c r="H943" s="9"/>
      <c r="I943" s="9"/>
      <c r="J943" s="37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customFormat="false" ht="15.75" hidden="false" customHeight="false" outlineLevel="0" collapsed="false">
      <c r="A944" s="13"/>
      <c r="B944" s="13"/>
      <c r="C944" s="9"/>
      <c r="D944" s="9"/>
      <c r="E944" s="9"/>
      <c r="F944" s="9"/>
      <c r="G944" s="9"/>
      <c r="H944" s="9"/>
      <c r="I944" s="9"/>
      <c r="J944" s="37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customFormat="false" ht="15.75" hidden="false" customHeight="false" outlineLevel="0" collapsed="false">
      <c r="A945" s="13"/>
      <c r="B945" s="13"/>
      <c r="C945" s="9"/>
      <c r="D945" s="9"/>
      <c r="E945" s="9"/>
      <c r="F945" s="9"/>
      <c r="G945" s="9"/>
      <c r="H945" s="9"/>
      <c r="I945" s="9"/>
      <c r="J945" s="37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customFormat="false" ht="15.75" hidden="false" customHeight="false" outlineLevel="0" collapsed="false">
      <c r="A946" s="13"/>
      <c r="B946" s="13"/>
      <c r="C946" s="9"/>
      <c r="D946" s="9"/>
      <c r="E946" s="9"/>
      <c r="F946" s="9"/>
      <c r="G946" s="9"/>
      <c r="H946" s="9"/>
      <c r="I946" s="9"/>
      <c r="J946" s="37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customFormat="false" ht="15.75" hidden="false" customHeight="false" outlineLevel="0" collapsed="false">
      <c r="A947" s="13"/>
      <c r="B947" s="13"/>
      <c r="C947" s="9"/>
      <c r="D947" s="9"/>
      <c r="E947" s="9"/>
      <c r="F947" s="9"/>
      <c r="G947" s="9"/>
      <c r="H947" s="9"/>
      <c r="I947" s="9"/>
      <c r="J947" s="37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customFormat="false" ht="15.75" hidden="false" customHeight="false" outlineLevel="0" collapsed="false">
      <c r="A948" s="13"/>
      <c r="B948" s="13"/>
      <c r="C948" s="9"/>
      <c r="D948" s="9"/>
      <c r="E948" s="9"/>
      <c r="F948" s="9"/>
      <c r="G948" s="9"/>
      <c r="H948" s="9"/>
      <c r="I948" s="9"/>
      <c r="J948" s="37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customFormat="false" ht="15.75" hidden="false" customHeight="false" outlineLevel="0" collapsed="false">
      <c r="A949" s="13"/>
      <c r="B949" s="13"/>
      <c r="C949" s="9"/>
      <c r="D949" s="9"/>
      <c r="E949" s="9"/>
      <c r="F949" s="9"/>
      <c r="G949" s="9"/>
      <c r="H949" s="9"/>
      <c r="I949" s="9"/>
      <c r="J949" s="37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customFormat="false" ht="15.75" hidden="false" customHeight="false" outlineLevel="0" collapsed="false">
      <c r="A950" s="13"/>
      <c r="B950" s="13"/>
      <c r="C950" s="9"/>
      <c r="D950" s="9"/>
      <c r="E950" s="9"/>
      <c r="F950" s="9"/>
      <c r="G950" s="9"/>
      <c r="H950" s="9"/>
      <c r="I950" s="9"/>
      <c r="J950" s="37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customFormat="false" ht="15.75" hidden="false" customHeight="false" outlineLevel="0" collapsed="false">
      <c r="A951" s="13"/>
      <c r="B951" s="13"/>
      <c r="C951" s="9"/>
      <c r="D951" s="9"/>
      <c r="E951" s="9"/>
      <c r="F951" s="9"/>
      <c r="G951" s="9"/>
      <c r="H951" s="9"/>
      <c r="I951" s="9"/>
      <c r="J951" s="37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customFormat="false" ht="15.75" hidden="false" customHeight="false" outlineLevel="0" collapsed="false">
      <c r="A952" s="13"/>
      <c r="B952" s="13"/>
      <c r="C952" s="9"/>
      <c r="D952" s="9"/>
      <c r="E952" s="9"/>
      <c r="F952" s="9"/>
      <c r="G952" s="9"/>
      <c r="H952" s="9"/>
      <c r="I952" s="9"/>
      <c r="J952" s="37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customFormat="false" ht="15.75" hidden="false" customHeight="false" outlineLevel="0" collapsed="false">
      <c r="A953" s="13"/>
      <c r="B953" s="13"/>
      <c r="C953" s="9"/>
      <c r="D953" s="9"/>
      <c r="E953" s="9"/>
      <c r="F953" s="9"/>
      <c r="G953" s="9"/>
      <c r="H953" s="9"/>
      <c r="I953" s="9"/>
      <c r="J953" s="37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customFormat="false" ht="15.75" hidden="false" customHeight="false" outlineLevel="0" collapsed="false">
      <c r="A954" s="13"/>
      <c r="B954" s="13"/>
      <c r="C954" s="9"/>
      <c r="D954" s="9"/>
      <c r="E954" s="9"/>
      <c r="F954" s="9"/>
      <c r="G954" s="9"/>
      <c r="H954" s="9"/>
      <c r="I954" s="9"/>
      <c r="J954" s="37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customFormat="false" ht="15.75" hidden="false" customHeight="false" outlineLevel="0" collapsed="false">
      <c r="A955" s="13"/>
      <c r="B955" s="13"/>
      <c r="C955" s="9"/>
      <c r="D955" s="9"/>
      <c r="E955" s="9"/>
      <c r="F955" s="9"/>
      <c r="G955" s="9"/>
      <c r="H955" s="9"/>
      <c r="I955" s="9"/>
      <c r="J955" s="37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customFormat="false" ht="15.75" hidden="false" customHeight="false" outlineLevel="0" collapsed="false">
      <c r="A956" s="13"/>
      <c r="B956" s="13"/>
      <c r="C956" s="9"/>
      <c r="D956" s="9"/>
      <c r="E956" s="9"/>
      <c r="F956" s="9"/>
      <c r="G956" s="9"/>
      <c r="H956" s="9"/>
      <c r="I956" s="9"/>
      <c r="J956" s="37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customFormat="false" ht="15.75" hidden="false" customHeight="false" outlineLevel="0" collapsed="false">
      <c r="A957" s="13"/>
      <c r="B957" s="13"/>
      <c r="C957" s="9"/>
      <c r="D957" s="9"/>
      <c r="E957" s="9"/>
      <c r="F957" s="9"/>
      <c r="G957" s="9"/>
      <c r="H957" s="9"/>
      <c r="I957" s="9"/>
      <c r="J957" s="37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customFormat="false" ht="15.75" hidden="false" customHeight="false" outlineLevel="0" collapsed="false">
      <c r="A958" s="13"/>
      <c r="B958" s="13"/>
      <c r="C958" s="9"/>
      <c r="D958" s="9"/>
      <c r="E958" s="9"/>
      <c r="F958" s="9"/>
      <c r="G958" s="9"/>
      <c r="H958" s="9"/>
      <c r="I958" s="9"/>
      <c r="J958" s="37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customFormat="false" ht="15.75" hidden="false" customHeight="false" outlineLevel="0" collapsed="false">
      <c r="A959" s="13"/>
      <c r="B959" s="13"/>
      <c r="C959" s="9"/>
      <c r="D959" s="9"/>
      <c r="E959" s="9"/>
      <c r="F959" s="9"/>
      <c r="G959" s="9"/>
      <c r="H959" s="9"/>
      <c r="I959" s="9"/>
      <c r="J959" s="37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customFormat="false" ht="15.75" hidden="false" customHeight="false" outlineLevel="0" collapsed="false">
      <c r="A960" s="13"/>
      <c r="B960" s="13"/>
      <c r="C960" s="9"/>
      <c r="D960" s="9"/>
      <c r="E960" s="9"/>
      <c r="F960" s="9"/>
      <c r="G960" s="9"/>
      <c r="H960" s="9"/>
      <c r="I960" s="9"/>
      <c r="J960" s="37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customFormat="false" ht="15.75" hidden="false" customHeight="false" outlineLevel="0" collapsed="false">
      <c r="A961" s="13"/>
      <c r="B961" s="13"/>
      <c r="C961" s="9"/>
      <c r="D961" s="9"/>
      <c r="E961" s="9"/>
      <c r="F961" s="9"/>
      <c r="G961" s="9"/>
      <c r="H961" s="9"/>
      <c r="I961" s="9"/>
      <c r="J961" s="37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customFormat="false" ht="15.75" hidden="false" customHeight="false" outlineLevel="0" collapsed="false">
      <c r="A962" s="13"/>
      <c r="B962" s="13"/>
      <c r="C962" s="9"/>
      <c r="D962" s="9"/>
      <c r="E962" s="9"/>
      <c r="F962" s="9"/>
      <c r="G962" s="9"/>
      <c r="H962" s="9"/>
      <c r="I962" s="9"/>
      <c r="J962" s="37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customFormat="false" ht="15.75" hidden="false" customHeight="false" outlineLevel="0" collapsed="false">
      <c r="A963" s="13"/>
      <c r="B963" s="13"/>
      <c r="C963" s="9"/>
      <c r="D963" s="9"/>
      <c r="E963" s="9"/>
      <c r="F963" s="9"/>
      <c r="G963" s="9"/>
      <c r="H963" s="9"/>
      <c r="I963" s="9"/>
      <c r="J963" s="37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customFormat="false" ht="15.75" hidden="false" customHeight="false" outlineLevel="0" collapsed="false">
      <c r="A964" s="13"/>
      <c r="B964" s="13"/>
      <c r="C964" s="9"/>
      <c r="D964" s="9"/>
      <c r="E964" s="9"/>
      <c r="F964" s="9"/>
      <c r="G964" s="9"/>
      <c r="H964" s="9"/>
      <c r="I964" s="9"/>
      <c r="J964" s="37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customFormat="false" ht="15.75" hidden="false" customHeight="false" outlineLevel="0" collapsed="false">
      <c r="A965" s="13"/>
      <c r="B965" s="13"/>
      <c r="C965" s="9"/>
      <c r="D965" s="9"/>
      <c r="E965" s="9"/>
      <c r="F965" s="9"/>
      <c r="G965" s="9"/>
      <c r="H965" s="9"/>
      <c r="I965" s="9"/>
      <c r="J965" s="37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customFormat="false" ht="15.75" hidden="false" customHeight="false" outlineLevel="0" collapsed="false">
      <c r="A966" s="13"/>
      <c r="B966" s="13"/>
      <c r="C966" s="9"/>
      <c r="D966" s="9"/>
      <c r="E966" s="9"/>
      <c r="F966" s="9"/>
      <c r="G966" s="9"/>
      <c r="H966" s="9"/>
      <c r="I966" s="9"/>
      <c r="J966" s="37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customFormat="false" ht="15.75" hidden="false" customHeight="false" outlineLevel="0" collapsed="false">
      <c r="A967" s="13"/>
      <c r="B967" s="13"/>
      <c r="C967" s="9"/>
      <c r="D967" s="9"/>
      <c r="E967" s="9"/>
      <c r="F967" s="9"/>
      <c r="G967" s="9"/>
      <c r="H967" s="9"/>
      <c r="I967" s="9"/>
      <c r="J967" s="37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customFormat="false" ht="15.75" hidden="false" customHeight="false" outlineLevel="0" collapsed="false">
      <c r="A968" s="13"/>
      <c r="B968" s="13"/>
      <c r="C968" s="9"/>
      <c r="D968" s="9"/>
      <c r="E968" s="9"/>
      <c r="F968" s="9"/>
      <c r="G968" s="9"/>
      <c r="H968" s="9"/>
      <c r="I968" s="9"/>
      <c r="J968" s="37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customFormat="false" ht="15.75" hidden="false" customHeight="false" outlineLevel="0" collapsed="false">
      <c r="A969" s="13"/>
      <c r="B969" s="13"/>
      <c r="C969" s="9"/>
      <c r="D969" s="9"/>
      <c r="E969" s="9"/>
      <c r="F969" s="9"/>
      <c r="G969" s="9"/>
      <c r="H969" s="9"/>
      <c r="I969" s="9"/>
      <c r="J969" s="37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customFormat="false" ht="15.75" hidden="false" customHeight="false" outlineLevel="0" collapsed="false">
      <c r="A970" s="13"/>
      <c r="B970" s="13"/>
      <c r="C970" s="9"/>
      <c r="D970" s="9"/>
      <c r="E970" s="9"/>
      <c r="F970" s="9"/>
      <c r="G970" s="9"/>
      <c r="H970" s="9"/>
      <c r="I970" s="9"/>
      <c r="J970" s="37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customFormat="false" ht="15.75" hidden="false" customHeight="false" outlineLevel="0" collapsed="false">
      <c r="A971" s="13"/>
      <c r="B971" s="13"/>
      <c r="C971" s="9"/>
      <c r="D971" s="9"/>
      <c r="E971" s="9"/>
      <c r="F971" s="9"/>
      <c r="G971" s="9"/>
      <c r="H971" s="9"/>
      <c r="I971" s="9"/>
      <c r="J971" s="37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customFormat="false" ht="15.75" hidden="false" customHeight="false" outlineLevel="0" collapsed="false">
      <c r="A972" s="13"/>
      <c r="B972" s="13"/>
      <c r="C972" s="9"/>
      <c r="D972" s="9"/>
      <c r="E972" s="9"/>
      <c r="F972" s="9"/>
      <c r="G972" s="9"/>
      <c r="H972" s="9"/>
      <c r="I972" s="9"/>
      <c r="J972" s="37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customFormat="false" ht="15.75" hidden="false" customHeight="false" outlineLevel="0" collapsed="false">
      <c r="A973" s="13"/>
      <c r="B973" s="13"/>
      <c r="C973" s="9"/>
      <c r="D973" s="9"/>
      <c r="E973" s="9"/>
      <c r="F973" s="9"/>
      <c r="G973" s="9"/>
      <c r="H973" s="9"/>
      <c r="I973" s="9"/>
      <c r="J973" s="37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customFormat="false" ht="15.75" hidden="false" customHeight="false" outlineLevel="0" collapsed="false">
      <c r="A974" s="13"/>
      <c r="B974" s="13"/>
      <c r="C974" s="9"/>
      <c r="D974" s="9"/>
      <c r="E974" s="9"/>
      <c r="F974" s="9"/>
      <c r="G974" s="9"/>
      <c r="H974" s="9"/>
      <c r="I974" s="9"/>
      <c r="J974" s="37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customFormat="false" ht="15.75" hidden="false" customHeight="false" outlineLevel="0" collapsed="false">
      <c r="A975" s="13"/>
      <c r="B975" s="13"/>
      <c r="C975" s="9"/>
      <c r="D975" s="9"/>
      <c r="E975" s="9"/>
      <c r="F975" s="9"/>
      <c r="G975" s="9"/>
      <c r="H975" s="9"/>
      <c r="I975" s="9"/>
      <c r="J975" s="37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customFormat="false" ht="15.75" hidden="false" customHeight="false" outlineLevel="0" collapsed="false">
      <c r="A976" s="13"/>
      <c r="B976" s="13"/>
      <c r="C976" s="9"/>
      <c r="D976" s="9"/>
      <c r="E976" s="9"/>
      <c r="F976" s="9"/>
      <c r="G976" s="9"/>
      <c r="H976" s="9"/>
      <c r="I976" s="9"/>
      <c r="J976" s="37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customFormat="false" ht="15.75" hidden="false" customHeight="false" outlineLevel="0" collapsed="false">
      <c r="A977" s="13"/>
      <c r="B977" s="13"/>
      <c r="C977" s="9"/>
      <c r="D977" s="9"/>
      <c r="E977" s="9"/>
      <c r="F977" s="9"/>
      <c r="G977" s="9"/>
      <c r="H977" s="9"/>
      <c r="I977" s="9"/>
      <c r="J977" s="37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customFormat="false" ht="15.75" hidden="false" customHeight="false" outlineLevel="0" collapsed="false">
      <c r="A978" s="13"/>
      <c r="B978" s="13"/>
      <c r="C978" s="9"/>
      <c r="D978" s="9"/>
      <c r="E978" s="9"/>
      <c r="F978" s="9"/>
      <c r="G978" s="9"/>
      <c r="H978" s="9"/>
      <c r="I978" s="9"/>
      <c r="J978" s="37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customFormat="false" ht="15.75" hidden="false" customHeight="false" outlineLevel="0" collapsed="false">
      <c r="A979" s="13"/>
      <c r="B979" s="13"/>
      <c r="C979" s="9"/>
      <c r="D979" s="9"/>
      <c r="E979" s="9"/>
      <c r="F979" s="9"/>
      <c r="G979" s="9"/>
      <c r="H979" s="9"/>
      <c r="I979" s="9"/>
      <c r="J979" s="37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customFormat="false" ht="15.75" hidden="false" customHeight="false" outlineLevel="0" collapsed="false">
      <c r="A980" s="13"/>
      <c r="B980" s="13"/>
      <c r="C980" s="9"/>
      <c r="D980" s="9"/>
      <c r="E980" s="9"/>
      <c r="F980" s="9"/>
      <c r="G980" s="9"/>
      <c r="H980" s="9"/>
      <c r="I980" s="9"/>
      <c r="J980" s="37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customFormat="false" ht="15.75" hidden="false" customHeight="false" outlineLevel="0" collapsed="false">
      <c r="A981" s="13"/>
      <c r="B981" s="13"/>
      <c r="C981" s="9"/>
      <c r="D981" s="9"/>
      <c r="E981" s="9"/>
      <c r="F981" s="9"/>
      <c r="G981" s="9"/>
      <c r="H981" s="9"/>
      <c r="I981" s="9"/>
      <c r="J981" s="37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customFormat="false" ht="15.75" hidden="false" customHeight="false" outlineLevel="0" collapsed="false">
      <c r="A982" s="13"/>
      <c r="B982" s="13"/>
      <c r="C982" s="9"/>
      <c r="D982" s="9"/>
      <c r="E982" s="9"/>
      <c r="F982" s="9"/>
      <c r="G982" s="9"/>
      <c r="H982" s="9"/>
      <c r="I982" s="9"/>
      <c r="J982" s="37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customFormat="false" ht="15.75" hidden="false" customHeight="false" outlineLevel="0" collapsed="false">
      <c r="A983" s="13"/>
      <c r="B983" s="13"/>
      <c r="C983" s="9"/>
      <c r="D983" s="9"/>
      <c r="E983" s="9"/>
      <c r="F983" s="9"/>
      <c r="G983" s="9"/>
      <c r="H983" s="9"/>
      <c r="I983" s="9"/>
      <c r="J983" s="37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customFormat="false" ht="15.75" hidden="false" customHeight="false" outlineLevel="0" collapsed="false">
      <c r="A984" s="13"/>
      <c r="B984" s="13"/>
      <c r="C984" s="9"/>
      <c r="D984" s="9"/>
      <c r="E984" s="9"/>
      <c r="F984" s="9"/>
      <c r="G984" s="9"/>
      <c r="H984" s="9"/>
      <c r="I984" s="9"/>
      <c r="J984" s="37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customFormat="false" ht="15.75" hidden="false" customHeight="false" outlineLevel="0" collapsed="false">
      <c r="A985" s="13"/>
      <c r="B985" s="13"/>
      <c r="C985" s="9"/>
      <c r="D985" s="9"/>
      <c r="E985" s="9"/>
      <c r="F985" s="9"/>
      <c r="G985" s="9"/>
      <c r="H985" s="9"/>
      <c r="I985" s="9"/>
      <c r="J985" s="37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customFormat="false" ht="15.75" hidden="false" customHeight="false" outlineLevel="0" collapsed="false">
      <c r="A986" s="13"/>
      <c r="B986" s="13"/>
      <c r="C986" s="9"/>
      <c r="D986" s="9"/>
      <c r="E986" s="9"/>
      <c r="F986" s="9"/>
      <c r="G986" s="9"/>
      <c r="H986" s="9"/>
      <c r="I986" s="9"/>
      <c r="J986" s="37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customFormat="false" ht="15.75" hidden="false" customHeight="false" outlineLevel="0" collapsed="false">
      <c r="A987" s="13"/>
      <c r="B987" s="13"/>
      <c r="C987" s="9"/>
      <c r="D987" s="9"/>
      <c r="E987" s="9"/>
      <c r="F987" s="9"/>
      <c r="G987" s="9"/>
      <c r="H987" s="9"/>
      <c r="I987" s="9"/>
      <c r="J987" s="37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customFormat="false" ht="15.75" hidden="false" customHeight="false" outlineLevel="0" collapsed="false">
      <c r="A988" s="13"/>
      <c r="B988" s="13"/>
      <c r="C988" s="9"/>
      <c r="D988" s="9"/>
      <c r="E988" s="9"/>
      <c r="F988" s="9"/>
      <c r="G988" s="9"/>
      <c r="H988" s="9"/>
      <c r="I988" s="9"/>
      <c r="J988" s="37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customFormat="false" ht="15.75" hidden="false" customHeight="false" outlineLevel="0" collapsed="false">
      <c r="A989" s="13"/>
      <c r="B989" s="13"/>
      <c r="C989" s="9"/>
      <c r="D989" s="9"/>
      <c r="E989" s="9"/>
      <c r="F989" s="9"/>
      <c r="G989" s="9"/>
      <c r="H989" s="9"/>
      <c r="I989" s="9"/>
      <c r="J989" s="37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customFormat="false" ht="15.75" hidden="false" customHeight="false" outlineLevel="0" collapsed="false">
      <c r="A990" s="13"/>
      <c r="B990" s="13"/>
      <c r="C990" s="9"/>
      <c r="D990" s="9"/>
      <c r="E990" s="9"/>
      <c r="F990" s="9"/>
      <c r="G990" s="9"/>
      <c r="H990" s="9"/>
      <c r="I990" s="9"/>
      <c r="J990" s="37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customFormat="false" ht="15.75" hidden="false" customHeight="false" outlineLevel="0" collapsed="false">
      <c r="A991" s="13"/>
      <c r="B991" s="13"/>
      <c r="C991" s="9"/>
      <c r="D991" s="9"/>
      <c r="E991" s="9"/>
      <c r="F991" s="9"/>
      <c r="G991" s="9"/>
      <c r="H991" s="9"/>
      <c r="I991" s="9"/>
      <c r="J991" s="37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customFormat="false" ht="15.75" hidden="false" customHeight="false" outlineLevel="0" collapsed="false">
      <c r="A992" s="13"/>
      <c r="B992" s="13"/>
      <c r="C992" s="9"/>
      <c r="D992" s="9"/>
      <c r="E992" s="9"/>
      <c r="F992" s="9"/>
      <c r="G992" s="9"/>
      <c r="H992" s="9"/>
      <c r="I992" s="9"/>
      <c r="J992" s="37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customFormat="false" ht="15.75" hidden="false" customHeight="false" outlineLevel="0" collapsed="false">
      <c r="A993" s="13"/>
      <c r="B993" s="13"/>
      <c r="C993" s="9"/>
      <c r="D993" s="9"/>
      <c r="E993" s="9"/>
      <c r="F993" s="9"/>
      <c r="G993" s="9"/>
      <c r="H993" s="9"/>
      <c r="I993" s="9"/>
      <c r="J993" s="37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customFormat="false" ht="15.75" hidden="false" customHeight="false" outlineLevel="0" collapsed="false">
      <c r="A994" s="13"/>
      <c r="B994" s="13"/>
      <c r="C994" s="9"/>
      <c r="D994" s="9"/>
      <c r="E994" s="9"/>
      <c r="F994" s="9"/>
      <c r="G994" s="9"/>
      <c r="H994" s="9"/>
      <c r="I994" s="9"/>
      <c r="J994" s="37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customFormat="false" ht="15.75" hidden="false" customHeight="false" outlineLevel="0" collapsed="false">
      <c r="A995" s="13"/>
      <c r="B995" s="13"/>
      <c r="C995" s="9"/>
      <c r="D995" s="9"/>
      <c r="E995" s="9"/>
      <c r="F995" s="9"/>
      <c r="G995" s="9"/>
      <c r="H995" s="9"/>
      <c r="I995" s="9"/>
      <c r="J995" s="37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customFormat="false" ht="15.75" hidden="false" customHeight="false" outlineLevel="0" collapsed="false">
      <c r="A996" s="13"/>
      <c r="B996" s="13"/>
      <c r="C996" s="9"/>
      <c r="D996" s="9"/>
      <c r="E996" s="9"/>
      <c r="F996" s="9"/>
      <c r="G996" s="9"/>
      <c r="H996" s="9"/>
      <c r="I996" s="9"/>
      <c r="J996" s="37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customFormat="false" ht="15.75" hidden="false" customHeight="false" outlineLevel="0" collapsed="false">
      <c r="A997" s="13"/>
      <c r="B997" s="13"/>
      <c r="C997" s="9"/>
      <c r="D997" s="9"/>
      <c r="E997" s="9"/>
      <c r="F997" s="9"/>
      <c r="G997" s="9"/>
      <c r="H997" s="9"/>
      <c r="I997" s="9"/>
      <c r="J997" s="37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customFormat="false" ht="15.75" hidden="false" customHeight="false" outlineLevel="0" collapsed="false">
      <c r="A998" s="13"/>
      <c r="B998" s="13"/>
      <c r="C998" s="9"/>
      <c r="D998" s="9"/>
      <c r="E998" s="9"/>
      <c r="F998" s="9"/>
      <c r="G998" s="9"/>
      <c r="H998" s="9"/>
      <c r="I998" s="9"/>
      <c r="J998" s="37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customFormat="false" ht="15.75" hidden="false" customHeight="false" outlineLevel="0" collapsed="false">
      <c r="A999" s="13"/>
      <c r="B999" s="13"/>
      <c r="C999" s="9"/>
      <c r="D999" s="9"/>
      <c r="E999" s="9"/>
      <c r="F999" s="9"/>
      <c r="G999" s="9"/>
      <c r="H999" s="9"/>
      <c r="I999" s="9"/>
      <c r="J999" s="37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customFormat="false" ht="15.75" hidden="false" customHeight="false" outlineLevel="0" collapsed="false">
      <c r="A1000" s="13"/>
      <c r="B1000" s="13"/>
      <c r="C1000" s="9"/>
      <c r="D1000" s="9"/>
      <c r="E1000" s="9"/>
      <c r="F1000" s="9"/>
      <c r="G1000" s="9"/>
      <c r="H1000" s="9"/>
      <c r="I1000" s="9"/>
      <c r="J1000" s="37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31" t="s">
        <v>299</v>
      </c>
      <c r="B1" s="31" t="s">
        <v>300</v>
      </c>
      <c r="C1" s="31" t="s">
        <v>0</v>
      </c>
      <c r="D1" s="31" t="s">
        <v>302</v>
      </c>
      <c r="E1" s="31" t="s">
        <v>303</v>
      </c>
      <c r="F1" s="31" t="s">
        <v>304</v>
      </c>
      <c r="G1" s="31" t="s">
        <v>350</v>
      </c>
      <c r="H1" s="31" t="s">
        <v>351</v>
      </c>
      <c r="I1" s="31" t="s">
        <v>352</v>
      </c>
      <c r="J1" s="31" t="s">
        <v>353</v>
      </c>
      <c r="K1" s="31" t="s">
        <v>354</v>
      </c>
      <c r="L1" s="31" t="s">
        <v>355</v>
      </c>
      <c r="M1" s="31" t="s">
        <v>356</v>
      </c>
      <c r="N1" s="31" t="s">
        <v>357</v>
      </c>
    </row>
    <row r="2" customFormat="false" ht="15.75" hidden="false" customHeight="false" outlineLevel="0" collapsed="false">
      <c r="A2" s="13" t="n">
        <v>1</v>
      </c>
      <c r="B2" s="13" t="n">
        <v>1002581</v>
      </c>
      <c r="C2" s="31" t="s">
        <v>20</v>
      </c>
      <c r="D2" s="31"/>
      <c r="E2" s="31"/>
      <c r="F2" s="31" t="s">
        <v>358</v>
      </c>
      <c r="G2" s="31" t="s">
        <v>320</v>
      </c>
      <c r="H2" s="31" t="s">
        <v>359</v>
      </c>
      <c r="I2" s="31" t="s">
        <v>360</v>
      </c>
      <c r="J2" s="13" t="n">
        <v>9</v>
      </c>
      <c r="K2" s="31" t="s">
        <v>361</v>
      </c>
      <c r="L2" s="31" t="s">
        <v>361</v>
      </c>
      <c r="M2" s="13" t="n">
        <v>1</v>
      </c>
      <c r="N2" s="13" t="n">
        <v>9</v>
      </c>
      <c r="P2" s="41"/>
    </row>
    <row r="3" customFormat="false" ht="15.75" hidden="false" customHeight="false" outlineLevel="0" collapsed="false">
      <c r="A3" s="13" t="n">
        <v>2</v>
      </c>
      <c r="B3" s="13" t="n">
        <v>545999</v>
      </c>
      <c r="C3" s="31" t="s">
        <v>328</v>
      </c>
      <c r="D3" s="31"/>
      <c r="E3" s="31"/>
      <c r="F3" s="31" t="s">
        <v>270</v>
      </c>
      <c r="G3" s="31" t="s">
        <v>322</v>
      </c>
      <c r="H3" s="31" t="s">
        <v>359</v>
      </c>
      <c r="I3" s="31" t="s">
        <v>362</v>
      </c>
      <c r="J3" s="13" t="n">
        <v>7</v>
      </c>
      <c r="K3" s="31" t="s">
        <v>361</v>
      </c>
      <c r="L3" s="31" t="s">
        <v>361</v>
      </c>
      <c r="M3" s="13" t="n">
        <v>1</v>
      </c>
      <c r="N3" s="13" t="n">
        <v>7</v>
      </c>
      <c r="P3" s="41"/>
    </row>
    <row r="4" customFormat="false" ht="15.75" hidden="false" customHeight="false" outlineLevel="0" collapsed="false">
      <c r="A4" s="13" t="n">
        <v>3</v>
      </c>
      <c r="B4" s="13" t="n">
        <v>545999</v>
      </c>
      <c r="C4" s="31" t="s">
        <v>328</v>
      </c>
      <c r="D4" s="31"/>
      <c r="E4" s="31"/>
      <c r="F4" s="31" t="s">
        <v>270</v>
      </c>
      <c r="G4" s="31" t="s">
        <v>322</v>
      </c>
      <c r="H4" s="31" t="s">
        <v>359</v>
      </c>
      <c r="I4" s="31" t="s">
        <v>363</v>
      </c>
      <c r="J4" s="13" t="n">
        <v>5</v>
      </c>
      <c r="K4" s="31" t="s">
        <v>361</v>
      </c>
      <c r="L4" s="31" t="s">
        <v>361</v>
      </c>
      <c r="M4" s="13" t="n">
        <v>1</v>
      </c>
      <c r="N4" s="13" t="n">
        <v>5</v>
      </c>
      <c r="P4" s="41"/>
    </row>
    <row r="5" customFormat="false" ht="15.75" hidden="false" customHeight="false" outlineLevel="0" collapsed="false">
      <c r="A5" s="13" t="n">
        <v>4</v>
      </c>
      <c r="B5" s="13" t="n">
        <v>953107</v>
      </c>
      <c r="C5" s="31" t="s">
        <v>364</v>
      </c>
      <c r="D5" s="31"/>
      <c r="E5" s="31"/>
      <c r="F5" s="31" t="s">
        <v>365</v>
      </c>
      <c r="G5" s="31" t="s">
        <v>320</v>
      </c>
      <c r="H5" s="31" t="s">
        <v>359</v>
      </c>
      <c r="I5" s="31" t="s">
        <v>360</v>
      </c>
      <c r="J5" s="13" t="n">
        <v>9</v>
      </c>
      <c r="K5" s="31" t="s">
        <v>361</v>
      </c>
      <c r="L5" s="31" t="s">
        <v>361</v>
      </c>
      <c r="M5" s="13" t="n">
        <v>4</v>
      </c>
      <c r="N5" s="13" t="n">
        <v>36</v>
      </c>
      <c r="P5" s="41"/>
    </row>
    <row r="6" customFormat="false" ht="15.75" hidden="false" customHeight="false" outlineLevel="0" collapsed="false">
      <c r="A6" s="13" t="n">
        <v>5</v>
      </c>
      <c r="B6" s="13" t="n">
        <v>445491</v>
      </c>
      <c r="C6" s="31" t="s">
        <v>366</v>
      </c>
      <c r="D6" s="31"/>
      <c r="E6" s="31"/>
      <c r="F6" s="31" t="s">
        <v>367</v>
      </c>
      <c r="G6" s="31" t="s">
        <v>322</v>
      </c>
      <c r="H6" s="31" t="s">
        <v>359</v>
      </c>
      <c r="I6" s="31" t="s">
        <v>362</v>
      </c>
      <c r="J6" s="13" t="n">
        <v>7</v>
      </c>
      <c r="K6" s="31" t="s">
        <v>361</v>
      </c>
      <c r="L6" s="31" t="s">
        <v>361</v>
      </c>
      <c r="M6" s="13" t="n">
        <v>1</v>
      </c>
      <c r="N6" s="13" t="n">
        <v>7</v>
      </c>
      <c r="P6" s="41"/>
    </row>
    <row r="7" customFormat="false" ht="15.75" hidden="false" customHeight="false" outlineLevel="0" collapsed="false">
      <c r="A7" s="13" t="n">
        <v>6</v>
      </c>
      <c r="B7" s="13" t="n">
        <v>936603</v>
      </c>
      <c r="C7" s="31" t="s">
        <v>317</v>
      </c>
      <c r="D7" s="31"/>
      <c r="E7" s="31"/>
      <c r="F7" s="31" t="s">
        <v>319</v>
      </c>
      <c r="G7" s="31" t="s">
        <v>320</v>
      </c>
      <c r="H7" s="31" t="s">
        <v>359</v>
      </c>
      <c r="I7" s="31" t="s">
        <v>360</v>
      </c>
      <c r="J7" s="13" t="n">
        <v>9</v>
      </c>
      <c r="K7" s="31" t="s">
        <v>361</v>
      </c>
      <c r="L7" s="31" t="s">
        <v>361</v>
      </c>
      <c r="M7" s="13" t="n">
        <v>4</v>
      </c>
      <c r="N7" s="13" t="n">
        <v>36</v>
      </c>
      <c r="P7" s="41"/>
    </row>
    <row r="8" customFormat="false" ht="15.75" hidden="false" customHeight="false" outlineLevel="0" collapsed="false">
      <c r="A8" s="13" t="n">
        <v>7</v>
      </c>
      <c r="B8" s="13" t="n">
        <v>936603</v>
      </c>
      <c r="C8" s="31" t="s">
        <v>317</v>
      </c>
      <c r="D8" s="31"/>
      <c r="E8" s="31"/>
      <c r="F8" s="31" t="s">
        <v>319</v>
      </c>
      <c r="G8" s="31" t="s">
        <v>320</v>
      </c>
      <c r="H8" s="31" t="s">
        <v>359</v>
      </c>
      <c r="I8" s="31" t="s">
        <v>363</v>
      </c>
      <c r="J8" s="13" t="n">
        <v>5</v>
      </c>
      <c r="K8" s="31" t="s">
        <v>361</v>
      </c>
      <c r="L8" s="31" t="s">
        <v>361</v>
      </c>
      <c r="M8" s="13" t="n">
        <v>3</v>
      </c>
      <c r="N8" s="13" t="n">
        <v>15</v>
      </c>
      <c r="P8" s="41"/>
    </row>
    <row r="9" customFormat="false" ht="15.75" hidden="false" customHeight="false" outlineLevel="0" collapsed="false">
      <c r="A9" s="13" t="n">
        <v>8</v>
      </c>
      <c r="B9" s="13" t="n">
        <v>445295</v>
      </c>
      <c r="C9" s="31" t="s">
        <v>368</v>
      </c>
      <c r="D9" s="31"/>
      <c r="E9" s="31"/>
      <c r="F9" s="31" t="s">
        <v>260</v>
      </c>
      <c r="G9" s="31" t="s">
        <v>320</v>
      </c>
      <c r="H9" s="31" t="s">
        <v>359</v>
      </c>
      <c r="I9" s="31" t="s">
        <v>362</v>
      </c>
      <c r="J9" s="13" t="n">
        <v>7</v>
      </c>
      <c r="K9" s="31" t="s">
        <v>361</v>
      </c>
      <c r="L9" s="31" t="s">
        <v>361</v>
      </c>
      <c r="M9" s="13" t="n">
        <v>2</v>
      </c>
      <c r="N9" s="13" t="n">
        <v>14</v>
      </c>
      <c r="P9" s="41"/>
    </row>
    <row r="10" customFormat="false" ht="15.75" hidden="false" customHeight="false" outlineLevel="0" collapsed="false">
      <c r="A10" s="13" t="n">
        <v>9</v>
      </c>
      <c r="B10" s="13" t="n">
        <v>445295</v>
      </c>
      <c r="C10" s="31" t="s">
        <v>368</v>
      </c>
      <c r="D10" s="31"/>
      <c r="E10" s="31"/>
      <c r="F10" s="31" t="s">
        <v>260</v>
      </c>
      <c r="G10" s="31" t="s">
        <v>320</v>
      </c>
      <c r="H10" s="31" t="s">
        <v>359</v>
      </c>
      <c r="I10" s="31" t="s">
        <v>363</v>
      </c>
      <c r="J10" s="13" t="n">
        <v>5</v>
      </c>
      <c r="K10" s="31" t="s">
        <v>361</v>
      </c>
      <c r="L10" s="31" t="s">
        <v>361</v>
      </c>
      <c r="M10" s="13" t="n">
        <v>1</v>
      </c>
      <c r="N10" s="13" t="n">
        <v>5</v>
      </c>
      <c r="P10" s="41"/>
    </row>
    <row r="11" customFormat="false" ht="15.75" hidden="false" customHeight="false" outlineLevel="0" collapsed="false">
      <c r="A11" s="13" t="n">
        <v>10</v>
      </c>
      <c r="B11" s="13" t="n">
        <v>989604</v>
      </c>
      <c r="C11" s="31" t="s">
        <v>39</v>
      </c>
      <c r="D11" s="31"/>
      <c r="E11" s="31"/>
      <c r="F11" s="31" t="s">
        <v>294</v>
      </c>
      <c r="G11" s="31" t="s">
        <v>320</v>
      </c>
      <c r="H11" s="31" t="s">
        <v>359</v>
      </c>
      <c r="I11" s="31" t="s">
        <v>360</v>
      </c>
      <c r="J11" s="13" t="n">
        <v>9</v>
      </c>
      <c r="K11" s="31" t="s">
        <v>361</v>
      </c>
      <c r="L11" s="31" t="s">
        <v>361</v>
      </c>
      <c r="M11" s="13" t="n">
        <v>3</v>
      </c>
      <c r="N11" s="13" t="n">
        <v>27</v>
      </c>
      <c r="P11" s="41"/>
    </row>
    <row r="12" customFormat="false" ht="15.75" hidden="false" customHeight="false" outlineLevel="0" collapsed="false">
      <c r="A12" s="13" t="n">
        <v>11</v>
      </c>
      <c r="B12" s="13" t="n">
        <v>359289</v>
      </c>
      <c r="C12" s="31" t="s">
        <v>39</v>
      </c>
      <c r="D12" s="31"/>
      <c r="E12" s="31"/>
      <c r="F12" s="31" t="s">
        <v>183</v>
      </c>
      <c r="G12" s="31" t="s">
        <v>322</v>
      </c>
      <c r="H12" s="31" t="s">
        <v>359</v>
      </c>
      <c r="I12" s="31" t="s">
        <v>360</v>
      </c>
      <c r="J12" s="13" t="n">
        <v>9</v>
      </c>
      <c r="K12" s="31" t="s">
        <v>361</v>
      </c>
      <c r="L12" s="31" t="s">
        <v>361</v>
      </c>
      <c r="M12" s="13" t="n">
        <v>1</v>
      </c>
      <c r="N12" s="13" t="n">
        <v>9</v>
      </c>
      <c r="P12" s="41"/>
    </row>
    <row r="13" customFormat="false" ht="15.75" hidden="false" customHeight="false" outlineLevel="0" collapsed="false">
      <c r="A13" s="13" t="n">
        <v>12</v>
      </c>
      <c r="B13" s="13" t="n">
        <v>989604</v>
      </c>
      <c r="C13" s="31" t="s">
        <v>39</v>
      </c>
      <c r="D13" s="31"/>
      <c r="E13" s="31"/>
      <c r="F13" s="31" t="s">
        <v>294</v>
      </c>
      <c r="G13" s="31" t="s">
        <v>320</v>
      </c>
      <c r="H13" s="31" t="s">
        <v>359</v>
      </c>
      <c r="I13" s="31" t="s">
        <v>363</v>
      </c>
      <c r="J13" s="13" t="n">
        <v>5</v>
      </c>
      <c r="K13" s="31" t="s">
        <v>361</v>
      </c>
      <c r="L13" s="31" t="s">
        <v>361</v>
      </c>
      <c r="M13" s="13" t="n">
        <v>1</v>
      </c>
      <c r="N13" s="13" t="n">
        <v>5</v>
      </c>
      <c r="P13" s="41"/>
    </row>
    <row r="14" customFormat="false" ht="15.75" hidden="false" customHeight="false" outlineLevel="0" collapsed="false">
      <c r="A14" s="13" t="n">
        <v>13</v>
      </c>
      <c r="B14" s="13" t="n">
        <v>939702</v>
      </c>
      <c r="C14" s="31" t="s">
        <v>47</v>
      </c>
      <c r="D14" s="31"/>
      <c r="E14" s="31"/>
      <c r="F14" s="31" t="s">
        <v>369</v>
      </c>
      <c r="G14" s="31" t="s">
        <v>320</v>
      </c>
      <c r="H14" s="31" t="s">
        <v>359</v>
      </c>
      <c r="I14" s="31" t="s">
        <v>360</v>
      </c>
      <c r="J14" s="13" t="n">
        <v>9</v>
      </c>
      <c r="K14" s="31" t="s">
        <v>361</v>
      </c>
      <c r="L14" s="31" t="s">
        <v>361</v>
      </c>
      <c r="M14" s="13" t="n">
        <v>1</v>
      </c>
      <c r="N14" s="13" t="n">
        <v>9</v>
      </c>
      <c r="P14" s="41"/>
    </row>
    <row r="15" customFormat="false" ht="15.75" hidden="false" customHeight="false" outlineLevel="0" collapsed="false">
      <c r="A15" s="13" t="n">
        <v>14</v>
      </c>
      <c r="B15" s="13" t="n">
        <v>939702</v>
      </c>
      <c r="C15" s="31" t="s">
        <v>47</v>
      </c>
      <c r="D15" s="31"/>
      <c r="E15" s="31"/>
      <c r="F15" s="31" t="s">
        <v>369</v>
      </c>
      <c r="G15" s="31" t="s">
        <v>320</v>
      </c>
      <c r="H15" s="31" t="s">
        <v>359</v>
      </c>
      <c r="I15" s="31" t="s">
        <v>362</v>
      </c>
      <c r="J15" s="13" t="n">
        <v>7</v>
      </c>
      <c r="K15" s="31" t="s">
        <v>361</v>
      </c>
      <c r="L15" s="31" t="s">
        <v>361</v>
      </c>
      <c r="M15" s="13" t="n">
        <v>1</v>
      </c>
      <c r="N15" s="13" t="n">
        <v>7</v>
      </c>
      <c r="P15" s="41"/>
    </row>
    <row r="16" customFormat="false" ht="15.75" hidden="false" customHeight="false" outlineLevel="0" collapsed="false">
      <c r="A16" s="13" t="n">
        <v>15</v>
      </c>
      <c r="B16" s="13" t="n">
        <v>1029037</v>
      </c>
      <c r="C16" s="31" t="s">
        <v>370</v>
      </c>
      <c r="D16" s="31"/>
      <c r="E16" s="31"/>
      <c r="F16" s="31" t="s">
        <v>296</v>
      </c>
      <c r="G16" s="31" t="s">
        <v>320</v>
      </c>
      <c r="H16" s="31" t="s">
        <v>359</v>
      </c>
      <c r="I16" s="31" t="s">
        <v>363</v>
      </c>
      <c r="J16" s="13" t="n">
        <v>5</v>
      </c>
      <c r="K16" s="31" t="s">
        <v>361</v>
      </c>
      <c r="L16" s="31" t="s">
        <v>361</v>
      </c>
      <c r="M16" s="13" t="n">
        <v>1</v>
      </c>
      <c r="N16" s="13" t="n">
        <v>5</v>
      </c>
      <c r="P16" s="41"/>
    </row>
    <row r="17" customFormat="false" ht="15.75" hidden="false" customHeight="false" outlineLevel="0" collapsed="false">
      <c r="A17" s="13" t="n">
        <v>16</v>
      </c>
      <c r="B17" s="13" t="n">
        <v>1029037</v>
      </c>
      <c r="C17" s="31" t="s">
        <v>370</v>
      </c>
      <c r="D17" s="31"/>
      <c r="E17" s="31"/>
      <c r="F17" s="31" t="s">
        <v>296</v>
      </c>
      <c r="G17" s="31" t="s">
        <v>320</v>
      </c>
      <c r="H17" s="31" t="s">
        <v>359</v>
      </c>
      <c r="I17" s="31" t="s">
        <v>360</v>
      </c>
      <c r="J17" s="13" t="n">
        <v>9</v>
      </c>
      <c r="K17" s="31" t="s">
        <v>361</v>
      </c>
      <c r="L17" s="31" t="s">
        <v>361</v>
      </c>
      <c r="M17" s="13" t="n">
        <v>6</v>
      </c>
      <c r="N17" s="13" t="n">
        <v>54</v>
      </c>
      <c r="P17" s="41"/>
    </row>
    <row r="18" customFormat="false" ht="15.75" hidden="false" customHeight="false" outlineLevel="0" collapsed="false">
      <c r="A18" s="13" t="n">
        <v>17</v>
      </c>
      <c r="B18" s="13" t="n">
        <v>239560</v>
      </c>
      <c r="C18" s="31" t="s">
        <v>371</v>
      </c>
      <c r="D18" s="31"/>
      <c r="E18" s="31"/>
      <c r="F18" s="31" t="s">
        <v>372</v>
      </c>
      <c r="G18" s="31" t="s">
        <v>322</v>
      </c>
      <c r="H18" s="31" t="s">
        <v>359</v>
      </c>
      <c r="I18" s="31" t="s">
        <v>363</v>
      </c>
      <c r="J18" s="13" t="n">
        <v>5</v>
      </c>
      <c r="K18" s="31" t="s">
        <v>361</v>
      </c>
      <c r="L18" s="31" t="s">
        <v>361</v>
      </c>
      <c r="M18" s="13" t="n">
        <v>1</v>
      </c>
      <c r="N18" s="13" t="n">
        <v>5</v>
      </c>
      <c r="P18" s="41"/>
    </row>
    <row r="19" customFormat="false" ht="15.75" hidden="false" customHeight="false" outlineLevel="0" collapsed="false">
      <c r="A19" s="13" t="n">
        <v>18</v>
      </c>
      <c r="B19" s="13" t="n">
        <v>367154</v>
      </c>
      <c r="C19" s="31" t="s">
        <v>371</v>
      </c>
      <c r="D19" s="31"/>
      <c r="E19" s="31"/>
      <c r="F19" s="31" t="s">
        <v>373</v>
      </c>
      <c r="G19" s="31" t="s">
        <v>320</v>
      </c>
      <c r="H19" s="31" t="s">
        <v>359</v>
      </c>
      <c r="I19" s="31" t="s">
        <v>360</v>
      </c>
      <c r="J19" s="13" t="n">
        <v>9</v>
      </c>
      <c r="K19" s="31" t="s">
        <v>361</v>
      </c>
      <c r="L19" s="31" t="s">
        <v>361</v>
      </c>
      <c r="M19" s="13" t="n">
        <v>1</v>
      </c>
      <c r="N19" s="13" t="n">
        <v>9</v>
      </c>
    </row>
    <row r="20" customFormat="false" ht="15.75" hidden="false" customHeight="false" outlineLevel="0" collapsed="false">
      <c r="A20" s="13" t="n">
        <v>19</v>
      </c>
      <c r="B20" s="13" t="n">
        <v>367154</v>
      </c>
      <c r="C20" s="31" t="s">
        <v>371</v>
      </c>
      <c r="D20" s="31"/>
      <c r="E20" s="31"/>
      <c r="F20" s="31" t="s">
        <v>373</v>
      </c>
      <c r="G20" s="31" t="s">
        <v>320</v>
      </c>
      <c r="H20" s="31" t="s">
        <v>359</v>
      </c>
      <c r="I20" s="31" t="s">
        <v>363</v>
      </c>
      <c r="J20" s="13" t="n">
        <v>5</v>
      </c>
      <c r="K20" s="31" t="s">
        <v>361</v>
      </c>
      <c r="L20" s="31" t="s">
        <v>361</v>
      </c>
      <c r="M20" s="13" t="n">
        <v>1</v>
      </c>
      <c r="N20" s="13" t="n">
        <v>5</v>
      </c>
    </row>
    <row r="21" customFormat="false" ht="15.75" hidden="false" customHeight="false" outlineLevel="0" collapsed="false">
      <c r="A21" s="13" t="n">
        <v>20</v>
      </c>
      <c r="B21" s="13" t="n">
        <v>969164</v>
      </c>
      <c r="C21" s="31" t="s">
        <v>57</v>
      </c>
      <c r="D21" s="31"/>
      <c r="E21" s="31"/>
      <c r="F21" s="31" t="s">
        <v>374</v>
      </c>
      <c r="G21" s="31" t="s">
        <v>320</v>
      </c>
      <c r="H21" s="31" t="s">
        <v>359</v>
      </c>
      <c r="I21" s="31" t="s">
        <v>363</v>
      </c>
      <c r="J21" s="13" t="n">
        <v>5</v>
      </c>
      <c r="K21" s="31" t="s">
        <v>361</v>
      </c>
      <c r="L21" s="31" t="s">
        <v>361</v>
      </c>
      <c r="M21" s="13" t="n">
        <v>2</v>
      </c>
      <c r="N21" s="13" t="n">
        <v>10</v>
      </c>
    </row>
    <row r="22" customFormat="false" ht="15.75" hidden="false" customHeight="false" outlineLevel="0" collapsed="false">
      <c r="A22" s="13" t="n">
        <v>21</v>
      </c>
      <c r="B22" s="13" t="n">
        <v>969164</v>
      </c>
      <c r="C22" s="31" t="s">
        <v>57</v>
      </c>
      <c r="D22" s="31"/>
      <c r="E22" s="31"/>
      <c r="F22" s="31" t="s">
        <v>374</v>
      </c>
      <c r="G22" s="31" t="s">
        <v>320</v>
      </c>
      <c r="H22" s="31" t="s">
        <v>359</v>
      </c>
      <c r="I22" s="31" t="s">
        <v>360</v>
      </c>
      <c r="J22" s="13" t="n">
        <v>9</v>
      </c>
      <c r="K22" s="31" t="s">
        <v>361</v>
      </c>
      <c r="L22" s="31" t="s">
        <v>361</v>
      </c>
      <c r="M22" s="13" t="n">
        <v>11</v>
      </c>
      <c r="N22" s="13" t="n">
        <v>99</v>
      </c>
    </row>
    <row r="23" customFormat="false" ht="15.75" hidden="false" customHeight="false" outlineLevel="0" collapsed="false">
      <c r="A23" s="13" t="n">
        <v>22</v>
      </c>
      <c r="B23" s="13" t="n">
        <v>969164</v>
      </c>
      <c r="C23" s="31" t="s">
        <v>57</v>
      </c>
      <c r="D23" s="31"/>
      <c r="E23" s="31"/>
      <c r="F23" s="31" t="s">
        <v>374</v>
      </c>
      <c r="G23" s="31" t="s">
        <v>320</v>
      </c>
      <c r="H23" s="31" t="s">
        <v>359</v>
      </c>
      <c r="I23" s="31" t="s">
        <v>362</v>
      </c>
      <c r="J23" s="13" t="n">
        <v>7</v>
      </c>
      <c r="K23" s="31" t="s">
        <v>361</v>
      </c>
      <c r="L23" s="31" t="s">
        <v>361</v>
      </c>
      <c r="M23" s="13" t="n">
        <v>1</v>
      </c>
      <c r="N23" s="13" t="n">
        <v>7</v>
      </c>
    </row>
    <row r="24" customFormat="false" ht="15.75" hidden="false" customHeight="false" outlineLevel="0" collapsed="false">
      <c r="A24" s="13" t="n">
        <v>23</v>
      </c>
      <c r="B24" s="13" t="n">
        <v>610987</v>
      </c>
      <c r="C24" s="31" t="s">
        <v>59</v>
      </c>
      <c r="D24" s="31"/>
      <c r="E24" s="31"/>
      <c r="F24" s="31" t="s">
        <v>221</v>
      </c>
      <c r="G24" s="31" t="s">
        <v>320</v>
      </c>
      <c r="H24" s="31" t="s">
        <v>359</v>
      </c>
      <c r="I24" s="31" t="s">
        <v>362</v>
      </c>
      <c r="J24" s="13" t="n">
        <v>7</v>
      </c>
      <c r="K24" s="31" t="s">
        <v>361</v>
      </c>
      <c r="L24" s="31" t="s">
        <v>361</v>
      </c>
      <c r="M24" s="13" t="n">
        <v>1</v>
      </c>
      <c r="N24" s="13" t="n">
        <v>7</v>
      </c>
    </row>
    <row r="25" customFormat="false" ht="15.75" hidden="false" customHeight="false" outlineLevel="0" collapsed="false">
      <c r="A25" s="13" t="n">
        <v>24</v>
      </c>
      <c r="B25" s="13" t="n">
        <v>610987</v>
      </c>
      <c r="C25" s="31" t="s">
        <v>59</v>
      </c>
      <c r="D25" s="31"/>
      <c r="E25" s="31"/>
      <c r="F25" s="31" t="s">
        <v>221</v>
      </c>
      <c r="G25" s="31" t="s">
        <v>320</v>
      </c>
      <c r="H25" s="31" t="s">
        <v>359</v>
      </c>
      <c r="I25" s="31" t="s">
        <v>363</v>
      </c>
      <c r="J25" s="13" t="n">
        <v>5</v>
      </c>
      <c r="K25" s="31" t="s">
        <v>361</v>
      </c>
      <c r="L25" s="31" t="s">
        <v>361</v>
      </c>
      <c r="M25" s="13" t="n">
        <v>2</v>
      </c>
      <c r="N25" s="13" t="n">
        <v>10</v>
      </c>
    </row>
    <row r="26" customFormat="false" ht="15.75" hidden="false" customHeight="false" outlineLevel="0" collapsed="false">
      <c r="A26" s="13" t="n">
        <v>25</v>
      </c>
      <c r="B26" s="13" t="n">
        <v>610987</v>
      </c>
      <c r="C26" s="31" t="s">
        <v>59</v>
      </c>
      <c r="D26" s="31"/>
      <c r="E26" s="31"/>
      <c r="F26" s="31" t="s">
        <v>221</v>
      </c>
      <c r="G26" s="31" t="s">
        <v>320</v>
      </c>
      <c r="H26" s="31" t="s">
        <v>359</v>
      </c>
      <c r="I26" s="31" t="s">
        <v>360</v>
      </c>
      <c r="J26" s="13" t="n">
        <v>9</v>
      </c>
      <c r="K26" s="31" t="s">
        <v>361</v>
      </c>
      <c r="L26" s="31" t="s">
        <v>361</v>
      </c>
      <c r="M26" s="13" t="n">
        <v>1</v>
      </c>
      <c r="N26" s="13" t="n">
        <v>9</v>
      </c>
    </row>
    <row r="27" customFormat="false" ht="15.75" hidden="false" customHeight="false" outlineLevel="0" collapsed="false">
      <c r="A27" s="13" t="n">
        <v>26</v>
      </c>
      <c r="B27" s="13" t="n">
        <v>1062422</v>
      </c>
      <c r="C27" s="31" t="s">
        <v>61</v>
      </c>
      <c r="D27" s="31"/>
      <c r="E27" s="31"/>
      <c r="F27" s="31" t="s">
        <v>158</v>
      </c>
      <c r="G27" s="31" t="s">
        <v>320</v>
      </c>
      <c r="H27" s="31" t="s">
        <v>359</v>
      </c>
      <c r="I27" s="31" t="s">
        <v>360</v>
      </c>
      <c r="J27" s="13" t="n">
        <v>9</v>
      </c>
      <c r="K27" s="31" t="s">
        <v>361</v>
      </c>
      <c r="L27" s="31" t="s">
        <v>361</v>
      </c>
      <c r="M27" s="13" t="n">
        <v>8</v>
      </c>
      <c r="N27" s="13" t="n">
        <v>72</v>
      </c>
    </row>
    <row r="28" customFormat="false" ht="15.75" hidden="false" customHeight="false" outlineLevel="0" collapsed="false">
      <c r="A28" s="13" t="n">
        <v>27</v>
      </c>
      <c r="B28" s="13" t="n">
        <v>946588</v>
      </c>
      <c r="C28" s="31" t="s">
        <v>65</v>
      </c>
      <c r="D28" s="31"/>
      <c r="E28" s="31"/>
      <c r="F28" s="31" t="s">
        <v>339</v>
      </c>
      <c r="G28" s="31" t="s">
        <v>320</v>
      </c>
      <c r="H28" s="31" t="s">
        <v>359</v>
      </c>
      <c r="I28" s="31" t="s">
        <v>362</v>
      </c>
      <c r="J28" s="13" t="n">
        <v>7</v>
      </c>
      <c r="K28" s="31" t="s">
        <v>361</v>
      </c>
      <c r="L28" s="31" t="s">
        <v>361</v>
      </c>
      <c r="M28" s="13" t="n">
        <v>2</v>
      </c>
      <c r="N28" s="13" t="n">
        <v>14</v>
      </c>
    </row>
    <row r="29" customFormat="false" ht="15.75" hidden="false" customHeight="false" outlineLevel="0" collapsed="false">
      <c r="A29" s="13" t="n">
        <v>28</v>
      </c>
      <c r="B29" s="13" t="n">
        <v>946588</v>
      </c>
      <c r="C29" s="31" t="s">
        <v>65</v>
      </c>
      <c r="D29" s="31"/>
      <c r="E29" s="31"/>
      <c r="F29" s="31" t="s">
        <v>339</v>
      </c>
      <c r="G29" s="31" t="s">
        <v>320</v>
      </c>
      <c r="H29" s="31" t="s">
        <v>359</v>
      </c>
      <c r="I29" s="31" t="s">
        <v>360</v>
      </c>
      <c r="J29" s="13" t="n">
        <v>9</v>
      </c>
      <c r="K29" s="31" t="s">
        <v>361</v>
      </c>
      <c r="L29" s="31" t="s">
        <v>361</v>
      </c>
      <c r="M29" s="13" t="n">
        <v>4</v>
      </c>
      <c r="N29" s="13" t="n">
        <v>36</v>
      </c>
    </row>
    <row r="30" customFormat="false" ht="15.75" hidden="false" customHeight="false" outlineLevel="0" collapsed="false">
      <c r="A30" s="13" t="n">
        <v>29</v>
      </c>
      <c r="B30" s="13" t="n">
        <v>1032802</v>
      </c>
      <c r="C30" s="31" t="s">
        <v>69</v>
      </c>
      <c r="D30" s="31"/>
      <c r="E30" s="31"/>
      <c r="F30" s="31" t="s">
        <v>229</v>
      </c>
      <c r="G30" s="31" t="s">
        <v>320</v>
      </c>
      <c r="H30" s="31" t="s">
        <v>359</v>
      </c>
      <c r="I30" s="31" t="s">
        <v>363</v>
      </c>
      <c r="J30" s="13" t="n">
        <v>5</v>
      </c>
      <c r="K30" s="31" t="s">
        <v>361</v>
      </c>
      <c r="L30" s="31" t="s">
        <v>361</v>
      </c>
      <c r="M30" s="13" t="n">
        <v>7</v>
      </c>
      <c r="N30" s="13" t="n">
        <v>35</v>
      </c>
    </row>
    <row r="31" customFormat="false" ht="15.75" hidden="false" customHeight="false" outlineLevel="0" collapsed="false">
      <c r="A31" s="13" t="n">
        <v>30</v>
      </c>
      <c r="B31" s="13" t="n">
        <v>1032802</v>
      </c>
      <c r="C31" s="31" t="s">
        <v>69</v>
      </c>
      <c r="D31" s="31"/>
      <c r="E31" s="31"/>
      <c r="F31" s="31" t="s">
        <v>229</v>
      </c>
      <c r="G31" s="31" t="s">
        <v>320</v>
      </c>
      <c r="H31" s="31" t="s">
        <v>359</v>
      </c>
      <c r="I31" s="31" t="s">
        <v>360</v>
      </c>
      <c r="J31" s="13" t="n">
        <v>9</v>
      </c>
      <c r="K31" s="31" t="s">
        <v>361</v>
      </c>
      <c r="L31" s="31" t="s">
        <v>361</v>
      </c>
      <c r="M31" s="13" t="n">
        <v>1</v>
      </c>
      <c r="N31" s="13" t="n">
        <v>9</v>
      </c>
    </row>
    <row r="32" customFormat="false" ht="15.75" hidden="false" customHeight="false" outlineLevel="0" collapsed="false">
      <c r="A32" s="13" t="n">
        <v>31</v>
      </c>
      <c r="B32" s="13" t="n">
        <v>1032802</v>
      </c>
      <c r="C32" s="31" t="s">
        <v>69</v>
      </c>
      <c r="D32" s="31"/>
      <c r="E32" s="31"/>
      <c r="F32" s="31" t="s">
        <v>229</v>
      </c>
      <c r="G32" s="31" t="s">
        <v>320</v>
      </c>
      <c r="H32" s="31" t="s">
        <v>359</v>
      </c>
      <c r="I32" s="31" t="s">
        <v>362</v>
      </c>
      <c r="J32" s="13" t="n">
        <v>7</v>
      </c>
      <c r="K32" s="31" t="s">
        <v>361</v>
      </c>
      <c r="L32" s="31" t="s">
        <v>361</v>
      </c>
      <c r="M32" s="13" t="n">
        <v>7</v>
      </c>
      <c r="N32" s="13" t="n">
        <v>49</v>
      </c>
    </row>
    <row r="33" customFormat="false" ht="15.75" hidden="false" customHeight="false" outlineLevel="0" collapsed="false">
      <c r="A33" s="13" t="n">
        <v>32</v>
      </c>
      <c r="B33" s="13" t="n">
        <v>935885</v>
      </c>
      <c r="C33" s="31" t="s">
        <v>347</v>
      </c>
      <c r="D33" s="31"/>
      <c r="E33" s="31"/>
      <c r="F33" s="31" t="s">
        <v>227</v>
      </c>
      <c r="G33" s="31" t="s">
        <v>320</v>
      </c>
      <c r="H33" s="31" t="s">
        <v>359</v>
      </c>
      <c r="I33" s="31" t="s">
        <v>360</v>
      </c>
      <c r="J33" s="13" t="n">
        <v>9</v>
      </c>
      <c r="K33" s="31" t="s">
        <v>361</v>
      </c>
      <c r="L33" s="31" t="s">
        <v>361</v>
      </c>
      <c r="M33" s="13" t="n">
        <v>2</v>
      </c>
      <c r="N33" s="13" t="n">
        <v>18</v>
      </c>
    </row>
    <row r="34" customFormat="false" ht="15.75" hidden="false" customHeight="false" outlineLevel="0" collapsed="false">
      <c r="A34" s="13" t="n">
        <v>33</v>
      </c>
      <c r="B34" s="13" t="n">
        <v>935885</v>
      </c>
      <c r="C34" s="31" t="s">
        <v>347</v>
      </c>
      <c r="D34" s="31"/>
      <c r="E34" s="31"/>
      <c r="F34" s="31" t="s">
        <v>227</v>
      </c>
      <c r="G34" s="31" t="s">
        <v>320</v>
      </c>
      <c r="H34" s="31" t="s">
        <v>359</v>
      </c>
      <c r="I34" s="31" t="s">
        <v>362</v>
      </c>
      <c r="J34" s="13" t="n">
        <v>7</v>
      </c>
      <c r="K34" s="31" t="s">
        <v>361</v>
      </c>
      <c r="L34" s="31" t="s">
        <v>361</v>
      </c>
      <c r="M34" s="13" t="n">
        <v>1</v>
      </c>
      <c r="N34" s="13" t="n">
        <v>7</v>
      </c>
    </row>
    <row r="35" customFormat="false" ht="15.75" hidden="false" customHeight="false" outlineLevel="0" collapsed="false">
      <c r="A35" s="13" t="n">
        <v>34</v>
      </c>
      <c r="B35" s="13" t="n">
        <v>712456</v>
      </c>
      <c r="C35" s="31" t="s">
        <v>331</v>
      </c>
      <c r="D35" s="31"/>
      <c r="E35" s="31"/>
      <c r="F35" s="31" t="s">
        <v>282</v>
      </c>
      <c r="G35" s="31" t="s">
        <v>320</v>
      </c>
      <c r="H35" s="31" t="s">
        <v>359</v>
      </c>
      <c r="I35" s="31" t="s">
        <v>360</v>
      </c>
      <c r="J35" s="13" t="n">
        <v>9</v>
      </c>
      <c r="K35" s="31" t="s">
        <v>361</v>
      </c>
      <c r="L35" s="31" t="s">
        <v>361</v>
      </c>
      <c r="M35" s="13" t="n">
        <v>1</v>
      </c>
      <c r="N35" s="13" t="n">
        <v>9</v>
      </c>
    </row>
    <row r="36" customFormat="false" ht="15.75" hidden="false" customHeight="false" outlineLevel="0" collapsed="false">
      <c r="A36" s="13" t="n">
        <v>35</v>
      </c>
      <c r="B36" s="13" t="n">
        <v>712456</v>
      </c>
      <c r="C36" s="31" t="s">
        <v>331</v>
      </c>
      <c r="D36" s="31"/>
      <c r="E36" s="31"/>
      <c r="F36" s="31" t="s">
        <v>282</v>
      </c>
      <c r="G36" s="31" t="s">
        <v>320</v>
      </c>
      <c r="H36" s="31" t="s">
        <v>359</v>
      </c>
      <c r="I36" s="31" t="s">
        <v>363</v>
      </c>
      <c r="J36" s="13" t="n">
        <v>5</v>
      </c>
      <c r="K36" s="31" t="s">
        <v>361</v>
      </c>
      <c r="L36" s="31" t="s">
        <v>361</v>
      </c>
      <c r="M36" s="13" t="n">
        <v>1</v>
      </c>
      <c r="N36" s="13" t="n">
        <v>5</v>
      </c>
    </row>
    <row r="37" customFormat="false" ht="15.75" hidden="false" customHeight="false" outlineLevel="0" collapsed="false">
      <c r="A37" s="13" t="n">
        <v>36</v>
      </c>
      <c r="B37" s="13" t="n">
        <v>973807</v>
      </c>
      <c r="C37" s="31" t="s">
        <v>92</v>
      </c>
      <c r="D37" s="31"/>
      <c r="E37" s="31"/>
      <c r="F37" s="31" t="s">
        <v>375</v>
      </c>
      <c r="G37" s="31" t="s">
        <v>320</v>
      </c>
      <c r="H37" s="31" t="s">
        <v>359</v>
      </c>
      <c r="I37" s="31" t="s">
        <v>360</v>
      </c>
      <c r="J37" s="13" t="n">
        <v>9</v>
      </c>
      <c r="K37" s="31" t="s">
        <v>361</v>
      </c>
      <c r="L37" s="31" t="s">
        <v>361</v>
      </c>
      <c r="M37" s="13" t="n">
        <v>5</v>
      </c>
      <c r="N37" s="13" t="n">
        <v>45</v>
      </c>
    </row>
    <row r="38" customFormat="false" ht="15.75" hidden="false" customHeight="false" outlineLevel="0" collapsed="false">
      <c r="A38" s="13" t="n">
        <v>37</v>
      </c>
      <c r="B38" s="13" t="n">
        <v>973807</v>
      </c>
      <c r="C38" s="31" t="s">
        <v>92</v>
      </c>
      <c r="D38" s="31"/>
      <c r="E38" s="31"/>
      <c r="F38" s="31" t="s">
        <v>375</v>
      </c>
      <c r="G38" s="31" t="s">
        <v>320</v>
      </c>
      <c r="H38" s="31" t="s">
        <v>359</v>
      </c>
      <c r="I38" s="31" t="s">
        <v>363</v>
      </c>
      <c r="J38" s="13" t="n">
        <v>5</v>
      </c>
      <c r="K38" s="31" t="s">
        <v>361</v>
      </c>
      <c r="L38" s="31" t="s">
        <v>361</v>
      </c>
      <c r="M38" s="13" t="n">
        <v>1</v>
      </c>
      <c r="N38" s="13" t="n">
        <v>5</v>
      </c>
    </row>
    <row r="39" customFormat="false" ht="15.75" hidden="false" customHeight="false" outlineLevel="0" collapsed="false">
      <c r="A39" s="13" t="n">
        <v>38</v>
      </c>
      <c r="B39" s="13" t="n">
        <v>938171</v>
      </c>
      <c r="C39" s="31" t="s">
        <v>100</v>
      </c>
      <c r="D39" s="31"/>
      <c r="E39" s="31"/>
      <c r="F39" s="31" t="s">
        <v>292</v>
      </c>
      <c r="G39" s="31" t="s">
        <v>320</v>
      </c>
      <c r="H39" s="31" t="s">
        <v>359</v>
      </c>
      <c r="I39" s="31" t="s">
        <v>360</v>
      </c>
      <c r="J39" s="13" t="n">
        <v>9</v>
      </c>
      <c r="K39" s="31" t="s">
        <v>361</v>
      </c>
      <c r="L39" s="31" t="s">
        <v>361</v>
      </c>
      <c r="M39" s="13" t="n">
        <v>5</v>
      </c>
      <c r="N39" s="13" t="n">
        <v>45</v>
      </c>
      <c r="P39" s="41"/>
    </row>
    <row r="40" customFormat="false" ht="15.75" hidden="false" customHeight="false" outlineLevel="0" collapsed="false">
      <c r="A40" s="13" t="n">
        <v>39</v>
      </c>
      <c r="B40" s="13" t="n">
        <v>385352</v>
      </c>
      <c r="C40" s="31" t="s">
        <v>100</v>
      </c>
      <c r="D40" s="31"/>
      <c r="E40" s="31"/>
      <c r="F40" s="31" t="s">
        <v>213</v>
      </c>
      <c r="G40" s="31" t="s">
        <v>322</v>
      </c>
      <c r="H40" s="31" t="s">
        <v>359</v>
      </c>
      <c r="I40" s="31" t="s">
        <v>363</v>
      </c>
      <c r="J40" s="13" t="n">
        <v>5</v>
      </c>
      <c r="K40" s="31" t="s">
        <v>361</v>
      </c>
      <c r="L40" s="31" t="s">
        <v>361</v>
      </c>
      <c r="M40" s="13" t="n">
        <v>2</v>
      </c>
      <c r="N40" s="13" t="n">
        <v>10</v>
      </c>
      <c r="P40" s="41"/>
    </row>
    <row r="41" customFormat="false" ht="15.75" hidden="false" customHeight="false" outlineLevel="0" collapsed="false">
      <c r="A41" s="13" t="n">
        <v>40</v>
      </c>
      <c r="B41" s="13" t="n">
        <v>385352</v>
      </c>
      <c r="C41" s="31" t="s">
        <v>100</v>
      </c>
      <c r="D41" s="31"/>
      <c r="E41" s="31"/>
      <c r="F41" s="31" t="s">
        <v>213</v>
      </c>
      <c r="G41" s="31" t="s">
        <v>322</v>
      </c>
      <c r="H41" s="31" t="s">
        <v>359</v>
      </c>
      <c r="I41" s="31" t="s">
        <v>362</v>
      </c>
      <c r="J41" s="13" t="n">
        <v>7</v>
      </c>
      <c r="K41" s="31" t="s">
        <v>361</v>
      </c>
      <c r="L41" s="31" t="s">
        <v>361</v>
      </c>
      <c r="M41" s="13" t="n">
        <v>2</v>
      </c>
      <c r="N41" s="13" t="n">
        <v>14</v>
      </c>
      <c r="P41" s="41"/>
    </row>
    <row r="42" customFormat="false" ht="15.75" hidden="false" customHeight="false" outlineLevel="0" collapsed="false">
      <c r="A42" s="13" t="n">
        <v>41</v>
      </c>
      <c r="B42" s="13" t="n">
        <v>385352</v>
      </c>
      <c r="C42" s="31" t="s">
        <v>100</v>
      </c>
      <c r="D42" s="31"/>
      <c r="E42" s="31"/>
      <c r="F42" s="31" t="s">
        <v>213</v>
      </c>
      <c r="G42" s="31" t="s">
        <v>322</v>
      </c>
      <c r="H42" s="31" t="s">
        <v>359</v>
      </c>
      <c r="I42" s="31" t="s">
        <v>360</v>
      </c>
      <c r="J42" s="13" t="n">
        <v>9</v>
      </c>
      <c r="K42" s="31" t="s">
        <v>361</v>
      </c>
      <c r="L42" s="31" t="s">
        <v>361</v>
      </c>
      <c r="M42" s="13" t="n">
        <v>1</v>
      </c>
      <c r="N42" s="13" t="n">
        <v>9</v>
      </c>
      <c r="P42" s="41"/>
    </row>
    <row r="43" customFormat="false" ht="15.75" hidden="false" customHeight="false" outlineLevel="0" collapsed="false">
      <c r="A43" s="13" t="n">
        <v>42</v>
      </c>
      <c r="B43" s="13" t="n">
        <v>938171</v>
      </c>
      <c r="C43" s="31" t="s">
        <v>100</v>
      </c>
      <c r="D43" s="31"/>
      <c r="E43" s="31"/>
      <c r="F43" s="31" t="s">
        <v>292</v>
      </c>
      <c r="G43" s="31" t="s">
        <v>320</v>
      </c>
      <c r="H43" s="31" t="s">
        <v>359</v>
      </c>
      <c r="I43" s="31" t="s">
        <v>363</v>
      </c>
      <c r="J43" s="13" t="n">
        <v>5</v>
      </c>
      <c r="K43" s="31" t="s">
        <v>361</v>
      </c>
      <c r="L43" s="31" t="s">
        <v>361</v>
      </c>
      <c r="M43" s="13" t="n">
        <v>2</v>
      </c>
      <c r="N43" s="13" t="n">
        <v>10</v>
      </c>
      <c r="P43" s="41"/>
    </row>
    <row r="44" customFormat="false" ht="15.75" hidden="false" customHeight="false" outlineLevel="0" collapsed="false">
      <c r="A44" s="13" t="n">
        <v>43</v>
      </c>
      <c r="B44" s="13" t="n">
        <v>473607</v>
      </c>
      <c r="C44" s="31" t="s">
        <v>105</v>
      </c>
      <c r="D44" s="31"/>
      <c r="E44" s="31"/>
      <c r="F44" s="31" t="s">
        <v>266</v>
      </c>
      <c r="G44" s="31" t="s">
        <v>322</v>
      </c>
      <c r="H44" s="31" t="s">
        <v>359</v>
      </c>
      <c r="I44" s="31" t="s">
        <v>362</v>
      </c>
      <c r="J44" s="13" t="n">
        <v>7</v>
      </c>
      <c r="K44" s="31" t="s">
        <v>361</v>
      </c>
      <c r="L44" s="31" t="s">
        <v>361</v>
      </c>
      <c r="M44" s="13" t="n">
        <v>1</v>
      </c>
      <c r="N44" s="13" t="n">
        <v>7</v>
      </c>
      <c r="P44" s="41"/>
    </row>
    <row r="45" customFormat="false" ht="15.75" hidden="false" customHeight="false" outlineLevel="0" collapsed="false">
      <c r="A45" s="13" t="n">
        <v>44</v>
      </c>
      <c r="B45" s="13" t="n">
        <v>168555</v>
      </c>
      <c r="C45" s="31" t="s">
        <v>376</v>
      </c>
      <c r="D45" s="31"/>
      <c r="E45" s="31"/>
      <c r="F45" s="31" t="s">
        <v>377</v>
      </c>
      <c r="G45" s="31" t="s">
        <v>322</v>
      </c>
      <c r="H45" s="31" t="s">
        <v>359</v>
      </c>
      <c r="I45" s="31" t="s">
        <v>363</v>
      </c>
      <c r="J45" s="13" t="n">
        <v>5</v>
      </c>
      <c r="K45" s="31" t="s">
        <v>361</v>
      </c>
      <c r="L45" s="31" t="s">
        <v>361</v>
      </c>
      <c r="M45" s="13" t="n">
        <v>1</v>
      </c>
      <c r="N45" s="13" t="n">
        <v>5</v>
      </c>
      <c r="P45" s="41"/>
    </row>
    <row r="46" customFormat="false" ht="15.75" hidden="false" customHeight="false" outlineLevel="0" collapsed="false">
      <c r="A46" s="13" t="n">
        <v>45</v>
      </c>
      <c r="B46" s="13" t="n">
        <v>374221</v>
      </c>
      <c r="C46" s="31" t="s">
        <v>376</v>
      </c>
      <c r="D46" s="31"/>
      <c r="E46" s="31"/>
      <c r="F46" s="31" t="s">
        <v>191</v>
      </c>
      <c r="G46" s="31" t="s">
        <v>320</v>
      </c>
      <c r="H46" s="31" t="s">
        <v>359</v>
      </c>
      <c r="I46" s="31" t="s">
        <v>360</v>
      </c>
      <c r="J46" s="13" t="n">
        <v>9</v>
      </c>
      <c r="K46" s="31" t="s">
        <v>361</v>
      </c>
      <c r="L46" s="31" t="s">
        <v>361</v>
      </c>
      <c r="M46" s="13" t="n">
        <v>1</v>
      </c>
      <c r="N46" s="13" t="n">
        <v>9</v>
      </c>
      <c r="P46" s="41"/>
    </row>
    <row r="47" customFormat="false" ht="15.75" hidden="false" customHeight="false" outlineLevel="0" collapsed="false">
      <c r="A47" s="13" t="n">
        <v>46</v>
      </c>
      <c r="B47" s="13" t="n">
        <v>502833</v>
      </c>
      <c r="C47" s="31" t="s">
        <v>378</v>
      </c>
      <c r="D47" s="31"/>
      <c r="E47" s="31"/>
      <c r="F47" s="31" t="s">
        <v>379</v>
      </c>
      <c r="G47" s="31" t="s">
        <v>322</v>
      </c>
      <c r="H47" s="31" t="s">
        <v>359</v>
      </c>
      <c r="I47" s="31" t="s">
        <v>360</v>
      </c>
      <c r="J47" s="13" t="n">
        <v>9</v>
      </c>
      <c r="K47" s="31" t="s">
        <v>361</v>
      </c>
      <c r="L47" s="31" t="s">
        <v>361</v>
      </c>
      <c r="M47" s="13" t="n">
        <v>1</v>
      </c>
      <c r="N47" s="13" t="n">
        <v>9</v>
      </c>
    </row>
    <row r="48" customFormat="false" ht="15.75" hidden="false" customHeight="false" outlineLevel="0" collapsed="false">
      <c r="A48" s="13" t="n">
        <v>47</v>
      </c>
      <c r="B48" s="13" t="n">
        <v>764602</v>
      </c>
      <c r="C48" s="31" t="s">
        <v>108</v>
      </c>
      <c r="D48" s="31"/>
      <c r="E48" s="31"/>
      <c r="F48" s="31" t="s">
        <v>289</v>
      </c>
      <c r="G48" s="31" t="s">
        <v>320</v>
      </c>
      <c r="H48" s="31" t="s">
        <v>359</v>
      </c>
      <c r="I48" s="31" t="s">
        <v>360</v>
      </c>
      <c r="J48" s="13" t="n">
        <v>9</v>
      </c>
      <c r="K48" s="31" t="s">
        <v>361</v>
      </c>
      <c r="L48" s="31" t="s">
        <v>361</v>
      </c>
      <c r="M48" s="13" t="n">
        <v>2</v>
      </c>
      <c r="N48" s="13" t="n">
        <v>18</v>
      </c>
    </row>
    <row r="49" customFormat="false" ht="15.75" hidden="false" customHeight="false" outlineLevel="0" collapsed="false">
      <c r="A49" s="13" t="n">
        <v>48</v>
      </c>
      <c r="B49" s="13" t="n">
        <v>466025</v>
      </c>
      <c r="C49" s="31" t="s">
        <v>114</v>
      </c>
      <c r="D49" s="31"/>
      <c r="E49" s="31"/>
      <c r="F49" s="31" t="s">
        <v>327</v>
      </c>
      <c r="G49" s="31" t="s">
        <v>320</v>
      </c>
      <c r="H49" s="31" t="s">
        <v>359</v>
      </c>
      <c r="I49" s="31" t="s">
        <v>362</v>
      </c>
      <c r="J49" s="13" t="n">
        <v>7</v>
      </c>
      <c r="K49" s="31" t="s">
        <v>361</v>
      </c>
      <c r="L49" s="31" t="s">
        <v>361</v>
      </c>
      <c r="M49" s="13" t="n">
        <v>1</v>
      </c>
      <c r="N49" s="13" t="n">
        <v>7</v>
      </c>
    </row>
    <row r="50" customFormat="false" ht="15.75" hidden="false" customHeight="false" outlineLevel="0" collapsed="false">
      <c r="A50" s="13" t="n">
        <v>49</v>
      </c>
      <c r="B50" s="13" t="n">
        <v>466025</v>
      </c>
      <c r="C50" s="31" t="s">
        <v>114</v>
      </c>
      <c r="D50" s="31"/>
      <c r="E50" s="31"/>
      <c r="F50" s="31" t="s">
        <v>327</v>
      </c>
      <c r="G50" s="31" t="s">
        <v>320</v>
      </c>
      <c r="H50" s="31" t="s">
        <v>359</v>
      </c>
      <c r="I50" s="31" t="s">
        <v>360</v>
      </c>
      <c r="J50" s="13" t="n">
        <v>9</v>
      </c>
      <c r="K50" s="31" t="s">
        <v>361</v>
      </c>
      <c r="L50" s="31" t="s">
        <v>361</v>
      </c>
      <c r="M50" s="13" t="n">
        <v>2</v>
      </c>
      <c r="N50" s="13" t="n">
        <v>18</v>
      </c>
    </row>
    <row r="51" customFormat="false" ht="15.75" hidden="false" customHeight="false" outlineLevel="0" collapsed="false">
      <c r="A51" s="13" t="n">
        <v>50</v>
      </c>
      <c r="B51" s="13" t="n">
        <v>369090</v>
      </c>
      <c r="C51" s="31" t="s">
        <v>116</v>
      </c>
      <c r="D51" s="31"/>
      <c r="E51" s="31"/>
      <c r="F51" s="31" t="s">
        <v>235</v>
      </c>
      <c r="G51" s="31" t="s">
        <v>320</v>
      </c>
      <c r="H51" s="31" t="s">
        <v>359</v>
      </c>
      <c r="I51" s="31" t="s">
        <v>360</v>
      </c>
      <c r="J51" s="13" t="n">
        <v>9</v>
      </c>
      <c r="K51" s="31" t="s">
        <v>361</v>
      </c>
      <c r="L51" s="31" t="s">
        <v>361</v>
      </c>
      <c r="M51" s="13" t="n">
        <v>3</v>
      </c>
      <c r="N51" s="13" t="n">
        <v>27</v>
      </c>
    </row>
    <row r="52" customFormat="false" ht="15.75" hidden="false" customHeight="false" outlineLevel="0" collapsed="false">
      <c r="A52" s="13" t="n">
        <v>51</v>
      </c>
      <c r="B52" s="13" t="n">
        <v>369090</v>
      </c>
      <c r="C52" s="31" t="s">
        <v>116</v>
      </c>
      <c r="D52" s="31"/>
      <c r="E52" s="31"/>
      <c r="F52" s="31" t="s">
        <v>235</v>
      </c>
      <c r="G52" s="31" t="s">
        <v>320</v>
      </c>
      <c r="H52" s="31" t="s">
        <v>359</v>
      </c>
      <c r="I52" s="31" t="s">
        <v>362</v>
      </c>
      <c r="J52" s="13" t="n">
        <v>7</v>
      </c>
      <c r="K52" s="31" t="s">
        <v>361</v>
      </c>
      <c r="L52" s="31" t="s">
        <v>361</v>
      </c>
      <c r="M52" s="13" t="n">
        <v>1</v>
      </c>
      <c r="N52" s="13" t="n">
        <v>7</v>
      </c>
    </row>
    <row r="53" customFormat="false" ht="15.75" hidden="false" customHeight="false" outlineLevel="0" collapsed="false">
      <c r="A53" s="13" t="n">
        <v>52</v>
      </c>
      <c r="B53" s="13" t="n">
        <v>369090</v>
      </c>
      <c r="C53" s="31" t="s">
        <v>116</v>
      </c>
      <c r="D53" s="31"/>
      <c r="E53" s="31"/>
      <c r="F53" s="31" t="s">
        <v>235</v>
      </c>
      <c r="G53" s="31" t="s">
        <v>320</v>
      </c>
      <c r="H53" s="31" t="s">
        <v>359</v>
      </c>
      <c r="I53" s="31" t="s">
        <v>363</v>
      </c>
      <c r="J53" s="13" t="n">
        <v>5</v>
      </c>
      <c r="K53" s="31" t="s">
        <v>361</v>
      </c>
      <c r="L53" s="31" t="s">
        <v>361</v>
      </c>
      <c r="M53" s="13" t="n">
        <v>1</v>
      </c>
      <c r="N53" s="13" t="n">
        <v>5</v>
      </c>
    </row>
    <row r="54" customFormat="false" ht="15.75" hidden="false" customHeight="false" outlineLevel="0" collapsed="false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13" t="n">
        <v>119</v>
      </c>
      <c r="N54" s="13" t="n">
        <v>915</v>
      </c>
    </row>
    <row r="55" customFormat="false" ht="15.75" hidden="false" customHeight="false" outlineLevel="0" collapsed="false">
      <c r="A55" s="31"/>
      <c r="B55" s="31"/>
      <c r="C55" s="31"/>
      <c r="D55" s="31"/>
      <c r="E55" s="31"/>
      <c r="F55" s="31"/>
      <c r="G55" s="31"/>
      <c r="H55" s="31"/>
      <c r="I55" s="31"/>
      <c r="J55" s="31" t="s">
        <v>380</v>
      </c>
      <c r="K55" s="31" t="s">
        <v>361</v>
      </c>
      <c r="L55" s="13" t="n">
        <v>0</v>
      </c>
      <c r="M55" s="13" t="n">
        <v>0</v>
      </c>
      <c r="N55" s="13" t="n">
        <v>0</v>
      </c>
    </row>
    <row r="56" customFormat="false" ht="15.75" hidden="false" customHeight="false" outlineLevel="0" collapsed="false">
      <c r="A56" s="31"/>
      <c r="B56" s="31"/>
      <c r="C56" s="31"/>
      <c r="D56" s="31"/>
      <c r="E56" s="31"/>
      <c r="F56" s="31"/>
      <c r="G56" s="31"/>
      <c r="H56" s="31"/>
      <c r="I56" s="31"/>
      <c r="J56" s="31" t="s">
        <v>381</v>
      </c>
      <c r="K56" s="31" t="s">
        <v>363</v>
      </c>
      <c r="L56" s="31" t="s">
        <v>382</v>
      </c>
      <c r="M56" s="13" t="n">
        <v>23</v>
      </c>
      <c r="N56" s="13" t="n">
        <v>115</v>
      </c>
    </row>
    <row r="57" customFormat="false" ht="15.75" hidden="false" customHeight="false" outlineLevel="0" collapsed="false">
      <c r="A57" s="31"/>
      <c r="B57" s="31"/>
      <c r="C57" s="31"/>
      <c r="D57" s="31"/>
      <c r="E57" s="31"/>
      <c r="F57" s="31"/>
      <c r="G57" s="31"/>
      <c r="H57" s="31"/>
      <c r="I57" s="31"/>
      <c r="J57" s="31" t="s">
        <v>381</v>
      </c>
      <c r="K57" s="31" t="s">
        <v>362</v>
      </c>
      <c r="L57" s="31" t="s">
        <v>383</v>
      </c>
      <c r="M57" s="13" t="n">
        <v>17</v>
      </c>
      <c r="N57" s="13" t="n">
        <v>119</v>
      </c>
    </row>
    <row r="58" customFormat="false" ht="15.75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 t="s">
        <v>381</v>
      </c>
      <c r="K58" s="31" t="s">
        <v>360</v>
      </c>
      <c r="L58" s="31" t="s">
        <v>384</v>
      </c>
      <c r="M58" s="13" t="n">
        <v>66</v>
      </c>
      <c r="N58" s="13" t="n">
        <v>594</v>
      </c>
    </row>
    <row r="59" customFormat="false" ht="15.75" hidden="false" customHeight="false" outlineLevel="0" collapsed="false">
      <c r="A59" s="31"/>
      <c r="B59" s="31"/>
      <c r="C59" s="31"/>
      <c r="D59" s="31"/>
      <c r="E59" s="31"/>
      <c r="F59" s="31"/>
      <c r="G59" s="31"/>
      <c r="H59" s="31"/>
      <c r="I59" s="31"/>
      <c r="J59" s="31" t="s">
        <v>385</v>
      </c>
      <c r="K59" s="31" t="s">
        <v>363</v>
      </c>
      <c r="L59" s="31" t="s">
        <v>382</v>
      </c>
      <c r="M59" s="13" t="n">
        <v>5</v>
      </c>
      <c r="N59" s="13" t="n">
        <v>25</v>
      </c>
    </row>
    <row r="60" customFormat="false" ht="15.75" hidden="false" customHeight="false" outlineLevel="0" collapsed="false">
      <c r="A60" s="31"/>
      <c r="B60" s="31"/>
      <c r="C60" s="31"/>
      <c r="D60" s="31"/>
      <c r="E60" s="31"/>
      <c r="F60" s="31"/>
      <c r="G60" s="31"/>
      <c r="H60" s="31"/>
      <c r="I60" s="31"/>
      <c r="J60" s="31" t="s">
        <v>385</v>
      </c>
      <c r="K60" s="31" t="s">
        <v>362</v>
      </c>
      <c r="L60" s="31" t="s">
        <v>383</v>
      </c>
      <c r="M60" s="13" t="n">
        <v>5</v>
      </c>
      <c r="N60" s="13" t="n">
        <v>35</v>
      </c>
    </row>
    <row r="61" customFormat="false" ht="15.75" hidden="false" customHeight="false" outlineLevel="0" collapsed="false">
      <c r="A61" s="31"/>
      <c r="B61" s="31"/>
      <c r="C61" s="31"/>
      <c r="D61" s="31"/>
      <c r="E61" s="31"/>
      <c r="F61" s="31"/>
      <c r="G61" s="31"/>
      <c r="H61" s="31"/>
      <c r="I61" s="31"/>
      <c r="J61" s="31" t="s">
        <v>385</v>
      </c>
      <c r="K61" s="31" t="s">
        <v>360</v>
      </c>
      <c r="L61" s="31" t="s">
        <v>384</v>
      </c>
      <c r="M61" s="13" t="n">
        <v>3</v>
      </c>
      <c r="N61" s="13" t="n">
        <v>27</v>
      </c>
    </row>
    <row r="62" customFormat="false" ht="15.7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 t="s">
        <v>386</v>
      </c>
      <c r="K62" s="31" t="s">
        <v>361</v>
      </c>
      <c r="L62" s="31" t="s">
        <v>387</v>
      </c>
      <c r="M62" s="13" t="n">
        <v>0</v>
      </c>
      <c r="N62" s="13" t="n">
        <v>0</v>
      </c>
    </row>
    <row r="63" customFormat="false" ht="15.7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 t="s">
        <v>388</v>
      </c>
      <c r="K63" s="31" t="s">
        <v>361</v>
      </c>
      <c r="L63" s="31" t="s">
        <v>361</v>
      </c>
      <c r="M63" s="13" t="n">
        <v>0</v>
      </c>
      <c r="N63" s="13" t="n">
        <v>0</v>
      </c>
    </row>
    <row r="64" customFormat="false" ht="15.75" hidden="false" customHeight="false" outlineLevel="0" collapsed="false">
      <c r="A64" s="31"/>
      <c r="B64" s="31"/>
      <c r="C64" s="31"/>
      <c r="D64" s="31"/>
      <c r="E64" s="31"/>
      <c r="F64" s="31"/>
      <c r="G64" s="31"/>
      <c r="H64" s="31"/>
      <c r="I64" s="31"/>
      <c r="J64" s="31" t="s">
        <v>389</v>
      </c>
      <c r="K64" s="31" t="s">
        <v>361</v>
      </c>
      <c r="L64" s="31" t="s">
        <v>361</v>
      </c>
      <c r="M64" s="13" t="n">
        <v>0</v>
      </c>
      <c r="N64" s="13" t="n">
        <v>0</v>
      </c>
    </row>
    <row r="65" customFormat="false" ht="15.75" hidden="false" customHeight="false" outlineLevel="0" collapsed="false">
      <c r="A65" s="31"/>
      <c r="B65" s="31"/>
      <c r="C65" s="31"/>
      <c r="D65" s="31"/>
      <c r="E65" s="31"/>
      <c r="F65" s="31"/>
      <c r="G65" s="31"/>
      <c r="H65" s="31"/>
      <c r="I65" s="31"/>
      <c r="J65" s="31" t="s">
        <v>390</v>
      </c>
      <c r="K65" s="31" t="s">
        <v>361</v>
      </c>
      <c r="L65" s="31" t="s">
        <v>361</v>
      </c>
      <c r="M65" s="13" t="n">
        <v>0</v>
      </c>
      <c r="N65" s="13" t="n">
        <v>0</v>
      </c>
    </row>
    <row r="66" customFormat="false" ht="15.75" hidden="false" customHeight="false" outlineLevel="0" collapsed="false">
      <c r="A66" s="31"/>
      <c r="B66" s="31"/>
      <c r="C66" s="31"/>
      <c r="D66" s="31"/>
      <c r="E66" s="31"/>
      <c r="F66" s="31"/>
      <c r="G66" s="31"/>
      <c r="H66" s="31"/>
      <c r="I66" s="31"/>
      <c r="J66" s="31" t="s">
        <v>391</v>
      </c>
      <c r="K66" s="31" t="s">
        <v>361</v>
      </c>
      <c r="L66" s="31" t="s">
        <v>361</v>
      </c>
      <c r="M66" s="13" t="n">
        <v>0</v>
      </c>
      <c r="N66" s="1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31" t="s">
        <v>392</v>
      </c>
      <c r="B1" s="31" t="s">
        <v>393</v>
      </c>
      <c r="C1" s="31" t="s">
        <v>394</v>
      </c>
      <c r="D1" s="31" t="s">
        <v>395</v>
      </c>
      <c r="E1" s="31" t="s">
        <v>396</v>
      </c>
      <c r="F1" s="31" t="s">
        <v>0</v>
      </c>
      <c r="G1" s="31" t="s">
        <v>397</v>
      </c>
      <c r="H1" s="31" t="s">
        <v>398</v>
      </c>
      <c r="I1" s="31" t="s">
        <v>306</v>
      </c>
      <c r="J1" s="31" t="s">
        <v>399</v>
      </c>
      <c r="K1" s="31" t="s">
        <v>145</v>
      </c>
      <c r="L1" s="31" t="s">
        <v>400</v>
      </c>
      <c r="M1" s="31" t="s">
        <v>401</v>
      </c>
      <c r="N1" s="31" t="s">
        <v>402</v>
      </c>
      <c r="O1" s="31" t="s">
        <v>403</v>
      </c>
      <c r="P1" s="31" t="s">
        <v>404</v>
      </c>
      <c r="Q1" s="31" t="s">
        <v>405</v>
      </c>
      <c r="R1" s="31" t="s">
        <v>406</v>
      </c>
      <c r="S1" s="31" t="s">
        <v>407</v>
      </c>
      <c r="T1" s="31" t="s">
        <v>408</v>
      </c>
      <c r="U1" s="31" t="s">
        <v>409</v>
      </c>
    </row>
    <row r="2" customFormat="false" ht="15.75" hidden="false" customHeight="false" outlineLevel="0" collapsed="false">
      <c r="A2" s="31" t="s">
        <v>410</v>
      </c>
      <c r="B2" s="44" t="n">
        <v>45992.5930555556</v>
      </c>
      <c r="C2" s="44" t="n">
        <v>45992.5930555556</v>
      </c>
      <c r="D2" s="31" t="n">
        <v>105854</v>
      </c>
      <c r="E2" s="31"/>
      <c r="F2" s="31" t="s">
        <v>411</v>
      </c>
      <c r="G2" s="31"/>
      <c r="H2" s="31" t="s">
        <v>412</v>
      </c>
      <c r="I2" s="31" t="s">
        <v>413</v>
      </c>
      <c r="J2" s="31" t="s">
        <v>414</v>
      </c>
      <c r="K2" s="31" t="s">
        <v>415</v>
      </c>
      <c r="L2" s="13" t="n">
        <v>14.49</v>
      </c>
      <c r="M2" s="13" t="n">
        <v>15.21</v>
      </c>
      <c r="N2" s="13" t="n">
        <v>40</v>
      </c>
      <c r="O2" s="13" t="n">
        <v>5</v>
      </c>
      <c r="P2" s="13" t="n">
        <v>1</v>
      </c>
      <c r="Q2" s="13" t="n">
        <v>8.69</v>
      </c>
      <c r="R2" s="13" t="n">
        <v>0.43</v>
      </c>
      <c r="S2" s="13" t="n">
        <v>9.12</v>
      </c>
      <c r="T2" s="31" t="s">
        <v>416</v>
      </c>
      <c r="U2" s="31" t="s">
        <v>417</v>
      </c>
    </row>
    <row r="3" customFormat="false" ht="15.75" hidden="false" customHeight="false" outlineLevel="0" collapsed="false">
      <c r="A3" s="31" t="s">
        <v>418</v>
      </c>
      <c r="B3" s="44" t="n">
        <v>45998.2861111111</v>
      </c>
      <c r="C3" s="44" t="n">
        <v>45998.2875</v>
      </c>
      <c r="D3" s="31" t="n">
        <v>83216</v>
      </c>
      <c r="E3" s="31"/>
      <c r="F3" s="31" t="s">
        <v>100</v>
      </c>
      <c r="G3" s="31"/>
      <c r="H3" s="31" t="s">
        <v>419</v>
      </c>
      <c r="I3" s="31" t="s">
        <v>413</v>
      </c>
      <c r="J3" s="31" t="s">
        <v>414</v>
      </c>
      <c r="K3" s="31" t="s">
        <v>420</v>
      </c>
      <c r="L3" s="13" t="n">
        <v>17.05</v>
      </c>
      <c r="M3" s="13" t="n">
        <v>17.9</v>
      </c>
      <c r="N3" s="13" t="n">
        <v>40</v>
      </c>
      <c r="O3" s="13" t="n">
        <v>5</v>
      </c>
      <c r="P3" s="13" t="n">
        <v>1</v>
      </c>
      <c r="Q3" s="13" t="n">
        <v>10.23</v>
      </c>
      <c r="R3" s="13" t="n">
        <v>0.51</v>
      </c>
      <c r="S3" s="13" t="n">
        <v>10.74</v>
      </c>
      <c r="T3" s="31" t="s">
        <v>416</v>
      </c>
      <c r="U3" s="31" t="s">
        <v>417</v>
      </c>
    </row>
    <row r="4" customFormat="false" ht="15.75" hidden="false" customHeight="false" outlineLevel="0" collapsed="false">
      <c r="A4" s="31" t="s">
        <v>418</v>
      </c>
      <c r="B4" s="44" t="n">
        <v>45998.2861111111</v>
      </c>
      <c r="C4" s="44" t="n">
        <v>45998.2875</v>
      </c>
      <c r="D4" s="31" t="n">
        <v>23953</v>
      </c>
      <c r="E4" s="31"/>
      <c r="F4" s="31" t="s">
        <v>421</v>
      </c>
      <c r="G4" s="31" t="s">
        <v>422</v>
      </c>
      <c r="H4" s="31" t="s">
        <v>423</v>
      </c>
      <c r="I4" s="31" t="s">
        <v>413</v>
      </c>
      <c r="J4" s="31" t="s">
        <v>414</v>
      </c>
      <c r="K4" s="31" t="s">
        <v>424</v>
      </c>
      <c r="L4" s="13" t="n">
        <v>10.38</v>
      </c>
      <c r="M4" s="13" t="n">
        <v>10.9</v>
      </c>
      <c r="N4" s="13" t="n">
        <v>40</v>
      </c>
      <c r="O4" s="13" t="n">
        <v>5</v>
      </c>
      <c r="P4" s="13" t="n">
        <v>1</v>
      </c>
      <c r="Q4" s="13" t="n">
        <v>6.23</v>
      </c>
      <c r="R4" s="13" t="n">
        <v>0.31</v>
      </c>
      <c r="S4" s="13" t="n">
        <v>6.54</v>
      </c>
      <c r="T4" s="31" t="s">
        <v>416</v>
      </c>
      <c r="U4" s="31" t="s">
        <v>417</v>
      </c>
    </row>
    <row r="5" customFormat="false" ht="15.75" hidden="false" customHeight="false" outlineLevel="0" collapsed="false">
      <c r="A5" s="31" t="s">
        <v>425</v>
      </c>
      <c r="B5" s="44" t="n">
        <v>46002.0548611111</v>
      </c>
      <c r="C5" s="44" t="n">
        <v>46002.0548611111</v>
      </c>
      <c r="D5" s="31" t="n">
        <v>150994</v>
      </c>
      <c r="E5" s="31"/>
      <c r="F5" s="31" t="s">
        <v>426</v>
      </c>
      <c r="G5" s="31" t="s">
        <v>427</v>
      </c>
      <c r="H5" s="31" t="s">
        <v>428</v>
      </c>
      <c r="I5" s="31" t="s">
        <v>413</v>
      </c>
      <c r="J5" s="31" t="s">
        <v>414</v>
      </c>
      <c r="K5" s="31" t="s">
        <v>429</v>
      </c>
      <c r="L5" s="13" t="n">
        <v>16.1</v>
      </c>
      <c r="M5" s="13" t="n">
        <v>16.91</v>
      </c>
      <c r="N5" s="13" t="n">
        <v>40</v>
      </c>
      <c r="O5" s="13" t="n">
        <v>5</v>
      </c>
      <c r="P5" s="13" t="n">
        <v>1</v>
      </c>
      <c r="Q5" s="13" t="n">
        <v>9.66</v>
      </c>
      <c r="R5" s="13" t="n">
        <v>0.48</v>
      </c>
      <c r="S5" s="13" t="n">
        <v>10.14</v>
      </c>
      <c r="T5" s="31" t="s">
        <v>416</v>
      </c>
      <c r="U5" s="31" t="s">
        <v>417</v>
      </c>
    </row>
    <row r="6" customFormat="false" ht="15.75" hidden="false" customHeight="false" outlineLevel="0" collapsed="false">
      <c r="A6" s="31" t="s">
        <v>430</v>
      </c>
      <c r="B6" s="44" t="n">
        <v>46002.3673611111</v>
      </c>
      <c r="C6" s="44" t="n">
        <v>46002.36875</v>
      </c>
      <c r="D6" s="31" t="n">
        <v>86043</v>
      </c>
      <c r="E6" s="31"/>
      <c r="F6" s="31" t="s">
        <v>431</v>
      </c>
      <c r="G6" s="31" t="s">
        <v>432</v>
      </c>
      <c r="H6" s="31" t="s">
        <v>433</v>
      </c>
      <c r="I6" s="31" t="s">
        <v>413</v>
      </c>
      <c r="J6" s="31" t="s">
        <v>414</v>
      </c>
      <c r="K6" s="31" t="s">
        <v>420</v>
      </c>
      <c r="L6" s="13" t="n">
        <v>12.06</v>
      </c>
      <c r="M6" s="13" t="n">
        <v>12.66</v>
      </c>
      <c r="N6" s="13" t="n">
        <v>40</v>
      </c>
      <c r="O6" s="13" t="n">
        <v>5</v>
      </c>
      <c r="P6" s="13" t="n">
        <v>1</v>
      </c>
      <c r="Q6" s="13" t="n">
        <v>7.24</v>
      </c>
      <c r="R6" s="13" t="n">
        <v>0.36</v>
      </c>
      <c r="S6" s="13" t="n">
        <v>7.6</v>
      </c>
      <c r="T6" s="31" t="s">
        <v>416</v>
      </c>
      <c r="U6" s="31" t="s">
        <v>417</v>
      </c>
    </row>
    <row r="7" customFormat="false" ht="15.75" hidden="false" customHeight="false" outlineLevel="0" collapsed="false">
      <c r="A7" s="31" t="s">
        <v>434</v>
      </c>
      <c r="B7" s="44" t="n">
        <v>46002.8069444444</v>
      </c>
      <c r="C7" s="44" t="n">
        <v>46002.8069444444</v>
      </c>
      <c r="D7" s="31" t="n">
        <v>150994</v>
      </c>
      <c r="E7" s="31"/>
      <c r="F7" s="31" t="s">
        <v>426</v>
      </c>
      <c r="G7" s="31" t="s">
        <v>427</v>
      </c>
      <c r="H7" s="31" t="s">
        <v>428</v>
      </c>
      <c r="I7" s="31" t="s">
        <v>413</v>
      </c>
      <c r="J7" s="31" t="s">
        <v>414</v>
      </c>
      <c r="K7" s="31" t="s">
        <v>429</v>
      </c>
      <c r="L7" s="13" t="n">
        <v>16.1</v>
      </c>
      <c r="M7" s="13" t="n">
        <v>16.91</v>
      </c>
      <c r="N7" s="13" t="n">
        <v>40</v>
      </c>
      <c r="O7" s="13" t="n">
        <v>5</v>
      </c>
      <c r="P7" s="13" t="n">
        <v>1</v>
      </c>
      <c r="Q7" s="13" t="n">
        <v>9.66</v>
      </c>
      <c r="R7" s="13" t="n">
        <v>0.48</v>
      </c>
      <c r="S7" s="13" t="n">
        <v>10.14</v>
      </c>
      <c r="T7" s="31" t="s">
        <v>416</v>
      </c>
      <c r="U7" s="31" t="s">
        <v>417</v>
      </c>
    </row>
    <row r="8" customFormat="false" ht="15.75" hidden="false" customHeight="false" outlineLevel="0" collapsed="false">
      <c r="A8" s="31" t="s">
        <v>435</v>
      </c>
      <c r="B8" s="44" t="n">
        <v>46007.6902777778</v>
      </c>
      <c r="C8" s="44" t="n">
        <v>46007.6923611111</v>
      </c>
      <c r="D8" s="31" t="n">
        <v>156353</v>
      </c>
      <c r="E8" s="31"/>
      <c r="F8" s="31" t="s">
        <v>426</v>
      </c>
      <c r="G8" s="31" t="s">
        <v>427</v>
      </c>
      <c r="H8" s="31" t="s">
        <v>436</v>
      </c>
      <c r="I8" s="31" t="s">
        <v>413</v>
      </c>
      <c r="J8" s="31" t="s">
        <v>437</v>
      </c>
      <c r="K8" s="31" t="s">
        <v>429</v>
      </c>
      <c r="L8" s="13" t="n">
        <v>18.95</v>
      </c>
      <c r="M8" s="13" t="n">
        <v>19.9</v>
      </c>
      <c r="N8" s="13" t="n">
        <v>40</v>
      </c>
      <c r="O8" s="13" t="n">
        <v>5</v>
      </c>
      <c r="P8" s="13" t="n">
        <v>1</v>
      </c>
      <c r="Q8" s="13" t="n">
        <v>11.37</v>
      </c>
      <c r="R8" s="13" t="n">
        <v>0.57</v>
      </c>
      <c r="S8" s="13" t="n">
        <v>11.94</v>
      </c>
      <c r="T8" s="31" t="s">
        <v>416</v>
      </c>
      <c r="U8" s="31" t="s">
        <v>417</v>
      </c>
    </row>
    <row r="9" customFormat="false" ht="15.75" hidden="false" customHeight="false" outlineLevel="0" collapsed="false">
      <c r="A9" s="31" t="s">
        <v>438</v>
      </c>
      <c r="B9" s="44" t="n">
        <v>46007.9076388889</v>
      </c>
      <c r="C9" s="44" t="n">
        <v>46007.9076388889</v>
      </c>
      <c r="D9" s="31" t="n">
        <v>86043</v>
      </c>
      <c r="E9" s="31"/>
      <c r="F9" s="31" t="s">
        <v>431</v>
      </c>
      <c r="G9" s="31" t="s">
        <v>432</v>
      </c>
      <c r="H9" s="31" t="s">
        <v>433</v>
      </c>
      <c r="I9" s="31" t="s">
        <v>413</v>
      </c>
      <c r="J9" s="31" t="s">
        <v>414</v>
      </c>
      <c r="K9" s="31" t="s">
        <v>420</v>
      </c>
      <c r="L9" s="13" t="n">
        <v>12.06</v>
      </c>
      <c r="M9" s="13" t="n">
        <v>12.66</v>
      </c>
      <c r="N9" s="13" t="n">
        <v>40</v>
      </c>
      <c r="O9" s="13" t="n">
        <v>5</v>
      </c>
      <c r="P9" s="13" t="n">
        <v>1</v>
      </c>
      <c r="Q9" s="13" t="n">
        <v>7.24</v>
      </c>
      <c r="R9" s="13" t="n">
        <v>0.36</v>
      </c>
      <c r="S9" s="13" t="n">
        <v>7.6</v>
      </c>
      <c r="T9" s="31" t="s">
        <v>416</v>
      </c>
      <c r="U9" s="31" t="s">
        <v>417</v>
      </c>
    </row>
    <row r="10" customFormat="false" ht="15.75" hidden="false" customHeight="false" outlineLevel="0" collapsed="false">
      <c r="A10" s="31" t="s">
        <v>439</v>
      </c>
      <c r="B10" s="44" t="n">
        <v>46008.8034722222</v>
      </c>
      <c r="C10" s="44" t="n">
        <v>46008.8034722222</v>
      </c>
      <c r="D10" s="31" t="n">
        <v>44329</v>
      </c>
      <c r="E10" s="31"/>
      <c r="F10" s="31" t="s">
        <v>69</v>
      </c>
      <c r="G10" s="31"/>
      <c r="H10" s="31" t="s">
        <v>440</v>
      </c>
      <c r="I10" s="31" t="s">
        <v>413</v>
      </c>
      <c r="J10" s="31" t="s">
        <v>414</v>
      </c>
      <c r="K10" s="31" t="s">
        <v>420</v>
      </c>
      <c r="L10" s="13" t="n">
        <v>10.46</v>
      </c>
      <c r="M10" s="13" t="n">
        <v>10.98</v>
      </c>
      <c r="N10" s="13" t="n">
        <v>40</v>
      </c>
      <c r="O10" s="13" t="n">
        <v>5</v>
      </c>
      <c r="P10" s="13" t="n">
        <v>1</v>
      </c>
      <c r="Q10" s="13" t="n">
        <v>6.28</v>
      </c>
      <c r="R10" s="13" t="n">
        <v>0.31</v>
      </c>
      <c r="S10" s="13" t="n">
        <v>6.59</v>
      </c>
      <c r="T10" s="31" t="s">
        <v>416</v>
      </c>
      <c r="U10" s="31" t="s">
        <v>417</v>
      </c>
    </row>
    <row r="11" customFormat="false" ht="15.75" hidden="false" customHeight="false" outlineLevel="0" collapsed="false">
      <c r="A11" s="31" t="s">
        <v>441</v>
      </c>
      <c r="B11" s="44" t="n">
        <v>46009.8298611111</v>
      </c>
      <c r="C11" s="44" t="n">
        <v>46009.8305555556</v>
      </c>
      <c r="D11" s="31" t="n">
        <v>150994</v>
      </c>
      <c r="E11" s="31"/>
      <c r="F11" s="31" t="s">
        <v>426</v>
      </c>
      <c r="G11" s="31" t="s">
        <v>427</v>
      </c>
      <c r="H11" s="31" t="s">
        <v>428</v>
      </c>
      <c r="I11" s="31" t="s">
        <v>413</v>
      </c>
      <c r="J11" s="31" t="s">
        <v>414</v>
      </c>
      <c r="K11" s="31" t="s">
        <v>429</v>
      </c>
      <c r="L11" s="13" t="n">
        <v>16.1</v>
      </c>
      <c r="M11" s="13" t="n">
        <v>16.91</v>
      </c>
      <c r="N11" s="13" t="n">
        <v>40</v>
      </c>
      <c r="O11" s="13" t="n">
        <v>5</v>
      </c>
      <c r="P11" s="13" t="n">
        <v>1</v>
      </c>
      <c r="Q11" s="13" t="n">
        <v>9.66</v>
      </c>
      <c r="R11" s="13" t="n">
        <v>0.48</v>
      </c>
      <c r="S11" s="13" t="n">
        <v>10.14</v>
      </c>
      <c r="T11" s="31" t="s">
        <v>416</v>
      </c>
      <c r="U11" s="31" t="s">
        <v>417</v>
      </c>
    </row>
    <row r="12" customFormat="false" ht="15.75" hidden="false" customHeight="false" outlineLevel="0" collapsed="false">
      <c r="A12" s="31" t="s">
        <v>442</v>
      </c>
      <c r="B12" s="44" t="n">
        <v>46009.8479166667</v>
      </c>
      <c r="C12" s="44" t="n">
        <v>46009.8486111111</v>
      </c>
      <c r="D12" s="31" t="n">
        <v>48196</v>
      </c>
      <c r="E12" s="31"/>
      <c r="F12" s="31" t="s">
        <v>443</v>
      </c>
      <c r="G12" s="31"/>
      <c r="H12" s="31" t="s">
        <v>444</v>
      </c>
      <c r="I12" s="31" t="s">
        <v>413</v>
      </c>
      <c r="J12" s="31" t="s">
        <v>437</v>
      </c>
      <c r="K12" s="31" t="s">
        <v>445</v>
      </c>
      <c r="L12" s="13" t="n">
        <v>14.19</v>
      </c>
      <c r="M12" s="13" t="n">
        <v>14.9</v>
      </c>
      <c r="N12" s="13" t="n">
        <v>40</v>
      </c>
      <c r="O12" s="13" t="n">
        <v>5</v>
      </c>
      <c r="P12" s="13" t="n">
        <v>1</v>
      </c>
      <c r="Q12" s="13" t="n">
        <v>8.51</v>
      </c>
      <c r="R12" s="13" t="n">
        <v>0.43</v>
      </c>
      <c r="S12" s="13" t="n">
        <v>8.94</v>
      </c>
      <c r="T12" s="31" t="s">
        <v>416</v>
      </c>
      <c r="U12" s="31" t="s">
        <v>417</v>
      </c>
    </row>
    <row r="13" customFormat="false" ht="15.75" hidden="false" customHeight="false" outlineLevel="0" collapsed="false">
      <c r="A13" s="31" t="s">
        <v>446</v>
      </c>
      <c r="B13" s="44" t="n">
        <v>46014.05625</v>
      </c>
      <c r="C13" s="44" t="n">
        <v>46014.0569444444</v>
      </c>
      <c r="D13" s="31" t="n">
        <v>83831</v>
      </c>
      <c r="E13" s="31"/>
      <c r="F13" s="31" t="s">
        <v>44</v>
      </c>
      <c r="G13" s="31"/>
      <c r="H13" s="31" t="s">
        <v>447</v>
      </c>
      <c r="I13" s="31" t="s">
        <v>413</v>
      </c>
      <c r="J13" s="31" t="s">
        <v>414</v>
      </c>
      <c r="K13" s="31" t="s">
        <v>429</v>
      </c>
      <c r="L13" s="13" t="n">
        <v>10.38</v>
      </c>
      <c r="M13" s="13" t="n">
        <v>10.9</v>
      </c>
      <c r="N13" s="13" t="n">
        <v>40</v>
      </c>
      <c r="O13" s="13" t="n">
        <v>5</v>
      </c>
      <c r="P13" s="13" t="n">
        <v>1</v>
      </c>
      <c r="Q13" s="13" t="n">
        <v>6.23</v>
      </c>
      <c r="R13" s="13" t="n">
        <v>0.31</v>
      </c>
      <c r="S13" s="13" t="n">
        <v>6.54</v>
      </c>
      <c r="T13" s="31" t="s">
        <v>416</v>
      </c>
      <c r="U13" s="31" t="s">
        <v>417</v>
      </c>
    </row>
    <row r="14" customFormat="false" ht="15.75" hidden="false" customHeight="false" outlineLevel="0" collapsed="false">
      <c r="A14" s="31" t="s">
        <v>448</v>
      </c>
      <c r="B14" s="44" t="n">
        <v>46014.3263888889</v>
      </c>
      <c r="C14" s="44" t="n">
        <v>46014.3284722222</v>
      </c>
      <c r="D14" s="31" t="n">
        <v>156974</v>
      </c>
      <c r="E14" s="31"/>
      <c r="F14" s="31" t="s">
        <v>449</v>
      </c>
      <c r="G14" s="31" t="s">
        <v>450</v>
      </c>
      <c r="H14" s="31" t="s">
        <v>451</v>
      </c>
      <c r="I14" s="31" t="s">
        <v>413</v>
      </c>
      <c r="J14" s="31" t="s">
        <v>414</v>
      </c>
      <c r="K14" s="31" t="s">
        <v>452</v>
      </c>
      <c r="L14" s="13" t="n">
        <v>18.95</v>
      </c>
      <c r="M14" s="13" t="n">
        <v>19.9</v>
      </c>
      <c r="N14" s="13" t="n">
        <v>40</v>
      </c>
      <c r="O14" s="13" t="n">
        <v>5</v>
      </c>
      <c r="P14" s="13" t="n">
        <v>1</v>
      </c>
      <c r="Q14" s="13" t="n">
        <v>11.37</v>
      </c>
      <c r="R14" s="13" t="n">
        <v>0.57</v>
      </c>
      <c r="S14" s="13" t="n">
        <v>11.94</v>
      </c>
      <c r="T14" s="31" t="s">
        <v>416</v>
      </c>
      <c r="U14" s="31" t="s">
        <v>417</v>
      </c>
    </row>
    <row r="15" customFormat="false" ht="15.75" hidden="false" customHeight="false" outlineLevel="0" collapsed="false">
      <c r="A15" s="31" t="s">
        <v>453</v>
      </c>
      <c r="B15" s="44" t="n">
        <v>46014.7923611111</v>
      </c>
      <c r="C15" s="44" t="n">
        <v>46014.7923611111</v>
      </c>
      <c r="D15" s="31" t="n">
        <v>156974</v>
      </c>
      <c r="E15" s="31"/>
      <c r="F15" s="31" t="s">
        <v>449</v>
      </c>
      <c r="G15" s="31" t="s">
        <v>450</v>
      </c>
      <c r="H15" s="31" t="s">
        <v>451</v>
      </c>
      <c r="I15" s="31" t="s">
        <v>413</v>
      </c>
      <c r="J15" s="31" t="s">
        <v>414</v>
      </c>
      <c r="K15" s="31" t="s">
        <v>452</v>
      </c>
      <c r="L15" s="13" t="n">
        <v>18.95</v>
      </c>
      <c r="M15" s="13" t="n">
        <v>19.9</v>
      </c>
      <c r="N15" s="13" t="n">
        <v>40</v>
      </c>
      <c r="O15" s="13" t="n">
        <v>5</v>
      </c>
      <c r="P15" s="13" t="n">
        <v>1</v>
      </c>
      <c r="Q15" s="13" t="n">
        <v>11.37</v>
      </c>
      <c r="R15" s="13" t="n">
        <v>0.57</v>
      </c>
      <c r="S15" s="13" t="n">
        <v>11.94</v>
      </c>
      <c r="T15" s="31" t="s">
        <v>416</v>
      </c>
      <c r="U15" s="31" t="s">
        <v>417</v>
      </c>
    </row>
    <row r="16" customFormat="false" ht="15.75" hidden="false" customHeight="false" outlineLevel="0" collapsed="false">
      <c r="A16" s="31" t="s">
        <v>454</v>
      </c>
      <c r="B16" s="44" t="n">
        <v>46016.0861111111</v>
      </c>
      <c r="C16" s="44" t="n">
        <v>46016.0868055556</v>
      </c>
      <c r="D16" s="31" t="n">
        <v>156974</v>
      </c>
      <c r="E16" s="31"/>
      <c r="F16" s="31" t="s">
        <v>449</v>
      </c>
      <c r="G16" s="31" t="s">
        <v>450</v>
      </c>
      <c r="H16" s="31" t="s">
        <v>451</v>
      </c>
      <c r="I16" s="31" t="s">
        <v>413</v>
      </c>
      <c r="J16" s="31" t="s">
        <v>414</v>
      </c>
      <c r="K16" s="31" t="s">
        <v>452</v>
      </c>
      <c r="L16" s="13" t="n">
        <v>18.95</v>
      </c>
      <c r="M16" s="13" t="n">
        <v>19.9</v>
      </c>
      <c r="N16" s="13" t="n">
        <v>40</v>
      </c>
      <c r="O16" s="13" t="n">
        <v>5</v>
      </c>
      <c r="P16" s="13" t="n">
        <v>1</v>
      </c>
      <c r="Q16" s="13" t="n">
        <v>11.37</v>
      </c>
      <c r="R16" s="13" t="n">
        <v>0.57</v>
      </c>
      <c r="S16" s="13" t="n">
        <v>11.94</v>
      </c>
      <c r="T16" s="31" t="s">
        <v>416</v>
      </c>
      <c r="U16" s="31" t="s">
        <v>417</v>
      </c>
    </row>
    <row r="17" customFormat="false" ht="15.75" hidden="false" customHeight="false" outlineLevel="0" collapsed="false">
      <c r="A17" s="31" t="s">
        <v>455</v>
      </c>
      <c r="B17" s="44" t="n">
        <v>46018.69375</v>
      </c>
      <c r="C17" s="44" t="n">
        <v>46018.69375</v>
      </c>
      <c r="D17" s="31" t="n">
        <v>156974</v>
      </c>
      <c r="E17" s="31"/>
      <c r="F17" s="31" t="s">
        <v>449</v>
      </c>
      <c r="G17" s="31" t="s">
        <v>450</v>
      </c>
      <c r="H17" s="31" t="s">
        <v>451</v>
      </c>
      <c r="I17" s="31" t="s">
        <v>413</v>
      </c>
      <c r="J17" s="31" t="s">
        <v>414</v>
      </c>
      <c r="K17" s="31" t="s">
        <v>452</v>
      </c>
      <c r="L17" s="13" t="n">
        <v>18.95</v>
      </c>
      <c r="M17" s="13" t="n">
        <v>19.9</v>
      </c>
      <c r="N17" s="13" t="n">
        <v>40</v>
      </c>
      <c r="O17" s="13" t="n">
        <v>5</v>
      </c>
      <c r="P17" s="13" t="n">
        <v>1</v>
      </c>
      <c r="Q17" s="13" t="n">
        <v>11.37</v>
      </c>
      <c r="R17" s="13" t="n">
        <v>0.57</v>
      </c>
      <c r="S17" s="13" t="n">
        <v>11.94</v>
      </c>
      <c r="T17" s="31" t="s">
        <v>416</v>
      </c>
      <c r="U17" s="31" t="s">
        <v>417</v>
      </c>
    </row>
    <row r="18" customFormat="false" ht="15.75" hidden="false" customHeight="false" outlineLevel="0" collapsed="false">
      <c r="A18" s="31" t="s">
        <v>456</v>
      </c>
      <c r="B18" s="44" t="n">
        <v>46020.6854166667</v>
      </c>
      <c r="C18" s="44" t="n">
        <v>46020.6861111111</v>
      </c>
      <c r="D18" s="31" t="n">
        <v>156974</v>
      </c>
      <c r="E18" s="31"/>
      <c r="F18" s="31" t="s">
        <v>449</v>
      </c>
      <c r="G18" s="31" t="s">
        <v>450</v>
      </c>
      <c r="H18" s="31" t="s">
        <v>451</v>
      </c>
      <c r="I18" s="31" t="s">
        <v>413</v>
      </c>
      <c r="J18" s="31" t="s">
        <v>414</v>
      </c>
      <c r="K18" s="31" t="s">
        <v>452</v>
      </c>
      <c r="L18" s="13" t="n">
        <v>18.95</v>
      </c>
      <c r="M18" s="13" t="n">
        <v>19.9</v>
      </c>
      <c r="N18" s="13" t="n">
        <v>40</v>
      </c>
      <c r="O18" s="13" t="n">
        <v>5</v>
      </c>
      <c r="P18" s="13" t="n">
        <v>1</v>
      </c>
      <c r="Q18" s="13" t="n">
        <v>11.37</v>
      </c>
      <c r="R18" s="13" t="n">
        <v>0.57</v>
      </c>
      <c r="S18" s="13" t="n">
        <v>11.94</v>
      </c>
      <c r="T18" s="31" t="s">
        <v>416</v>
      </c>
      <c r="U18" s="31" t="s">
        <v>417</v>
      </c>
    </row>
    <row r="19" customFormat="false" ht="15.75" hidden="false" customHeight="false" outlineLevel="0" collapsed="false">
      <c r="A19" s="31" t="s">
        <v>457</v>
      </c>
      <c r="B19" s="44" t="n">
        <v>46021.8541666667</v>
      </c>
      <c r="C19" s="44" t="n">
        <v>46021.8541666667</v>
      </c>
      <c r="D19" s="31" t="n">
        <v>48196</v>
      </c>
      <c r="E19" s="31"/>
      <c r="F19" s="31" t="s">
        <v>443</v>
      </c>
      <c r="G19" s="31"/>
      <c r="H19" s="31" t="s">
        <v>444</v>
      </c>
      <c r="I19" s="31" t="s">
        <v>413</v>
      </c>
      <c r="J19" s="31" t="s">
        <v>437</v>
      </c>
      <c r="K19" s="31" t="s">
        <v>445</v>
      </c>
      <c r="L19" s="13" t="n">
        <v>14.19</v>
      </c>
      <c r="M19" s="13" t="n">
        <v>14.9</v>
      </c>
      <c r="N19" s="13" t="n">
        <v>40</v>
      </c>
      <c r="O19" s="13" t="n">
        <v>5</v>
      </c>
      <c r="P19" s="13" t="n">
        <v>1</v>
      </c>
      <c r="Q19" s="13" t="n">
        <v>8.51</v>
      </c>
      <c r="R19" s="13" t="n">
        <v>0.43</v>
      </c>
      <c r="S19" s="13" t="n">
        <v>8.94</v>
      </c>
      <c r="T19" s="31" t="s">
        <v>416</v>
      </c>
      <c r="U19" s="31" t="s">
        <v>417</v>
      </c>
    </row>
    <row r="20" customFormat="false" ht="15.75" hidden="false" customHeight="false" outlineLevel="0" collapsed="false">
      <c r="A20" s="31" t="s">
        <v>458</v>
      </c>
      <c r="B20" s="44" t="n">
        <v>46022.4951388889</v>
      </c>
      <c r="C20" s="44" t="n">
        <v>46022.4951388889</v>
      </c>
      <c r="D20" s="31" t="n">
        <v>157073</v>
      </c>
      <c r="E20" s="31"/>
      <c r="F20" s="31" t="s">
        <v>459</v>
      </c>
      <c r="G20" s="31" t="s">
        <v>460</v>
      </c>
      <c r="H20" s="31" t="s">
        <v>461</v>
      </c>
      <c r="I20" s="31" t="s">
        <v>413</v>
      </c>
      <c r="J20" s="31" t="s">
        <v>437</v>
      </c>
      <c r="K20" s="31" t="s">
        <v>420</v>
      </c>
      <c r="L20" s="13" t="n">
        <v>18.95</v>
      </c>
      <c r="M20" s="13" t="n">
        <v>19.9</v>
      </c>
      <c r="N20" s="13" t="n">
        <v>40</v>
      </c>
      <c r="O20" s="13" t="n">
        <v>5</v>
      </c>
      <c r="P20" s="13" t="n">
        <v>1</v>
      </c>
      <c r="Q20" s="13" t="n">
        <v>11.37</v>
      </c>
      <c r="R20" s="13" t="n">
        <v>0.57</v>
      </c>
      <c r="S20" s="13" t="n">
        <v>11.94</v>
      </c>
      <c r="T20" s="31" t="s">
        <v>416</v>
      </c>
      <c r="U20" s="31" t="s">
        <v>417</v>
      </c>
    </row>
    <row r="21" customFormat="false" ht="15.75" hidden="false" customHeight="false" outlineLevel="0" collapsed="false">
      <c r="A21" s="31"/>
      <c r="B21" s="44"/>
      <c r="C21" s="44"/>
      <c r="D21" s="31"/>
      <c r="E21" s="31"/>
      <c r="F21" s="31"/>
      <c r="G21" s="31"/>
      <c r="H21" s="31"/>
      <c r="I21" s="31"/>
      <c r="J21" s="31"/>
      <c r="K21" s="31"/>
      <c r="L21" s="13"/>
      <c r="M21" s="13"/>
      <c r="N21" s="13"/>
      <c r="O21" s="13"/>
      <c r="P21" s="13"/>
      <c r="Q21" s="13"/>
      <c r="R21" s="13"/>
      <c r="S21" s="13"/>
      <c r="T21" s="31"/>
      <c r="U21" s="31"/>
    </row>
    <row r="22" customFormat="false" ht="15.75" hidden="false" customHeight="false" outlineLevel="0" collapsed="false">
      <c r="A22" s="31"/>
      <c r="B22" s="44"/>
      <c r="C22" s="44"/>
      <c r="D22" s="31"/>
      <c r="E22" s="31"/>
      <c r="F22" s="31"/>
      <c r="G22" s="31"/>
      <c r="H22" s="31"/>
      <c r="I22" s="31"/>
      <c r="J22" s="31"/>
      <c r="K22" s="31"/>
      <c r="L22" s="13"/>
      <c r="M22" s="13"/>
      <c r="N22" s="13"/>
      <c r="O22" s="13"/>
      <c r="P22" s="13"/>
      <c r="Q22" s="13"/>
      <c r="R22" s="13"/>
      <c r="S22" s="13"/>
      <c r="T22" s="31"/>
      <c r="U22" s="31"/>
    </row>
    <row r="23" customFormat="false" ht="15.75" hidden="false" customHeight="false" outlineLevel="0" collapsed="false">
      <c r="A23" s="31"/>
      <c r="B23" s="44"/>
      <c r="C23" s="44"/>
      <c r="D23" s="31"/>
      <c r="E23" s="31"/>
      <c r="F23" s="31"/>
      <c r="G23" s="31"/>
      <c r="H23" s="31"/>
      <c r="I23" s="31"/>
      <c r="J23" s="31"/>
      <c r="K23" s="31"/>
      <c r="L23" s="13"/>
      <c r="M23" s="13"/>
      <c r="N23" s="13"/>
      <c r="O23" s="13"/>
      <c r="P23" s="13"/>
      <c r="Q23" s="13"/>
      <c r="R23" s="13"/>
      <c r="S23" s="13"/>
      <c r="T23" s="31"/>
      <c r="U23" s="31"/>
    </row>
    <row r="24" customFormat="false" ht="15.75" hidden="false" customHeight="false" outlineLevel="0" collapsed="false">
      <c r="A24" s="31"/>
      <c r="B24" s="44"/>
      <c r="C24" s="44"/>
      <c r="D24" s="31"/>
      <c r="E24" s="31"/>
      <c r="F24" s="31"/>
      <c r="G24" s="31"/>
      <c r="H24" s="31"/>
      <c r="I24" s="31"/>
      <c r="J24" s="31"/>
      <c r="K24" s="31"/>
      <c r="L24" s="13"/>
      <c r="M24" s="13"/>
      <c r="N24" s="13"/>
      <c r="O24" s="13"/>
      <c r="P24" s="13"/>
      <c r="Q24" s="13"/>
      <c r="R24" s="13"/>
      <c r="S24" s="13"/>
      <c r="T24" s="31"/>
      <c r="U24" s="31"/>
    </row>
    <row r="25" customFormat="false" ht="15.75" hidden="false" customHeight="false" outlineLevel="0" collapsed="false">
      <c r="A25" s="31"/>
      <c r="B25" s="44"/>
      <c r="C25" s="44"/>
      <c r="D25" s="31"/>
      <c r="E25" s="31"/>
      <c r="F25" s="31"/>
      <c r="G25" s="31"/>
      <c r="H25" s="31"/>
      <c r="I25" s="31"/>
      <c r="J25" s="31"/>
      <c r="K25" s="31"/>
      <c r="L25" s="13"/>
      <c r="M25" s="13"/>
      <c r="N25" s="13"/>
      <c r="O25" s="13"/>
      <c r="P25" s="13"/>
      <c r="Q25" s="13"/>
      <c r="R25" s="13"/>
      <c r="S25" s="13"/>
      <c r="T25" s="31"/>
      <c r="U25" s="31"/>
    </row>
    <row r="26" customFormat="false" ht="15.75" hidden="false" customHeight="false" outlineLevel="0" collapsed="false">
      <c r="A26" s="31"/>
      <c r="B26" s="44"/>
      <c r="C26" s="44"/>
      <c r="D26" s="31"/>
      <c r="E26" s="31"/>
      <c r="F26" s="31"/>
      <c r="G26" s="31"/>
      <c r="H26" s="31"/>
      <c r="I26" s="31"/>
      <c r="J26" s="31"/>
      <c r="K26" s="31"/>
      <c r="L26" s="13"/>
      <c r="M26" s="13"/>
      <c r="N26" s="13"/>
      <c r="O26" s="13"/>
      <c r="P26" s="13"/>
      <c r="Q26" s="13"/>
      <c r="R26" s="13"/>
      <c r="S26" s="13"/>
      <c r="T26" s="31"/>
      <c r="U26" s="31"/>
    </row>
    <row r="27" customFormat="false" ht="15.75" hidden="false" customHeight="false" outlineLevel="0" collapsed="false">
      <c r="A27" s="31"/>
      <c r="B27" s="44"/>
      <c r="C27" s="44"/>
      <c r="D27" s="31"/>
      <c r="E27" s="31"/>
      <c r="F27" s="31"/>
      <c r="G27" s="31"/>
      <c r="H27" s="31"/>
      <c r="I27" s="31"/>
      <c r="J27" s="31"/>
      <c r="K27" s="31"/>
      <c r="L27" s="13"/>
      <c r="M27" s="13"/>
      <c r="N27" s="13"/>
      <c r="O27" s="13"/>
      <c r="P27" s="13"/>
      <c r="Q27" s="13"/>
      <c r="R27" s="13"/>
      <c r="S27" s="13"/>
      <c r="T27" s="31"/>
      <c r="U27" s="31"/>
    </row>
    <row r="28" customFormat="false" ht="15.75" hidden="false" customHeight="false" outlineLevel="0" collapsed="false">
      <c r="A28" s="31"/>
      <c r="B28" s="44"/>
      <c r="C28" s="44"/>
      <c r="D28" s="31"/>
      <c r="E28" s="31"/>
      <c r="F28" s="31"/>
      <c r="G28" s="31"/>
      <c r="H28" s="31"/>
      <c r="I28" s="31"/>
      <c r="J28" s="31"/>
      <c r="K28" s="31"/>
      <c r="L28" s="13"/>
      <c r="M28" s="13"/>
      <c r="N28" s="13"/>
      <c r="O28" s="13"/>
      <c r="P28" s="13"/>
      <c r="Q28" s="13"/>
      <c r="R28" s="13"/>
      <c r="S28" s="13"/>
      <c r="T28" s="31"/>
      <c r="U28" s="31"/>
    </row>
    <row r="29" customFormat="false" ht="15.75" hidden="false" customHeight="false" outlineLevel="0" collapsed="false">
      <c r="A29" s="31"/>
      <c r="B29" s="44"/>
      <c r="C29" s="44"/>
      <c r="D29" s="31"/>
      <c r="E29" s="31"/>
      <c r="F29" s="31"/>
      <c r="G29" s="31"/>
      <c r="H29" s="31"/>
      <c r="I29" s="31"/>
      <c r="J29" s="31"/>
      <c r="K29" s="31"/>
      <c r="L29" s="13"/>
      <c r="M29" s="13"/>
      <c r="N29" s="13"/>
      <c r="O29" s="13"/>
      <c r="P29" s="13"/>
      <c r="Q29" s="13"/>
      <c r="R29" s="13"/>
      <c r="S29" s="13"/>
      <c r="T29" s="31"/>
      <c r="U29" s="31"/>
    </row>
    <row r="30" customFormat="false" ht="15.75" hidden="false" customHeight="false" outlineLevel="0" collapsed="false">
      <c r="A30" s="31"/>
      <c r="B30" s="44"/>
      <c r="C30" s="44"/>
      <c r="D30" s="31"/>
      <c r="E30" s="31"/>
      <c r="F30" s="31"/>
      <c r="G30" s="31"/>
      <c r="H30" s="31"/>
      <c r="I30" s="31"/>
      <c r="J30" s="31"/>
      <c r="K30" s="31"/>
      <c r="L30" s="13"/>
      <c r="M30" s="13"/>
      <c r="N30" s="13"/>
      <c r="O30" s="13"/>
      <c r="P30" s="13"/>
      <c r="Q30" s="13"/>
      <c r="R30" s="13"/>
      <c r="S30" s="13"/>
      <c r="T30" s="31"/>
      <c r="U30" s="31"/>
    </row>
    <row r="31" customFormat="false" ht="15.75" hidden="false" customHeight="false" outlineLevel="0" collapsed="false">
      <c r="A31" s="31"/>
      <c r="B31" s="44"/>
      <c r="C31" s="44"/>
      <c r="D31" s="31"/>
      <c r="E31" s="31"/>
      <c r="F31" s="31"/>
      <c r="G31" s="31"/>
      <c r="H31" s="31"/>
      <c r="I31" s="31"/>
      <c r="J31" s="31"/>
      <c r="K31" s="31"/>
      <c r="L31" s="13"/>
      <c r="M31" s="13"/>
      <c r="N31" s="13"/>
      <c r="O31" s="13"/>
      <c r="P31" s="13"/>
      <c r="Q31" s="13"/>
      <c r="R31" s="13"/>
      <c r="S31" s="13"/>
      <c r="T31" s="31"/>
      <c r="U31" s="31"/>
    </row>
    <row r="32" customFormat="false" ht="15.75" hidden="false" customHeight="false" outlineLevel="0" collapsed="false">
      <c r="A32" s="31"/>
      <c r="B32" s="44"/>
      <c r="C32" s="44"/>
      <c r="D32" s="31"/>
      <c r="E32" s="31"/>
      <c r="F32" s="31"/>
      <c r="G32" s="31"/>
      <c r="H32" s="31"/>
      <c r="I32" s="31"/>
      <c r="J32" s="31"/>
      <c r="K32" s="31"/>
      <c r="L32" s="13"/>
      <c r="M32" s="13"/>
      <c r="N32" s="13"/>
      <c r="O32" s="13"/>
      <c r="P32" s="13"/>
      <c r="Q32" s="13"/>
      <c r="R32" s="13"/>
      <c r="S32" s="13"/>
      <c r="T32" s="31"/>
      <c r="U32" s="31"/>
    </row>
    <row r="33" customFormat="false" ht="15.75" hidden="false" customHeight="false" outlineLevel="0" collapsed="false">
      <c r="A33" s="31"/>
      <c r="B33" s="44"/>
      <c r="C33" s="44"/>
      <c r="D33" s="31"/>
      <c r="E33" s="31"/>
      <c r="F33" s="31"/>
      <c r="G33" s="31"/>
      <c r="H33" s="31"/>
      <c r="I33" s="31"/>
      <c r="J33" s="31"/>
      <c r="K33" s="31"/>
      <c r="L33" s="13"/>
      <c r="M33" s="13"/>
      <c r="N33" s="13"/>
      <c r="O33" s="13"/>
      <c r="P33" s="13"/>
      <c r="Q33" s="13"/>
      <c r="R33" s="13"/>
      <c r="S33" s="13"/>
      <c r="T33" s="31"/>
      <c r="U33" s="31"/>
    </row>
    <row r="34" customFormat="false" ht="15.75" hidden="false" customHeight="false" outlineLevel="0" collapsed="false">
      <c r="A34" s="31"/>
      <c r="B34" s="44"/>
      <c r="C34" s="44"/>
      <c r="D34" s="31"/>
      <c r="E34" s="31"/>
      <c r="F34" s="31"/>
      <c r="G34" s="31"/>
      <c r="H34" s="31"/>
      <c r="I34" s="31"/>
      <c r="J34" s="31"/>
      <c r="K34" s="31"/>
      <c r="L34" s="13"/>
      <c r="M34" s="13"/>
      <c r="N34" s="13"/>
      <c r="O34" s="13"/>
      <c r="P34" s="13"/>
      <c r="Q34" s="13"/>
      <c r="R34" s="13"/>
      <c r="S34" s="13"/>
      <c r="T34" s="31"/>
      <c r="U34" s="31"/>
    </row>
    <row r="35" customFormat="false" ht="15.75" hidden="false" customHeight="false" outlineLevel="0" collapsed="false">
      <c r="A35" s="31"/>
      <c r="B35" s="44"/>
      <c r="C35" s="44"/>
      <c r="D35" s="31"/>
      <c r="E35" s="31"/>
      <c r="F35" s="31"/>
      <c r="G35" s="31"/>
      <c r="H35" s="31"/>
      <c r="I35" s="31"/>
      <c r="J35" s="31"/>
      <c r="K35" s="31"/>
      <c r="L35" s="13"/>
      <c r="M35" s="13"/>
      <c r="N35" s="13"/>
      <c r="O35" s="13"/>
      <c r="P35" s="13"/>
      <c r="Q35" s="13"/>
      <c r="R35" s="13"/>
      <c r="S35" s="13"/>
      <c r="T35" s="31"/>
      <c r="U35" s="31"/>
    </row>
    <row r="36" customFormat="false" ht="15.75" hidden="false" customHeight="false" outlineLevel="0" collapsed="false">
      <c r="A36" s="31"/>
      <c r="B36" s="44"/>
      <c r="C36" s="44"/>
      <c r="D36" s="31"/>
      <c r="E36" s="31"/>
      <c r="F36" s="31"/>
      <c r="G36" s="31"/>
      <c r="H36" s="31"/>
      <c r="I36" s="31"/>
      <c r="J36" s="31"/>
      <c r="K36" s="31"/>
      <c r="L36" s="13"/>
      <c r="M36" s="13"/>
      <c r="N36" s="13"/>
      <c r="O36" s="13"/>
      <c r="P36" s="13"/>
      <c r="Q36" s="13"/>
      <c r="R36" s="13"/>
      <c r="S36" s="13"/>
      <c r="T36" s="31"/>
      <c r="U36" s="31"/>
    </row>
    <row r="37" customFormat="false" ht="15.75" hidden="false" customHeight="false" outlineLevel="0" collapsed="false">
      <c r="A37" s="31"/>
      <c r="B37" s="44"/>
      <c r="C37" s="44"/>
      <c r="D37" s="31"/>
      <c r="E37" s="31"/>
      <c r="F37" s="31"/>
      <c r="G37" s="31"/>
      <c r="H37" s="31"/>
      <c r="I37" s="31"/>
      <c r="J37" s="31"/>
      <c r="K37" s="31"/>
      <c r="L37" s="13"/>
      <c r="M37" s="13"/>
      <c r="N37" s="13"/>
      <c r="O37" s="13"/>
      <c r="P37" s="13"/>
      <c r="Q37" s="13"/>
      <c r="R37" s="13"/>
      <c r="S37" s="13"/>
      <c r="T37" s="31"/>
      <c r="U37" s="31"/>
    </row>
    <row r="38" customFormat="false" ht="15.75" hidden="false" customHeight="false" outlineLevel="0" collapsed="false">
      <c r="A38" s="31"/>
      <c r="B38" s="44"/>
      <c r="C38" s="44"/>
      <c r="D38" s="31"/>
      <c r="E38" s="31"/>
      <c r="F38" s="31"/>
      <c r="G38" s="31"/>
      <c r="H38" s="31"/>
      <c r="I38" s="31"/>
      <c r="J38" s="31"/>
      <c r="K38" s="31"/>
      <c r="L38" s="13"/>
      <c r="M38" s="13"/>
      <c r="N38" s="13"/>
      <c r="O38" s="13"/>
      <c r="P38" s="13"/>
      <c r="Q38" s="13"/>
      <c r="R38" s="13"/>
      <c r="S38" s="13"/>
      <c r="T38" s="31"/>
      <c r="U38" s="31"/>
    </row>
    <row r="39" customFormat="false" ht="15.75" hidden="false" customHeight="false" outlineLevel="0" collapsed="false">
      <c r="A39" s="31"/>
      <c r="B39" s="44"/>
      <c r="C39" s="44"/>
      <c r="D39" s="31"/>
      <c r="E39" s="31"/>
      <c r="F39" s="31"/>
      <c r="G39" s="31"/>
      <c r="H39" s="31"/>
      <c r="I39" s="31"/>
      <c r="J39" s="31"/>
      <c r="K39" s="31"/>
      <c r="L39" s="13"/>
      <c r="M39" s="13"/>
      <c r="N39" s="13"/>
      <c r="O39" s="13"/>
      <c r="P39" s="13"/>
      <c r="Q39" s="13"/>
      <c r="R39" s="13"/>
      <c r="S39" s="13"/>
      <c r="T39" s="31"/>
      <c r="U39" s="31"/>
    </row>
    <row r="40" customFormat="false" ht="15.75" hidden="false" customHeight="false" outlineLevel="0" collapsed="false">
      <c r="A40" s="31"/>
      <c r="B40" s="44"/>
      <c r="C40" s="44"/>
      <c r="D40" s="31"/>
      <c r="E40" s="31"/>
      <c r="F40" s="31"/>
      <c r="G40" s="31"/>
      <c r="H40" s="31"/>
      <c r="I40" s="31"/>
      <c r="J40" s="31"/>
      <c r="K40" s="31"/>
      <c r="L40" s="13"/>
      <c r="M40" s="13"/>
      <c r="N40" s="13"/>
      <c r="O40" s="13"/>
      <c r="P40" s="13"/>
      <c r="Q40" s="13"/>
      <c r="R40" s="13"/>
      <c r="S40" s="13"/>
      <c r="T40" s="31"/>
      <c r="U40" s="31"/>
    </row>
    <row r="41" customFormat="false" ht="15.75" hidden="false" customHeight="false" outlineLevel="0" collapsed="false">
      <c r="A41" s="31"/>
      <c r="B41" s="44"/>
      <c r="C41" s="44"/>
      <c r="D41" s="31"/>
      <c r="E41" s="31"/>
      <c r="F41" s="31"/>
      <c r="G41" s="31"/>
      <c r="H41" s="31"/>
      <c r="I41" s="31"/>
      <c r="J41" s="31"/>
      <c r="K41" s="31"/>
      <c r="L41" s="13"/>
      <c r="M41" s="13"/>
      <c r="N41" s="13"/>
      <c r="O41" s="13"/>
      <c r="P41" s="13"/>
      <c r="Q41" s="13"/>
      <c r="R41" s="13"/>
      <c r="S41" s="13"/>
      <c r="T41" s="31"/>
      <c r="U41" s="31"/>
    </row>
    <row r="42" customFormat="false" ht="15.75" hidden="false" customHeight="false" outlineLevel="0" collapsed="false">
      <c r="A42" s="31"/>
      <c r="B42" s="44"/>
      <c r="C42" s="44"/>
      <c r="D42" s="31"/>
      <c r="E42" s="31"/>
      <c r="F42" s="31"/>
      <c r="G42" s="31"/>
      <c r="H42" s="31"/>
      <c r="I42" s="31"/>
      <c r="J42" s="31"/>
      <c r="K42" s="31"/>
      <c r="L42" s="13"/>
      <c r="M42" s="13"/>
      <c r="N42" s="13"/>
      <c r="O42" s="13"/>
      <c r="P42" s="13"/>
      <c r="Q42" s="13"/>
      <c r="R42" s="13"/>
      <c r="S42" s="13"/>
      <c r="T42" s="31"/>
      <c r="U42" s="31"/>
    </row>
    <row r="43" customFormat="false" ht="15.75" hidden="false" customHeight="false" outlineLevel="0" collapsed="false">
      <c r="A43" s="31"/>
      <c r="B43" s="44"/>
      <c r="C43" s="44"/>
      <c r="D43" s="31"/>
      <c r="E43" s="31"/>
      <c r="F43" s="31"/>
      <c r="G43" s="31"/>
      <c r="H43" s="31"/>
      <c r="I43" s="31"/>
      <c r="J43" s="31"/>
      <c r="K43" s="31"/>
      <c r="L43" s="13"/>
      <c r="M43" s="13"/>
      <c r="N43" s="13"/>
      <c r="O43" s="13"/>
      <c r="P43" s="13"/>
      <c r="Q43" s="13"/>
      <c r="R43" s="13"/>
      <c r="S43" s="13"/>
      <c r="T43" s="31"/>
      <c r="U43" s="31"/>
    </row>
    <row r="44" customFormat="false" ht="15.75" hidden="false" customHeight="false" outlineLevel="0" collapsed="false">
      <c r="A44" s="31"/>
      <c r="B44" s="44"/>
      <c r="C44" s="44"/>
      <c r="D44" s="31"/>
      <c r="E44" s="31"/>
      <c r="F44" s="31"/>
      <c r="G44" s="31"/>
      <c r="H44" s="31"/>
      <c r="I44" s="31"/>
      <c r="J44" s="31"/>
      <c r="K44" s="31"/>
      <c r="L44" s="13"/>
      <c r="M44" s="13"/>
      <c r="N44" s="13"/>
      <c r="O44" s="13"/>
      <c r="P44" s="13"/>
      <c r="Q44" s="13"/>
      <c r="R44" s="13"/>
      <c r="S44" s="13"/>
      <c r="T44" s="31"/>
      <c r="U44" s="31"/>
    </row>
    <row r="45" customFormat="false" ht="15.75" hidden="false" customHeight="false" outlineLevel="0" collapsed="false">
      <c r="A45" s="31"/>
      <c r="B45" s="44"/>
      <c r="C45" s="44"/>
      <c r="D45" s="31"/>
      <c r="E45" s="31"/>
      <c r="F45" s="31"/>
      <c r="G45" s="31"/>
      <c r="H45" s="31"/>
      <c r="I45" s="31"/>
      <c r="J45" s="31"/>
      <c r="K45" s="31"/>
      <c r="L45" s="13"/>
      <c r="M45" s="13"/>
      <c r="N45" s="13"/>
      <c r="O45" s="13"/>
      <c r="P45" s="13"/>
      <c r="Q45" s="13"/>
      <c r="R45" s="13"/>
      <c r="S45" s="13"/>
      <c r="T45" s="31"/>
      <c r="U45" s="31"/>
    </row>
    <row r="46" customFormat="false" ht="15.75" hidden="false" customHeight="false" outlineLevel="0" collapsed="false">
      <c r="A46" s="31"/>
      <c r="B46" s="44"/>
      <c r="C46" s="44"/>
      <c r="D46" s="31"/>
      <c r="E46" s="31"/>
      <c r="F46" s="31"/>
      <c r="G46" s="31"/>
      <c r="H46" s="31"/>
      <c r="I46" s="31"/>
      <c r="J46" s="31"/>
      <c r="K46" s="31"/>
      <c r="L46" s="13"/>
      <c r="M46" s="13"/>
      <c r="N46" s="13"/>
      <c r="O46" s="13"/>
      <c r="P46" s="13"/>
      <c r="Q46" s="13"/>
      <c r="R46" s="13"/>
      <c r="S46" s="13"/>
      <c r="T46" s="31"/>
      <c r="U46" s="31"/>
    </row>
    <row r="47" customFormat="false" ht="15.75" hidden="false" customHeight="false" outlineLevel="0" collapsed="false">
      <c r="A47" s="31"/>
      <c r="B47" s="44"/>
      <c r="C47" s="44"/>
      <c r="D47" s="31"/>
      <c r="E47" s="31"/>
      <c r="F47" s="31"/>
      <c r="G47" s="31"/>
      <c r="H47" s="31"/>
      <c r="I47" s="31"/>
      <c r="J47" s="31"/>
      <c r="K47" s="31"/>
      <c r="L47" s="13"/>
      <c r="M47" s="13"/>
      <c r="N47" s="13"/>
      <c r="O47" s="13"/>
      <c r="P47" s="13"/>
      <c r="Q47" s="13"/>
      <c r="R47" s="13"/>
      <c r="S47" s="13"/>
      <c r="T47" s="31"/>
      <c r="U47" s="31"/>
    </row>
    <row r="48" customFormat="false" ht="15.75" hidden="false" customHeight="false" outlineLevel="0" collapsed="false">
      <c r="A48" s="25"/>
      <c r="B48" s="45"/>
      <c r="C48" s="45"/>
      <c r="D48" s="34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34"/>
      <c r="P48" s="34"/>
      <c r="Q48" s="25"/>
      <c r="R48" s="25"/>
      <c r="S48" s="25"/>
      <c r="T48" s="25"/>
      <c r="U48" s="25"/>
    </row>
    <row r="49" customFormat="false" ht="15.75" hidden="false" customHeight="false" outlineLevel="0" collapsed="false">
      <c r="A49" s="25"/>
      <c r="B49" s="45"/>
      <c r="C49" s="45"/>
      <c r="D49" s="34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34"/>
      <c r="P49" s="34"/>
      <c r="Q49" s="25"/>
      <c r="R49" s="25"/>
      <c r="S49" s="25"/>
      <c r="T49" s="25"/>
      <c r="U49" s="25"/>
    </row>
    <row r="50" customFormat="false" ht="15.75" hidden="false" customHeight="false" outlineLevel="0" collapsed="false">
      <c r="A50" s="25"/>
      <c r="B50" s="45"/>
      <c r="C50" s="45"/>
      <c r="D50" s="34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34"/>
      <c r="P50" s="34"/>
      <c r="Q50" s="25"/>
      <c r="R50" s="25"/>
      <c r="S50" s="25"/>
      <c r="T50" s="25"/>
      <c r="U50" s="25"/>
    </row>
    <row r="51" customFormat="false" ht="15.75" hidden="false" customHeight="false" outlineLevel="0" collapsed="false">
      <c r="A51" s="25"/>
      <c r="B51" s="45"/>
      <c r="C51" s="45"/>
      <c r="D51" s="34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34"/>
      <c r="P51" s="34"/>
      <c r="Q51" s="25"/>
      <c r="R51" s="25"/>
      <c r="S51" s="25"/>
      <c r="T51" s="25"/>
      <c r="U51" s="25"/>
    </row>
    <row r="52" customFormat="false" ht="15.75" hidden="false" customHeight="false" outlineLevel="0" collapsed="false">
      <c r="A52" s="25"/>
      <c r="B52" s="45"/>
      <c r="C52" s="45"/>
      <c r="D52" s="34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34"/>
      <c r="P52" s="34"/>
      <c r="Q52" s="25"/>
      <c r="R52" s="25"/>
      <c r="S52" s="25"/>
      <c r="T52" s="25"/>
      <c r="U52" s="25"/>
    </row>
    <row r="53" customFormat="false" ht="15.75" hidden="false" customHeight="false" outlineLevel="0" collapsed="false">
      <c r="A53" s="25"/>
      <c r="B53" s="45"/>
      <c r="C53" s="45"/>
      <c r="D53" s="34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34"/>
      <c r="P53" s="34"/>
      <c r="Q53" s="25"/>
      <c r="R53" s="25"/>
      <c r="S53" s="25"/>
      <c r="T53" s="25"/>
      <c r="U53" s="25"/>
    </row>
    <row r="54" customFormat="false" ht="15.75" hidden="false" customHeight="false" outlineLevel="0" collapsed="false">
      <c r="A54" s="25"/>
      <c r="B54" s="45"/>
      <c r="C54" s="45"/>
      <c r="D54" s="34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34"/>
      <c r="P54" s="34"/>
      <c r="Q54" s="25"/>
      <c r="R54" s="25"/>
      <c r="S54" s="25"/>
      <c r="T54" s="25"/>
      <c r="U54" s="25"/>
    </row>
    <row r="55" customFormat="false" ht="15.75" hidden="false" customHeight="false" outlineLevel="0" collapsed="false">
      <c r="A55" s="25"/>
      <c r="B55" s="45"/>
      <c r="C55" s="45"/>
      <c r="D55" s="34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34"/>
      <c r="P55" s="34"/>
      <c r="Q55" s="25"/>
      <c r="R55" s="25"/>
      <c r="S55" s="25"/>
      <c r="T55" s="25"/>
      <c r="U55" s="25"/>
    </row>
    <row r="56" customFormat="false" ht="15.75" hidden="false" customHeight="false" outlineLevel="0" collapsed="false">
      <c r="A56" s="25"/>
      <c r="B56" s="45"/>
      <c r="C56" s="45"/>
      <c r="D56" s="34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34"/>
      <c r="P56" s="34"/>
      <c r="Q56" s="25"/>
      <c r="R56" s="25"/>
      <c r="S56" s="25"/>
      <c r="T56" s="25"/>
      <c r="U56" s="25"/>
    </row>
    <row r="57" customFormat="false" ht="15.75" hidden="false" customHeight="false" outlineLevel="0" collapsed="false">
      <c r="A57" s="25"/>
      <c r="B57" s="45"/>
      <c r="C57" s="45"/>
      <c r="D57" s="34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4"/>
      <c r="P57" s="34"/>
      <c r="Q57" s="25"/>
      <c r="R57" s="25"/>
      <c r="S57" s="25"/>
      <c r="T57" s="25"/>
      <c r="U57" s="25"/>
    </row>
    <row r="58" customFormat="false" ht="15.75" hidden="false" customHeight="false" outlineLevel="0" collapsed="false">
      <c r="A58" s="25"/>
      <c r="B58" s="45"/>
      <c r="C58" s="45"/>
      <c r="D58" s="34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4"/>
      <c r="P58" s="34"/>
      <c r="Q58" s="25"/>
      <c r="R58" s="25"/>
      <c r="S58" s="25"/>
      <c r="T58" s="25"/>
      <c r="U58" s="25"/>
    </row>
    <row r="59" customFormat="false" ht="15.75" hidden="false" customHeight="false" outlineLevel="0" collapsed="false">
      <c r="A59" s="25"/>
      <c r="B59" s="45"/>
      <c r="C59" s="45"/>
      <c r="D59" s="34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34"/>
      <c r="P59" s="34"/>
      <c r="Q59" s="25"/>
      <c r="R59" s="25"/>
      <c r="S59" s="25"/>
      <c r="T59" s="25"/>
      <c r="U59" s="25"/>
    </row>
    <row r="60" customFormat="false" ht="15.75" hidden="false" customHeight="false" outlineLevel="0" collapsed="false">
      <c r="A60" s="25"/>
      <c r="B60" s="45"/>
      <c r="C60" s="45"/>
      <c r="D60" s="34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34"/>
      <c r="P60" s="34"/>
      <c r="Q60" s="25"/>
      <c r="R60" s="25"/>
      <c r="S60" s="25"/>
      <c r="T60" s="25"/>
      <c r="U60" s="25"/>
    </row>
    <row r="61" customFormat="false" ht="15.75" hidden="false" customHeight="false" outlineLevel="0" collapsed="false">
      <c r="A61" s="25"/>
      <c r="B61" s="45"/>
      <c r="C61" s="45"/>
      <c r="D61" s="34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34"/>
      <c r="P61" s="34"/>
      <c r="Q61" s="25"/>
      <c r="R61" s="25"/>
      <c r="S61" s="25"/>
      <c r="T61" s="25"/>
      <c r="U61" s="25"/>
    </row>
    <row r="62" customFormat="false" ht="15.75" hidden="false" customHeight="false" outlineLevel="0" collapsed="false">
      <c r="A62" s="25"/>
      <c r="B62" s="45"/>
      <c r="C62" s="45"/>
      <c r="D62" s="34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34"/>
      <c r="P62" s="34"/>
      <c r="Q62" s="25"/>
      <c r="R62" s="25"/>
      <c r="S62" s="25"/>
      <c r="T62" s="25"/>
      <c r="U62" s="25"/>
    </row>
    <row r="63" customFormat="false" ht="15.75" hidden="false" customHeight="false" outlineLevel="0" collapsed="false">
      <c r="A63" s="8"/>
      <c r="B63" s="46"/>
      <c r="C63" s="46"/>
      <c r="D63" s="8"/>
      <c r="E63" s="8"/>
      <c r="F63" s="8"/>
      <c r="G63" s="8"/>
      <c r="H63" s="8"/>
      <c r="I63" s="8"/>
      <c r="J63" s="8"/>
      <c r="K63" s="8"/>
      <c r="L63" s="13"/>
      <c r="M63" s="13"/>
      <c r="N63" s="13"/>
      <c r="O63" s="13"/>
      <c r="P63" s="13"/>
      <c r="Q63" s="13"/>
      <c r="R63" s="13"/>
      <c r="S63" s="13"/>
      <c r="T63" s="8"/>
      <c r="U63" s="8"/>
    </row>
    <row r="64" customFormat="false" ht="15.75" hidden="false" customHeight="false" outlineLevel="0" collapsed="false">
      <c r="B64" s="46"/>
      <c r="C64" s="46"/>
    </row>
    <row r="65" customFormat="false" ht="15.75" hidden="false" customHeight="false" outlineLevel="0" collapsed="false">
      <c r="B65" s="46"/>
      <c r="C65" s="46"/>
    </row>
    <row r="66" customFormat="false" ht="15.75" hidden="false" customHeight="false" outlineLevel="0" collapsed="false">
      <c r="B66" s="46"/>
      <c r="C66" s="46"/>
    </row>
    <row r="67" customFormat="false" ht="15.75" hidden="false" customHeight="false" outlineLevel="0" collapsed="false">
      <c r="B67" s="46"/>
      <c r="C67" s="46"/>
    </row>
    <row r="68" customFormat="false" ht="15.75" hidden="false" customHeight="false" outlineLevel="0" collapsed="false">
      <c r="B68" s="46"/>
      <c r="C68" s="46"/>
    </row>
    <row r="69" customFormat="false" ht="15.75" hidden="false" customHeight="false" outlineLevel="0" collapsed="false">
      <c r="B69" s="46"/>
      <c r="C69" s="46"/>
    </row>
    <row r="70" customFormat="false" ht="15.75" hidden="false" customHeight="false" outlineLevel="0" collapsed="false">
      <c r="B70" s="46"/>
      <c r="C70" s="46"/>
    </row>
    <row r="71" customFormat="false" ht="15.75" hidden="false" customHeight="false" outlineLevel="0" collapsed="false">
      <c r="B71" s="46"/>
      <c r="C71" s="46"/>
    </row>
    <row r="72" customFormat="false" ht="15.75" hidden="false" customHeight="false" outlineLevel="0" collapsed="false">
      <c r="B72" s="46"/>
      <c r="C72" s="46"/>
    </row>
    <row r="73" customFormat="false" ht="15.75" hidden="false" customHeight="false" outlineLevel="0" collapsed="false">
      <c r="B73" s="46"/>
      <c r="C73" s="46"/>
    </row>
    <row r="74" customFormat="false" ht="15.75" hidden="false" customHeight="false" outlineLevel="0" collapsed="false">
      <c r="B74" s="46"/>
      <c r="C74" s="46"/>
    </row>
    <row r="75" customFormat="false" ht="15.75" hidden="false" customHeight="false" outlineLevel="0" collapsed="false">
      <c r="B75" s="46"/>
      <c r="C75" s="46"/>
    </row>
    <row r="76" customFormat="false" ht="15.75" hidden="false" customHeight="false" outlineLevel="0" collapsed="false">
      <c r="B76" s="46"/>
      <c r="C76" s="46"/>
    </row>
    <row r="77" customFormat="false" ht="15.75" hidden="false" customHeight="false" outlineLevel="0" collapsed="false">
      <c r="B77" s="46"/>
      <c r="C77" s="46"/>
    </row>
    <row r="78" customFormat="false" ht="15.75" hidden="false" customHeight="false" outlineLevel="0" collapsed="false">
      <c r="B78" s="46"/>
      <c r="C78" s="46"/>
    </row>
    <row r="79" customFormat="false" ht="15.75" hidden="false" customHeight="false" outlineLevel="0" collapsed="false">
      <c r="B79" s="46"/>
      <c r="C79" s="46"/>
    </row>
    <row r="80" customFormat="false" ht="15.75" hidden="false" customHeight="false" outlineLevel="0" collapsed="false">
      <c r="B80" s="46"/>
      <c r="C80" s="46"/>
    </row>
    <row r="81" customFormat="false" ht="15.75" hidden="false" customHeight="false" outlineLevel="0" collapsed="false">
      <c r="B81" s="46"/>
      <c r="C81" s="46"/>
    </row>
    <row r="82" customFormat="false" ht="15.75" hidden="false" customHeight="false" outlineLevel="0" collapsed="false">
      <c r="B82" s="46"/>
      <c r="C82" s="46"/>
    </row>
    <row r="83" customFormat="false" ht="15.75" hidden="false" customHeight="false" outlineLevel="0" collapsed="false">
      <c r="B83" s="46"/>
      <c r="C83" s="46"/>
    </row>
    <row r="84" customFormat="false" ht="15.75" hidden="false" customHeight="false" outlineLevel="0" collapsed="false">
      <c r="B84" s="46"/>
      <c r="C84" s="46"/>
    </row>
    <row r="85" customFormat="false" ht="15.75" hidden="false" customHeight="false" outlineLevel="0" collapsed="false">
      <c r="B85" s="46"/>
      <c r="C85" s="46"/>
    </row>
    <row r="86" customFormat="false" ht="15.75" hidden="false" customHeight="false" outlineLevel="0" collapsed="false">
      <c r="B86" s="46"/>
      <c r="C86" s="46"/>
    </row>
    <row r="87" customFormat="false" ht="15.75" hidden="false" customHeight="false" outlineLevel="0" collapsed="false">
      <c r="B87" s="46"/>
      <c r="C87" s="46"/>
    </row>
    <row r="88" customFormat="false" ht="15.75" hidden="false" customHeight="false" outlineLevel="0" collapsed="false">
      <c r="B88" s="46"/>
      <c r="C88" s="46"/>
    </row>
    <row r="89" customFormat="false" ht="15.75" hidden="false" customHeight="false" outlineLevel="0" collapsed="false">
      <c r="B89" s="46"/>
      <c r="C89" s="46"/>
    </row>
    <row r="90" customFormat="false" ht="15.75" hidden="false" customHeight="false" outlineLevel="0" collapsed="false">
      <c r="B90" s="46"/>
      <c r="C90" s="46"/>
    </row>
    <row r="91" customFormat="false" ht="15.75" hidden="false" customHeight="false" outlineLevel="0" collapsed="false">
      <c r="B91" s="46"/>
      <c r="C91" s="46"/>
    </row>
    <row r="92" customFormat="false" ht="15.75" hidden="false" customHeight="false" outlineLevel="0" collapsed="false">
      <c r="B92" s="46"/>
      <c r="C92" s="46"/>
    </row>
    <row r="93" customFormat="false" ht="15.75" hidden="false" customHeight="false" outlineLevel="0" collapsed="false">
      <c r="B93" s="46"/>
      <c r="C93" s="46"/>
    </row>
    <row r="94" customFormat="false" ht="15.75" hidden="false" customHeight="false" outlineLevel="0" collapsed="false">
      <c r="B94" s="46"/>
      <c r="C94" s="46"/>
    </row>
    <row r="95" customFormat="false" ht="15.75" hidden="false" customHeight="false" outlineLevel="0" collapsed="false">
      <c r="B95" s="46"/>
      <c r="C95" s="46"/>
    </row>
    <row r="96" customFormat="false" ht="15.75" hidden="false" customHeight="false" outlineLevel="0" collapsed="false">
      <c r="B96" s="46"/>
      <c r="C96" s="46"/>
    </row>
    <row r="97" customFormat="false" ht="15.75" hidden="false" customHeight="false" outlineLevel="0" collapsed="false">
      <c r="B97" s="46"/>
      <c r="C97" s="46"/>
    </row>
    <row r="98" customFormat="false" ht="15.75" hidden="false" customHeight="false" outlineLevel="0" collapsed="false">
      <c r="B98" s="46"/>
      <c r="C98" s="46"/>
    </row>
    <row r="99" customFormat="false" ht="15.75" hidden="false" customHeight="false" outlineLevel="0" collapsed="false">
      <c r="B99" s="46"/>
      <c r="C99" s="46"/>
    </row>
    <row r="100" customFormat="false" ht="15.75" hidden="false" customHeight="false" outlineLevel="0" collapsed="false">
      <c r="B100" s="46"/>
      <c r="C100" s="46"/>
    </row>
    <row r="101" customFormat="false" ht="15.75" hidden="false" customHeight="false" outlineLevel="0" collapsed="false">
      <c r="B101" s="46"/>
      <c r="C101" s="46"/>
    </row>
    <row r="102" customFormat="false" ht="15.75" hidden="false" customHeight="false" outlineLevel="0" collapsed="false">
      <c r="B102" s="46"/>
      <c r="C102" s="46"/>
    </row>
    <row r="103" customFormat="false" ht="15.75" hidden="false" customHeight="false" outlineLevel="0" collapsed="false">
      <c r="B103" s="46"/>
      <c r="C103" s="46"/>
    </row>
    <row r="104" customFormat="false" ht="15.75" hidden="false" customHeight="false" outlineLevel="0" collapsed="false">
      <c r="B104" s="46"/>
      <c r="C104" s="46"/>
    </row>
    <row r="105" customFormat="false" ht="15.75" hidden="false" customHeight="false" outlineLevel="0" collapsed="false">
      <c r="B105" s="46"/>
      <c r="C105" s="46"/>
    </row>
    <row r="106" customFormat="false" ht="15.75" hidden="false" customHeight="false" outlineLevel="0" collapsed="false">
      <c r="B106" s="46"/>
      <c r="C106" s="46"/>
    </row>
    <row r="107" customFormat="false" ht="15.75" hidden="false" customHeight="false" outlineLevel="0" collapsed="false">
      <c r="B107" s="46"/>
      <c r="C107" s="46"/>
    </row>
    <row r="108" customFormat="false" ht="15.75" hidden="false" customHeight="false" outlineLevel="0" collapsed="false">
      <c r="B108" s="46"/>
      <c r="C108" s="46"/>
    </row>
    <row r="109" customFormat="false" ht="15.75" hidden="false" customHeight="false" outlineLevel="0" collapsed="false">
      <c r="B109" s="46"/>
      <c r="C109" s="46"/>
    </row>
    <row r="110" customFormat="false" ht="15.75" hidden="false" customHeight="false" outlineLevel="0" collapsed="false">
      <c r="B110" s="46"/>
      <c r="C110" s="46"/>
    </row>
    <row r="111" customFormat="false" ht="15.75" hidden="false" customHeight="false" outlineLevel="0" collapsed="false">
      <c r="B111" s="46"/>
      <c r="C111" s="46"/>
    </row>
    <row r="112" customFormat="false" ht="15.75" hidden="false" customHeight="false" outlineLevel="0" collapsed="false">
      <c r="B112" s="46"/>
      <c r="C112" s="46"/>
    </row>
    <row r="113" customFormat="false" ht="15.75" hidden="false" customHeight="false" outlineLevel="0" collapsed="false">
      <c r="B113" s="46"/>
      <c r="C113" s="46"/>
    </row>
    <row r="114" customFormat="false" ht="15.75" hidden="false" customHeight="false" outlineLevel="0" collapsed="false">
      <c r="B114" s="46"/>
      <c r="C114" s="46"/>
    </row>
    <row r="115" customFormat="false" ht="15.75" hidden="false" customHeight="false" outlineLevel="0" collapsed="false">
      <c r="B115" s="46"/>
      <c r="C115" s="46"/>
    </row>
    <row r="116" customFormat="false" ht="15.75" hidden="false" customHeight="false" outlineLevel="0" collapsed="false">
      <c r="B116" s="46"/>
      <c r="C116" s="46"/>
    </row>
    <row r="117" customFormat="false" ht="15.75" hidden="false" customHeight="false" outlineLevel="0" collapsed="false">
      <c r="B117" s="46"/>
      <c r="C117" s="46"/>
    </row>
    <row r="118" customFormat="false" ht="15.75" hidden="false" customHeight="false" outlineLevel="0" collapsed="false">
      <c r="B118" s="46"/>
      <c r="C118" s="46"/>
    </row>
    <row r="119" customFormat="false" ht="15.75" hidden="false" customHeight="false" outlineLevel="0" collapsed="false">
      <c r="B119" s="46"/>
      <c r="C119" s="46"/>
    </row>
    <row r="120" customFormat="false" ht="15.75" hidden="false" customHeight="false" outlineLevel="0" collapsed="false">
      <c r="B120" s="46"/>
      <c r="C120" s="46"/>
    </row>
    <row r="121" customFormat="false" ht="15.75" hidden="false" customHeight="false" outlineLevel="0" collapsed="false">
      <c r="B121" s="46"/>
      <c r="C121" s="46"/>
    </row>
    <row r="122" customFormat="false" ht="15.75" hidden="false" customHeight="false" outlineLevel="0" collapsed="false">
      <c r="B122" s="46"/>
      <c r="C122" s="46"/>
    </row>
    <row r="123" customFormat="false" ht="15.75" hidden="false" customHeight="false" outlineLevel="0" collapsed="false">
      <c r="B123" s="46"/>
      <c r="C123" s="4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C1" s="9" t="s">
        <v>462</v>
      </c>
    </row>
    <row r="4" customFormat="false" ht="15.75" hidden="false" customHeight="false" outlineLevel="0" collapsed="false">
      <c r="C4" s="9" t="s">
        <v>463</v>
      </c>
    </row>
    <row r="7" customFormat="false" ht="15.75" hidden="false" customHeight="false" outlineLevel="0" collapsed="false">
      <c r="A7" s="9" t="s">
        <v>0</v>
      </c>
      <c r="D7" s="9" t="s">
        <v>304</v>
      </c>
      <c r="E7" s="9" t="s">
        <v>350</v>
      </c>
      <c r="F7" s="9" t="s">
        <v>464</v>
      </c>
      <c r="G7" s="9" t="s">
        <v>465</v>
      </c>
      <c r="H7" s="9" t="s">
        <v>466</v>
      </c>
      <c r="I7" s="9" t="s">
        <v>467</v>
      </c>
    </row>
    <row r="8" customFormat="false" ht="15.75" hidden="false" customHeight="false" outlineLevel="0" collapsed="false">
      <c r="A8" s="9" t="s">
        <v>94</v>
      </c>
      <c r="D8" s="9" t="n">
        <v>9788393463060</v>
      </c>
      <c r="E8" s="9" t="s">
        <v>468</v>
      </c>
      <c r="F8" s="9" t="s">
        <v>469</v>
      </c>
      <c r="G8" s="9" t="n">
        <v>2</v>
      </c>
      <c r="H8" s="9" t="n">
        <v>19.86</v>
      </c>
      <c r="I8" s="9" t="n">
        <v>20.86</v>
      </c>
    </row>
    <row r="9" customFormat="false" ht="15.75" hidden="false" customHeight="false" outlineLevel="0" collapsed="false">
      <c r="A9" s="9" t="s">
        <v>376</v>
      </c>
      <c r="D9" s="9" t="n">
        <v>9788393463053</v>
      </c>
      <c r="E9" s="9" t="s">
        <v>468</v>
      </c>
      <c r="F9" s="9" t="s">
        <v>469</v>
      </c>
      <c r="G9" s="9" t="n">
        <v>1</v>
      </c>
      <c r="H9" s="9" t="n">
        <v>7.27</v>
      </c>
      <c r="I9" s="9" t="n">
        <v>7.63</v>
      </c>
    </row>
    <row r="10" customFormat="false" ht="15.75" hidden="false" customHeight="false" outlineLevel="0" collapsed="false">
      <c r="A10" s="9" t="s">
        <v>470</v>
      </c>
      <c r="D10" s="9" t="n">
        <v>9788365156129</v>
      </c>
      <c r="E10" s="9" t="s">
        <v>468</v>
      </c>
      <c r="F10" s="9" t="s">
        <v>469</v>
      </c>
      <c r="G10" s="9" t="n">
        <v>1</v>
      </c>
      <c r="H10" s="9" t="n">
        <v>9.93</v>
      </c>
      <c r="I10" s="9" t="n">
        <v>10.43</v>
      </c>
    </row>
    <row r="11" customFormat="false" ht="15.75" hidden="false" customHeight="false" outlineLevel="0" collapsed="false">
      <c r="A11" s="9" t="s">
        <v>108</v>
      </c>
      <c r="D11" s="9" t="n">
        <v>9788365156211</v>
      </c>
      <c r="E11" s="9" t="s">
        <v>468</v>
      </c>
      <c r="F11" s="9" t="s">
        <v>469</v>
      </c>
      <c r="G11" s="9" t="n">
        <v>1</v>
      </c>
      <c r="H11" s="9" t="n">
        <v>9.93</v>
      </c>
      <c r="I11" s="9" t="n">
        <v>10.43</v>
      </c>
    </row>
    <row r="12" customFormat="false" ht="15.75" hidden="false" customHeight="false" outlineLevel="0" collapsed="false">
      <c r="A12" s="9" t="s">
        <v>471</v>
      </c>
      <c r="D12" s="9" t="n">
        <v>9788365156266</v>
      </c>
      <c r="E12" s="9" t="s">
        <v>468</v>
      </c>
      <c r="F12" s="9" t="s">
        <v>469</v>
      </c>
      <c r="G12" s="9" t="n">
        <v>1</v>
      </c>
      <c r="H12" s="9" t="n">
        <v>8.6</v>
      </c>
      <c r="I12" s="9" t="n">
        <v>9.03</v>
      </c>
    </row>
    <row r="13" customFormat="false" ht="15.75" hidden="false" customHeight="false" outlineLevel="0" collapsed="false">
      <c r="A13" s="9" t="s">
        <v>376</v>
      </c>
      <c r="D13" s="9" t="n">
        <v>9788365156358</v>
      </c>
      <c r="E13" s="9" t="s">
        <v>472</v>
      </c>
      <c r="F13" s="9" t="s">
        <v>469</v>
      </c>
      <c r="G13" s="9" t="n">
        <v>1</v>
      </c>
      <c r="H13" s="9" t="n">
        <v>7.27</v>
      </c>
      <c r="I13" s="9" t="n">
        <v>7.63</v>
      </c>
    </row>
    <row r="14" customFormat="false" ht="15.75" hidden="false" customHeight="false" outlineLevel="0" collapsed="false">
      <c r="A14" s="9" t="s">
        <v>368</v>
      </c>
      <c r="D14" s="9" t="n">
        <v>9788365156457</v>
      </c>
      <c r="E14" s="9" t="s">
        <v>472</v>
      </c>
      <c r="F14" s="9" t="s">
        <v>469</v>
      </c>
      <c r="G14" s="9" t="n">
        <v>1</v>
      </c>
      <c r="H14" s="9" t="n">
        <v>7.27</v>
      </c>
      <c r="I14" s="9" t="n">
        <v>7.63</v>
      </c>
    </row>
    <row r="15" customFormat="false" ht="15.75" hidden="false" customHeight="false" outlineLevel="0" collapsed="false">
      <c r="A15" s="9" t="s">
        <v>347</v>
      </c>
      <c r="D15" s="9" t="n">
        <v>9788365156709</v>
      </c>
      <c r="E15" s="9" t="s">
        <v>472</v>
      </c>
      <c r="F15" s="9" t="s">
        <v>469</v>
      </c>
      <c r="G15" s="9" t="n">
        <v>1</v>
      </c>
      <c r="H15" s="9" t="n">
        <v>7.27</v>
      </c>
      <c r="I15" s="9" t="n">
        <v>7.63</v>
      </c>
    </row>
    <row r="16" customFormat="false" ht="15.75" hidden="false" customHeight="false" outlineLevel="0" collapsed="false">
      <c r="A16" s="9" t="s">
        <v>317</v>
      </c>
      <c r="D16" s="9" t="n">
        <v>9788365156716</v>
      </c>
      <c r="E16" s="9" t="s">
        <v>472</v>
      </c>
      <c r="F16" s="9" t="s">
        <v>469</v>
      </c>
      <c r="G16" s="9" t="n">
        <v>1</v>
      </c>
      <c r="H16" s="9" t="n">
        <v>9.93</v>
      </c>
      <c r="I16" s="9" t="n">
        <v>10.43</v>
      </c>
    </row>
    <row r="17" customFormat="false" ht="15.75" hidden="false" customHeight="false" outlineLevel="0" collapsed="false">
      <c r="A17" s="9" t="s">
        <v>364</v>
      </c>
      <c r="D17" s="9" t="n">
        <v>9788365156761</v>
      </c>
      <c r="E17" s="9" t="s">
        <v>472</v>
      </c>
      <c r="F17" s="9" t="s">
        <v>469</v>
      </c>
      <c r="G17" s="9" t="n">
        <v>1</v>
      </c>
      <c r="H17" s="9" t="n">
        <v>9.93</v>
      </c>
      <c r="I17" s="9" t="n">
        <v>10.43</v>
      </c>
    </row>
    <row r="18" customFormat="false" ht="15.75" hidden="false" customHeight="false" outlineLevel="0" collapsed="false">
      <c r="A18" s="9" t="s">
        <v>92</v>
      </c>
      <c r="D18" s="9" t="n">
        <v>9788365156785</v>
      </c>
      <c r="E18" s="9" t="s">
        <v>472</v>
      </c>
      <c r="F18" s="9" t="s">
        <v>469</v>
      </c>
      <c r="G18" s="9" t="n">
        <v>1</v>
      </c>
      <c r="H18" s="9" t="n">
        <v>9.93</v>
      </c>
      <c r="I18" s="9" t="n">
        <v>10.43</v>
      </c>
    </row>
    <row r="19" customFormat="false" ht="15.75" hidden="false" customHeight="false" outlineLevel="0" collapsed="false">
      <c r="A19" s="9" t="s">
        <v>39</v>
      </c>
      <c r="D19" s="9" t="n">
        <v>9788365156792</v>
      </c>
      <c r="E19" s="9" t="s">
        <v>472</v>
      </c>
      <c r="F19" s="9" t="s">
        <v>469</v>
      </c>
      <c r="G19" s="9" t="n">
        <v>1</v>
      </c>
      <c r="H19" s="9" t="n">
        <v>11.93</v>
      </c>
      <c r="I19" s="9" t="n">
        <v>12.53</v>
      </c>
    </row>
    <row r="20" customFormat="false" ht="15.75" hidden="false" customHeight="false" outlineLevel="0" collapsed="false">
      <c r="A20" s="9" t="s">
        <v>370</v>
      </c>
      <c r="D20" s="9" t="n">
        <v>9788365156839</v>
      </c>
      <c r="E20" s="9" t="s">
        <v>472</v>
      </c>
      <c r="F20" s="9" t="s">
        <v>469</v>
      </c>
      <c r="G20" s="9" t="n">
        <v>1</v>
      </c>
      <c r="H20" s="9" t="n">
        <v>9.93</v>
      </c>
      <c r="I20" s="9" t="n">
        <v>10.43</v>
      </c>
    </row>
    <row r="21" customFormat="false" ht="15.75" hidden="false" customHeight="false" outlineLevel="0" collapsed="false">
      <c r="A21" s="9" t="s">
        <v>61</v>
      </c>
      <c r="D21" s="9" t="n">
        <v>9788365156853</v>
      </c>
      <c r="E21" s="9" t="s">
        <v>472</v>
      </c>
      <c r="F21" s="9" t="s">
        <v>469</v>
      </c>
      <c r="G21" s="9" t="n">
        <v>1</v>
      </c>
      <c r="H21" s="9" t="n">
        <v>13.27</v>
      </c>
      <c r="I21" s="9" t="n">
        <v>13.93</v>
      </c>
    </row>
    <row r="22" customFormat="false" ht="15.75" hidden="false" customHeight="false" outlineLevel="0" collapsed="false">
      <c r="A22" s="9" t="s">
        <v>86</v>
      </c>
      <c r="D22" s="9" t="n">
        <v>9788365156860</v>
      </c>
      <c r="E22" s="9" t="s">
        <v>468</v>
      </c>
      <c r="F22" s="9" t="s">
        <v>469</v>
      </c>
      <c r="G22" s="9" t="n">
        <v>1</v>
      </c>
      <c r="H22" s="9" t="n">
        <v>13.27</v>
      </c>
      <c r="I22" s="9" t="n">
        <v>13.93</v>
      </c>
    </row>
    <row r="23" customFormat="false" ht="15.75" hidden="false" customHeight="false" outlineLevel="0" collapsed="false">
      <c r="A23" s="9" t="s">
        <v>473</v>
      </c>
      <c r="D23" s="9"/>
      <c r="E23" s="9"/>
      <c r="F23" s="9"/>
      <c r="G23" s="9"/>
      <c r="H23" s="9" t="n">
        <v>155.59</v>
      </c>
      <c r="I23" s="9" t="n">
        <v>163.38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25" t="s">
        <v>474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1"/>
      <c r="N1" s="31"/>
      <c r="O1" s="31"/>
      <c r="P1" s="31"/>
      <c r="Q1" s="31"/>
      <c r="R1" s="31"/>
      <c r="S1" s="31"/>
    </row>
    <row r="2" customFormat="false" ht="15.75" hidden="false" customHeight="false" outlineLevel="0" collapsed="false">
      <c r="A2" s="25" t="s">
        <v>475</v>
      </c>
      <c r="B2" s="47" t="s">
        <v>476</v>
      </c>
      <c r="C2" s="31"/>
      <c r="D2" s="31"/>
      <c r="E2" s="31"/>
      <c r="F2" s="31"/>
      <c r="G2" s="31"/>
      <c r="H2" s="31"/>
      <c r="I2" s="31"/>
      <c r="J2" s="31"/>
      <c r="K2" s="31"/>
      <c r="L2" s="32"/>
      <c r="M2" s="31"/>
      <c r="N2" s="31"/>
      <c r="O2" s="31"/>
      <c r="P2" s="31"/>
      <c r="Q2" s="31"/>
      <c r="R2" s="31"/>
      <c r="S2" s="31"/>
    </row>
    <row r="3" customFormat="false" ht="15.75" hidden="false" customHeight="false" outlineLevel="0" collapsed="false">
      <c r="A3" s="25" t="s">
        <v>477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2"/>
      <c r="M3" s="31"/>
      <c r="N3" s="31"/>
      <c r="O3" s="31"/>
      <c r="P3" s="31"/>
      <c r="Q3" s="31"/>
      <c r="R3" s="31"/>
      <c r="S3" s="31"/>
    </row>
    <row r="4" customFormat="false" ht="15.75" hidden="false" customHeight="false" outlineLevel="0" collapsed="false">
      <c r="A4" s="25" t="s">
        <v>478</v>
      </c>
      <c r="B4" s="31"/>
      <c r="C4" s="31"/>
      <c r="D4" s="34" t="s">
        <v>479</v>
      </c>
      <c r="E4" s="31"/>
      <c r="F4" s="31"/>
      <c r="G4" s="31"/>
      <c r="H4" s="31"/>
      <c r="I4" s="31"/>
      <c r="J4" s="31"/>
      <c r="K4" s="31"/>
      <c r="L4" s="32"/>
      <c r="M4" s="31"/>
      <c r="N4" s="31"/>
      <c r="O4" s="31"/>
      <c r="P4" s="31"/>
      <c r="Q4" s="31"/>
      <c r="R4" s="31"/>
      <c r="S4" s="31"/>
    </row>
    <row r="5" customFormat="false" ht="15.75" hidden="false" customHeight="false" outlineLevel="0" collapsed="false">
      <c r="A5" s="25" t="s">
        <v>480</v>
      </c>
      <c r="B5" s="31"/>
      <c r="C5" s="31"/>
      <c r="D5" s="31"/>
      <c r="E5" s="48" t="n">
        <v>38.75</v>
      </c>
      <c r="F5" s="31"/>
      <c r="G5" s="31"/>
      <c r="H5" s="31"/>
      <c r="I5" s="31"/>
      <c r="J5" s="31"/>
      <c r="K5" s="31"/>
      <c r="L5" s="32"/>
      <c r="M5" s="31"/>
      <c r="N5" s="31"/>
      <c r="O5" s="31"/>
      <c r="P5" s="31"/>
      <c r="Q5" s="31"/>
      <c r="R5" s="31"/>
      <c r="S5" s="31"/>
    </row>
    <row r="6" customFormat="false" ht="15.75" hidden="false" customHeight="false" outlineLevel="0" collapsed="false">
      <c r="A6" s="25" t="s">
        <v>481</v>
      </c>
      <c r="B6" s="31"/>
      <c r="C6" s="31"/>
      <c r="D6" s="31"/>
      <c r="E6" s="48" t="n">
        <v>40.69</v>
      </c>
      <c r="F6" s="31"/>
      <c r="G6" s="31"/>
      <c r="H6" s="31"/>
      <c r="I6" s="31"/>
      <c r="J6" s="31"/>
      <c r="K6" s="49"/>
      <c r="L6" s="31"/>
      <c r="M6" s="31"/>
      <c r="N6" s="49"/>
      <c r="O6" s="49"/>
      <c r="P6" s="49"/>
      <c r="Q6" s="31"/>
      <c r="R6" s="49"/>
      <c r="S6" s="49"/>
    </row>
    <row r="7" customFormat="false" ht="15.75" hidden="false" customHeight="false" outlineLevel="0" collapsed="false">
      <c r="A7" s="31"/>
      <c r="B7" s="31"/>
      <c r="C7" s="31"/>
      <c r="D7" s="31"/>
      <c r="E7" s="49"/>
      <c r="F7" s="31"/>
      <c r="G7" s="50"/>
      <c r="H7" s="50"/>
      <c r="I7" s="31"/>
      <c r="J7" s="31"/>
      <c r="K7" s="49"/>
      <c r="L7" s="31"/>
      <c r="M7" s="31"/>
      <c r="N7" s="49"/>
      <c r="O7" s="49"/>
      <c r="P7" s="49"/>
      <c r="Q7" s="40"/>
      <c r="R7" s="49"/>
      <c r="S7" s="49"/>
    </row>
    <row r="8" customFormat="false" ht="15.75" hidden="false" customHeight="false" outlineLevel="0" collapsed="false">
      <c r="A8" s="51" t="s">
        <v>482</v>
      </c>
      <c r="B8" s="51"/>
      <c r="C8" s="51"/>
      <c r="D8" s="51"/>
      <c r="E8" s="51"/>
      <c r="F8" s="51"/>
      <c r="G8" s="51"/>
      <c r="H8" s="51"/>
      <c r="I8" s="51"/>
      <c r="J8" s="31"/>
      <c r="K8" s="49"/>
      <c r="L8" s="31"/>
      <c r="M8" s="31"/>
      <c r="N8" s="49"/>
      <c r="O8" s="49"/>
      <c r="P8" s="49"/>
      <c r="Q8" s="40"/>
      <c r="R8" s="49"/>
      <c r="S8" s="49"/>
    </row>
    <row r="9" customFormat="false" ht="15.75" hidden="false" customHeight="false" outlineLevel="0" collapsed="false">
      <c r="A9" s="52" t="s">
        <v>483</v>
      </c>
      <c r="B9" s="52"/>
      <c r="C9" s="52"/>
      <c r="D9" s="52"/>
      <c r="E9" s="52"/>
      <c r="F9" s="52"/>
      <c r="G9" s="52"/>
      <c r="H9" s="52"/>
      <c r="I9" s="52"/>
      <c r="J9" s="52" t="s">
        <v>484</v>
      </c>
      <c r="K9" s="52"/>
      <c r="L9" s="52"/>
      <c r="M9" s="52" t="s">
        <v>485</v>
      </c>
      <c r="N9" s="52"/>
      <c r="O9" s="52"/>
      <c r="P9" s="53" t="s">
        <v>486</v>
      </c>
      <c r="Q9" s="53"/>
      <c r="R9" s="53"/>
      <c r="S9" s="53"/>
    </row>
    <row r="10" customFormat="false" ht="15.75" hidden="false" customHeight="false" outlineLevel="0" collapsed="false">
      <c r="A10" s="54" t="s">
        <v>487</v>
      </c>
      <c r="B10" s="54" t="s">
        <v>488</v>
      </c>
      <c r="C10" s="54" t="s">
        <v>489</v>
      </c>
      <c r="D10" s="54" t="s">
        <v>0</v>
      </c>
      <c r="E10" s="54" t="s">
        <v>490</v>
      </c>
      <c r="F10" s="54" t="s">
        <v>491</v>
      </c>
      <c r="G10" s="54" t="s">
        <v>492</v>
      </c>
      <c r="H10" s="54" t="s">
        <v>493</v>
      </c>
      <c r="I10" s="54" t="s">
        <v>494</v>
      </c>
      <c r="J10" s="54" t="s">
        <v>356</v>
      </c>
      <c r="K10" s="55" t="s">
        <v>495</v>
      </c>
      <c r="L10" s="54" t="s">
        <v>496</v>
      </c>
      <c r="M10" s="54" t="s">
        <v>497</v>
      </c>
      <c r="N10" s="55" t="s">
        <v>498</v>
      </c>
      <c r="O10" s="55" t="s">
        <v>499</v>
      </c>
      <c r="P10" s="55" t="s">
        <v>500</v>
      </c>
      <c r="Q10" s="54" t="s">
        <v>501</v>
      </c>
      <c r="R10" s="55" t="s">
        <v>502</v>
      </c>
      <c r="S10" s="55" t="s">
        <v>503</v>
      </c>
    </row>
    <row r="11" customFormat="false" ht="15.75" hidden="false" customHeight="false" outlineLevel="0" collapsed="false">
      <c r="A11" s="56" t="s">
        <v>476</v>
      </c>
      <c r="B11" s="31" t="s">
        <v>240</v>
      </c>
      <c r="C11" s="13" t="n">
        <v>1311148</v>
      </c>
      <c r="D11" s="31" t="s">
        <v>504</v>
      </c>
      <c r="E11" s="31"/>
      <c r="F11" s="31"/>
      <c r="G11" s="57"/>
      <c r="H11" s="31" t="s">
        <v>505</v>
      </c>
      <c r="I11" s="31" t="s">
        <v>8</v>
      </c>
      <c r="J11" s="13" t="n">
        <v>1</v>
      </c>
      <c r="K11" s="58" t="n">
        <v>14.19</v>
      </c>
      <c r="L11" s="59" t="n">
        <v>14.9</v>
      </c>
      <c r="M11" s="60" t="n">
        <v>0.35</v>
      </c>
      <c r="N11" s="58" t="n">
        <v>4.97</v>
      </c>
      <c r="O11" s="58" t="n">
        <v>9.22</v>
      </c>
      <c r="P11" s="58" t="n">
        <v>9.22</v>
      </c>
      <c r="Q11" s="61" t="n">
        <v>0.05</v>
      </c>
      <c r="R11" s="58" t="n">
        <v>0.46</v>
      </c>
      <c r="S11" s="58" t="n">
        <v>9.68</v>
      </c>
    </row>
    <row r="12" customFormat="false" ht="15.75" hidden="false" customHeight="false" outlineLevel="0" collapsed="false">
      <c r="A12" s="56" t="s">
        <v>476</v>
      </c>
      <c r="B12" s="31" t="s">
        <v>158</v>
      </c>
      <c r="C12" s="13" t="n">
        <v>1401212</v>
      </c>
      <c r="D12" s="31" t="s">
        <v>61</v>
      </c>
      <c r="E12" s="31"/>
      <c r="F12" s="31"/>
      <c r="G12" s="57"/>
      <c r="H12" s="31" t="s">
        <v>505</v>
      </c>
      <c r="I12" s="31" t="s">
        <v>8</v>
      </c>
      <c r="J12" s="13" t="n">
        <v>1</v>
      </c>
      <c r="K12" s="58" t="n">
        <v>18.95</v>
      </c>
      <c r="L12" s="59" t="n">
        <v>19.9</v>
      </c>
      <c r="M12" s="60" t="n">
        <v>0.35</v>
      </c>
      <c r="N12" s="58" t="n">
        <v>6.63</v>
      </c>
      <c r="O12" s="58" t="n">
        <v>12.32</v>
      </c>
      <c r="P12" s="58" t="n">
        <v>12.32</v>
      </c>
      <c r="Q12" s="61" t="n">
        <v>0.05</v>
      </c>
      <c r="R12" s="58" t="n">
        <v>0.62</v>
      </c>
      <c r="S12" s="58" t="n">
        <v>12.94</v>
      </c>
    </row>
    <row r="13" customFormat="false" ht="15.75" hidden="false" customHeight="false" outlineLevel="0" collapsed="false">
      <c r="A13" s="56" t="s">
        <v>476</v>
      </c>
      <c r="B13" s="31" t="s">
        <v>506</v>
      </c>
      <c r="C13" s="13" t="n">
        <v>1311146</v>
      </c>
      <c r="D13" s="31" t="s">
        <v>28</v>
      </c>
      <c r="E13" s="49"/>
      <c r="F13" s="31"/>
      <c r="G13" s="57"/>
      <c r="H13" s="31" t="s">
        <v>505</v>
      </c>
      <c r="I13" s="31" t="s">
        <v>8</v>
      </c>
      <c r="J13" s="13" t="n">
        <v>1</v>
      </c>
      <c r="K13" s="58" t="n">
        <v>12.29</v>
      </c>
      <c r="L13" s="58" t="n">
        <v>12.9</v>
      </c>
      <c r="M13" s="60" t="n">
        <v>0.35</v>
      </c>
      <c r="N13" s="58" t="n">
        <v>4.3</v>
      </c>
      <c r="O13" s="58" t="n">
        <v>7.99</v>
      </c>
      <c r="P13" s="58" t="n">
        <v>7.99</v>
      </c>
      <c r="Q13" s="61" t="n">
        <v>0.05</v>
      </c>
      <c r="R13" s="58" t="n">
        <v>0.4</v>
      </c>
      <c r="S13" s="58" t="n">
        <v>8.39</v>
      </c>
    </row>
    <row r="14" customFormat="false" ht="15.75" hidden="false" customHeight="false" outlineLevel="0" collapsed="false">
      <c r="A14" s="56" t="s">
        <v>476</v>
      </c>
      <c r="B14" s="31" t="s">
        <v>237</v>
      </c>
      <c r="C14" s="13" t="n">
        <v>1311198</v>
      </c>
      <c r="D14" s="31" t="s">
        <v>108</v>
      </c>
      <c r="E14" s="31"/>
      <c r="F14" s="31"/>
      <c r="G14" s="50"/>
      <c r="H14" s="31" t="s">
        <v>505</v>
      </c>
      <c r="I14" s="31" t="s">
        <v>8</v>
      </c>
      <c r="J14" s="13" t="n">
        <v>1</v>
      </c>
      <c r="K14" s="58" t="n">
        <v>14.19</v>
      </c>
      <c r="L14" s="59" t="n">
        <v>14.9</v>
      </c>
      <c r="M14" s="60" t="n">
        <v>0.35</v>
      </c>
      <c r="N14" s="58" t="n">
        <v>4.97</v>
      </c>
      <c r="O14" s="58" t="n">
        <v>9.22</v>
      </c>
      <c r="P14" s="58" t="n">
        <v>9.22</v>
      </c>
      <c r="Q14" s="61" t="n">
        <v>0.05</v>
      </c>
      <c r="R14" s="58" t="n">
        <v>0.46</v>
      </c>
      <c r="S14" s="58" t="n">
        <v>9.68</v>
      </c>
    </row>
    <row r="15" customFormat="false" ht="15.75" hidden="false" customHeight="false" outlineLevel="0" collapsed="false">
      <c r="A15" s="62"/>
      <c r="B15" s="62"/>
      <c r="C15" s="62"/>
      <c r="D15" s="62"/>
      <c r="E15" s="62"/>
      <c r="F15" s="62"/>
      <c r="G15" s="63"/>
      <c r="H15" s="63"/>
      <c r="I15" s="64" t="s">
        <v>507</v>
      </c>
      <c r="J15" s="65" t="n">
        <v>4</v>
      </c>
      <c r="K15" s="62"/>
      <c r="L15" s="66"/>
      <c r="M15" s="62"/>
      <c r="N15" s="62"/>
      <c r="O15" s="62"/>
      <c r="P15" s="67" t="n">
        <v>38.75</v>
      </c>
      <c r="Q15" s="68"/>
      <c r="R15" s="67" t="n">
        <v>1.94</v>
      </c>
      <c r="S15" s="67" t="n">
        <v>40.69</v>
      </c>
    </row>
    <row r="16" customFormat="false" ht="15.75" hidden="false" customHeight="false" outlineLevel="0" collapsed="false">
      <c r="A16" s="51" t="s">
        <v>508</v>
      </c>
      <c r="B16" s="51"/>
      <c r="C16" s="51"/>
      <c r="D16" s="51"/>
      <c r="E16" s="51"/>
      <c r="F16" s="51"/>
      <c r="G16" s="51"/>
      <c r="H16" s="51"/>
      <c r="I16" s="51"/>
      <c r="J16" s="31"/>
      <c r="K16" s="31"/>
      <c r="L16" s="32"/>
      <c r="M16" s="31"/>
      <c r="N16" s="31"/>
      <c r="O16" s="31"/>
      <c r="P16" s="31"/>
      <c r="Q16" s="40"/>
      <c r="R16" s="49"/>
      <c r="S16" s="49"/>
    </row>
    <row r="17" customFormat="false" ht="15.75" hidden="false" customHeight="false" outlineLevel="0" collapsed="false">
      <c r="A17" s="52" t="s">
        <v>483</v>
      </c>
      <c r="B17" s="52"/>
      <c r="C17" s="52"/>
      <c r="D17" s="52"/>
      <c r="E17" s="52"/>
      <c r="F17" s="52"/>
      <c r="G17" s="52"/>
      <c r="H17" s="52"/>
      <c r="I17" s="52"/>
      <c r="J17" s="52" t="s">
        <v>484</v>
      </c>
      <c r="K17" s="52"/>
      <c r="L17" s="52"/>
      <c r="M17" s="52" t="s">
        <v>485</v>
      </c>
      <c r="N17" s="52"/>
      <c r="O17" s="52"/>
      <c r="P17" s="52" t="s">
        <v>486</v>
      </c>
      <c r="Q17" s="52"/>
      <c r="R17" s="52"/>
      <c r="S17" s="52"/>
    </row>
    <row r="18" customFormat="false" ht="15.75" hidden="false" customHeight="false" outlineLevel="0" collapsed="false">
      <c r="A18" s="54" t="s">
        <v>487</v>
      </c>
      <c r="B18" s="54" t="s">
        <v>488</v>
      </c>
      <c r="C18" s="54" t="s">
        <v>489</v>
      </c>
      <c r="D18" s="54" t="s">
        <v>0</v>
      </c>
      <c r="E18" s="54" t="s">
        <v>509</v>
      </c>
      <c r="F18" s="54" t="s">
        <v>510</v>
      </c>
      <c r="G18" s="54" t="s">
        <v>492</v>
      </c>
      <c r="H18" s="54" t="s">
        <v>493</v>
      </c>
      <c r="I18" s="54" t="s">
        <v>494</v>
      </c>
      <c r="J18" s="54" t="s">
        <v>356</v>
      </c>
      <c r="K18" s="54" t="s">
        <v>511</v>
      </c>
      <c r="L18" s="69" t="s">
        <v>512</v>
      </c>
      <c r="M18" s="54" t="s">
        <v>497</v>
      </c>
      <c r="N18" s="54" t="s">
        <v>498</v>
      </c>
      <c r="O18" s="54" t="s">
        <v>499</v>
      </c>
      <c r="P18" s="54" t="s">
        <v>500</v>
      </c>
      <c r="Q18" s="54" t="s">
        <v>501</v>
      </c>
      <c r="R18" s="55" t="s">
        <v>502</v>
      </c>
      <c r="S18" s="55" t="s">
        <v>503</v>
      </c>
    </row>
    <row r="19" customFormat="false" ht="15.75" hidden="false" customHeight="false" outlineLevel="0" collapsed="false">
      <c r="A19" s="70"/>
      <c r="B19" s="70"/>
      <c r="C19" s="70"/>
      <c r="D19" s="70"/>
      <c r="E19" s="70"/>
      <c r="F19" s="70"/>
      <c r="G19" s="71"/>
      <c r="H19" s="71"/>
      <c r="I19" s="70"/>
      <c r="J19" s="72" t="n">
        <v>0</v>
      </c>
      <c r="K19" s="70"/>
      <c r="L19" s="73"/>
      <c r="M19" s="70"/>
      <c r="N19" s="70"/>
      <c r="O19" s="70"/>
      <c r="P19" s="74" t="s">
        <v>513</v>
      </c>
      <c r="Q19" s="75"/>
      <c r="R19" s="76" t="s">
        <v>513</v>
      </c>
      <c r="S19" s="76" t="s">
        <v>513</v>
      </c>
    </row>
    <row r="20" customFormat="false" ht="15.75" hidden="false" customHeight="false" outlineLevel="0" collapsed="false">
      <c r="A20" s="31"/>
      <c r="B20" s="31"/>
      <c r="C20" s="31"/>
      <c r="D20" s="31"/>
      <c r="E20" s="31"/>
      <c r="F20" s="31"/>
      <c r="G20" s="57"/>
      <c r="H20" s="57"/>
      <c r="I20" s="31"/>
      <c r="J20" s="31"/>
      <c r="K20" s="31"/>
      <c r="L20" s="32"/>
      <c r="M20" s="31"/>
      <c r="N20" s="31"/>
      <c r="O20" s="31"/>
      <c r="P20" s="31"/>
      <c r="Q20" s="40"/>
      <c r="R20" s="49"/>
      <c r="S20" s="49"/>
    </row>
    <row r="21" customFormat="false" ht="15.75" hidden="false" customHeight="false" outlineLevel="0" collapsed="false">
      <c r="A21" s="31"/>
      <c r="B21" s="31"/>
      <c r="C21" s="31"/>
      <c r="D21" s="31"/>
      <c r="E21" s="31"/>
      <c r="F21" s="31"/>
      <c r="G21" s="57"/>
      <c r="H21" s="57"/>
      <c r="I21" s="31"/>
      <c r="J21" s="31"/>
      <c r="K21" s="31"/>
      <c r="L21" s="32"/>
      <c r="M21" s="31"/>
      <c r="N21" s="31"/>
      <c r="O21" s="31"/>
      <c r="P21" s="31"/>
      <c r="Q21" s="40"/>
      <c r="R21" s="49"/>
      <c r="S21" s="49"/>
    </row>
    <row r="22" customFormat="false" ht="15.75" hidden="false" customHeight="false" outlineLevel="0" collapsed="false">
      <c r="A22" s="31"/>
      <c r="B22" s="31"/>
      <c r="C22" s="31"/>
      <c r="D22" s="31"/>
      <c r="E22" s="31"/>
      <c r="F22" s="31"/>
      <c r="G22" s="77"/>
      <c r="H22" s="31"/>
      <c r="I22" s="31"/>
      <c r="J22" s="31"/>
      <c r="K22" s="49"/>
      <c r="L22" s="31"/>
      <c r="M22" s="31"/>
      <c r="N22" s="49"/>
      <c r="O22" s="49"/>
      <c r="P22" s="49"/>
      <c r="Q22" s="40"/>
      <c r="R22" s="49"/>
      <c r="S22" s="49"/>
    </row>
    <row r="23" customFormat="false" ht="15.75" hidden="false" customHeight="fals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49"/>
      <c r="L23" s="31"/>
      <c r="M23" s="31"/>
      <c r="N23" s="49"/>
      <c r="O23" s="49"/>
      <c r="P23" s="49"/>
      <c r="Q23" s="40"/>
      <c r="R23" s="49"/>
      <c r="S23" s="49"/>
    </row>
    <row r="24" customFormat="false" ht="15.75" hidden="false" customHeight="false" outlineLevel="0" collapsed="false">
      <c r="A24" s="31"/>
      <c r="B24" s="31"/>
      <c r="C24" s="31"/>
      <c r="D24" s="31"/>
      <c r="E24" s="49"/>
      <c r="F24" s="31"/>
      <c r="G24" s="50"/>
      <c r="H24" s="50"/>
      <c r="I24" s="31"/>
      <c r="J24" s="31"/>
      <c r="K24" s="49"/>
      <c r="L24" s="31"/>
      <c r="M24" s="31"/>
      <c r="N24" s="49"/>
      <c r="O24" s="49"/>
      <c r="P24" s="49"/>
      <c r="Q24" s="40"/>
      <c r="R24" s="49"/>
      <c r="S24" s="49"/>
    </row>
    <row r="25" customFormat="false" ht="15.75" hidden="false" customHeight="false" outlineLevel="0" collapsed="false">
      <c r="A25" s="31"/>
      <c r="B25" s="31"/>
      <c r="C25" s="31"/>
      <c r="D25" s="31"/>
      <c r="E25" s="49"/>
      <c r="F25" s="31"/>
      <c r="G25" s="57"/>
      <c r="H25" s="57"/>
      <c r="I25" s="31"/>
      <c r="J25" s="31"/>
      <c r="K25" s="49"/>
      <c r="L25" s="31"/>
      <c r="M25" s="31"/>
      <c r="N25" s="49"/>
      <c r="O25" s="49"/>
      <c r="P25" s="49"/>
      <c r="Q25" s="40"/>
      <c r="R25" s="49"/>
      <c r="S25" s="49"/>
    </row>
    <row r="26" customFormat="false" ht="15.75" hidden="false" customHeight="false" outlineLevel="0" collapsed="false">
      <c r="A26" s="25"/>
      <c r="B26" s="31"/>
      <c r="C26" s="31"/>
      <c r="D26" s="31"/>
      <c r="E26" s="31"/>
      <c r="F26" s="31"/>
      <c r="G26" s="57"/>
      <c r="H26" s="57"/>
      <c r="I26" s="31"/>
      <c r="J26" s="31"/>
      <c r="K26" s="49"/>
      <c r="L26" s="31"/>
      <c r="M26" s="31"/>
      <c r="N26" s="49"/>
      <c r="O26" s="49"/>
      <c r="P26" s="49"/>
      <c r="Q26" s="40"/>
      <c r="R26" s="49"/>
      <c r="S26" s="49"/>
    </row>
    <row r="27" customFormat="false" ht="15.75" hidden="false" customHeight="false" outlineLevel="0" collapsed="false">
      <c r="A27" s="25"/>
      <c r="B27" s="25"/>
      <c r="C27" s="31"/>
      <c r="D27" s="31"/>
      <c r="E27" s="31"/>
      <c r="F27" s="31"/>
      <c r="G27" s="50"/>
      <c r="H27" s="50"/>
      <c r="I27" s="31"/>
      <c r="J27" s="31"/>
      <c r="K27" s="49"/>
      <c r="L27" s="31"/>
      <c r="M27" s="31"/>
      <c r="N27" s="49"/>
      <c r="O27" s="49"/>
      <c r="P27" s="49"/>
      <c r="Q27" s="40"/>
      <c r="R27" s="49"/>
      <c r="S27" s="49"/>
    </row>
    <row r="28" customFormat="false" ht="15.75" hidden="false" customHeight="false" outlineLevel="0" collapsed="false">
      <c r="A28" s="25"/>
      <c r="B28" s="31"/>
      <c r="C28" s="31"/>
      <c r="D28" s="31"/>
      <c r="E28" s="31"/>
      <c r="F28" s="31"/>
      <c r="G28" s="57"/>
      <c r="H28" s="57"/>
      <c r="I28" s="31"/>
      <c r="J28" s="31"/>
      <c r="K28" s="31"/>
      <c r="L28" s="32"/>
      <c r="M28" s="31"/>
      <c r="N28" s="31"/>
      <c r="O28" s="31"/>
      <c r="P28" s="49"/>
      <c r="Q28" s="40"/>
      <c r="R28" s="49"/>
      <c r="S28" s="49"/>
    </row>
    <row r="29" customFormat="false" ht="15.75" hidden="false" customHeight="false" outlineLevel="0" collapsed="false">
      <c r="A29" s="25"/>
      <c r="B29" s="31"/>
      <c r="C29" s="31"/>
      <c r="D29" s="34"/>
      <c r="E29" s="31"/>
      <c r="F29" s="31"/>
      <c r="G29" s="57"/>
      <c r="H29" s="57"/>
      <c r="I29" s="31"/>
      <c r="J29" s="31"/>
      <c r="K29" s="31"/>
      <c r="L29" s="32"/>
      <c r="M29" s="31"/>
      <c r="N29" s="31"/>
      <c r="O29" s="31"/>
      <c r="P29" s="31"/>
      <c r="Q29" s="31"/>
      <c r="R29" s="31"/>
      <c r="S29" s="31"/>
    </row>
    <row r="30" customFormat="false" ht="15.75" hidden="false" customHeight="false" outlineLevel="0" collapsed="false">
      <c r="A30" s="25"/>
      <c r="B30" s="31"/>
      <c r="C30" s="31"/>
      <c r="D30" s="31"/>
      <c r="E30" s="48"/>
      <c r="F30" s="31"/>
      <c r="G30" s="57"/>
      <c r="H30" s="57"/>
      <c r="I30" s="31"/>
      <c r="J30" s="31"/>
      <c r="K30" s="49"/>
      <c r="L30" s="49"/>
      <c r="M30" s="31"/>
      <c r="N30" s="49"/>
      <c r="O30" s="49"/>
      <c r="P30" s="49"/>
      <c r="Q30" s="40"/>
      <c r="R30" s="49"/>
      <c r="S30" s="49"/>
    </row>
    <row r="31" customFormat="false" ht="15.75" hidden="false" customHeight="false" outlineLevel="0" collapsed="false">
      <c r="G31" s="78"/>
      <c r="H31" s="78"/>
      <c r="L31" s="43"/>
    </row>
    <row r="32" customFormat="false" ht="15.75" hidden="false" customHeight="false" outlineLevel="0" collapsed="false">
      <c r="G32" s="79"/>
      <c r="H32" s="79"/>
      <c r="L32" s="43"/>
    </row>
    <row r="33" customFormat="false" ht="15.75" hidden="false" customHeight="false" outlineLevel="0" collapsed="false">
      <c r="G33" s="79"/>
      <c r="H33" s="79"/>
      <c r="L33" s="43"/>
    </row>
    <row r="34" customFormat="false" ht="15.75" hidden="false" customHeight="false" outlineLevel="0" collapsed="false">
      <c r="G34" s="79"/>
      <c r="H34" s="79"/>
      <c r="L34" s="43"/>
    </row>
    <row r="35" customFormat="false" ht="15.75" hidden="false" customHeight="false" outlineLevel="0" collapsed="false">
      <c r="G35" s="79"/>
      <c r="H35" s="79"/>
      <c r="L35" s="43"/>
    </row>
    <row r="36" customFormat="false" ht="15.75" hidden="false" customHeight="false" outlineLevel="0" collapsed="false">
      <c r="G36" s="79"/>
      <c r="H36" s="79"/>
      <c r="L36" s="43"/>
    </row>
    <row r="37" customFormat="false" ht="15.75" hidden="false" customHeight="false" outlineLevel="0" collapsed="false">
      <c r="G37" s="79"/>
      <c r="H37" s="79"/>
      <c r="L37" s="43"/>
    </row>
    <row r="38" customFormat="false" ht="15.75" hidden="false" customHeight="false" outlineLevel="0" collapsed="false">
      <c r="G38" s="79"/>
      <c r="H38" s="79"/>
      <c r="L38" s="43"/>
    </row>
    <row r="39" customFormat="false" ht="15.75" hidden="false" customHeight="false" outlineLevel="0" collapsed="false">
      <c r="L39" s="37"/>
    </row>
    <row r="40" customFormat="false" ht="15.75" hidden="false" customHeight="false" outlineLevel="0" collapsed="false">
      <c r="L40" s="37"/>
    </row>
    <row r="41" customFormat="false" ht="15.75" hidden="false" customHeight="false" outlineLevel="0" collapsed="false">
      <c r="L41" s="37"/>
    </row>
    <row r="42" customFormat="false" ht="15.75" hidden="false" customHeight="false" outlineLevel="0" collapsed="false">
      <c r="L42" s="37"/>
    </row>
    <row r="43" customFormat="false" ht="15.75" hidden="false" customHeight="false" outlineLevel="0" collapsed="false">
      <c r="L43" s="37"/>
    </row>
    <row r="44" customFormat="false" ht="15.75" hidden="false" customHeight="false" outlineLevel="0" collapsed="false">
      <c r="L44" s="37"/>
    </row>
    <row r="45" customFormat="false" ht="15.75" hidden="false" customHeight="false" outlineLevel="0" collapsed="false">
      <c r="L45" s="37"/>
    </row>
    <row r="46" customFormat="false" ht="15.75" hidden="false" customHeight="false" outlineLevel="0" collapsed="false">
      <c r="L46" s="37"/>
    </row>
    <row r="47" customFormat="false" ht="15.75" hidden="false" customHeight="false" outlineLevel="0" collapsed="false">
      <c r="L47" s="37"/>
    </row>
    <row r="48" customFormat="false" ht="15.75" hidden="false" customHeight="false" outlineLevel="0" collapsed="false">
      <c r="L48" s="37"/>
    </row>
    <row r="49" customFormat="false" ht="15.75" hidden="false" customHeight="false" outlineLevel="0" collapsed="false">
      <c r="L49" s="37"/>
    </row>
    <row r="50" customFormat="false" ht="15.75" hidden="false" customHeight="false" outlineLevel="0" collapsed="false">
      <c r="L50" s="37"/>
    </row>
    <row r="51" customFormat="false" ht="15.75" hidden="false" customHeight="false" outlineLevel="0" collapsed="false">
      <c r="L51" s="37"/>
    </row>
    <row r="52" customFormat="false" ht="15.75" hidden="false" customHeight="false" outlineLevel="0" collapsed="false">
      <c r="L52" s="37"/>
    </row>
    <row r="53" customFormat="false" ht="15.75" hidden="false" customHeight="false" outlineLevel="0" collapsed="false">
      <c r="L53" s="37"/>
    </row>
    <row r="54" customFormat="false" ht="15.75" hidden="false" customHeight="false" outlineLevel="0" collapsed="false">
      <c r="L54" s="37"/>
    </row>
    <row r="55" customFormat="false" ht="15.75" hidden="false" customHeight="false" outlineLevel="0" collapsed="false">
      <c r="L55" s="37"/>
    </row>
    <row r="56" customFormat="false" ht="15.75" hidden="false" customHeight="false" outlineLevel="0" collapsed="false">
      <c r="L56" s="37"/>
    </row>
    <row r="57" customFormat="false" ht="15.75" hidden="false" customHeight="false" outlineLevel="0" collapsed="false">
      <c r="L57" s="37"/>
    </row>
    <row r="58" customFormat="false" ht="15.75" hidden="false" customHeight="false" outlineLevel="0" collapsed="false">
      <c r="L58" s="37"/>
    </row>
    <row r="59" customFormat="false" ht="15.75" hidden="false" customHeight="false" outlineLevel="0" collapsed="false">
      <c r="L59" s="37"/>
    </row>
    <row r="60" customFormat="false" ht="15.75" hidden="false" customHeight="false" outlineLevel="0" collapsed="false">
      <c r="L60" s="37"/>
    </row>
    <row r="61" customFormat="false" ht="15.75" hidden="false" customHeight="false" outlineLevel="0" collapsed="false">
      <c r="L61" s="37"/>
    </row>
    <row r="62" customFormat="false" ht="15.75" hidden="false" customHeight="false" outlineLevel="0" collapsed="false">
      <c r="L62" s="37"/>
    </row>
    <row r="63" customFormat="false" ht="15.75" hidden="false" customHeight="false" outlineLevel="0" collapsed="false">
      <c r="L63" s="37"/>
    </row>
    <row r="64" customFormat="false" ht="15.75" hidden="false" customHeight="false" outlineLevel="0" collapsed="false">
      <c r="L64" s="37"/>
    </row>
    <row r="65" customFormat="false" ht="15.75" hidden="false" customHeight="false" outlineLevel="0" collapsed="false">
      <c r="L65" s="37"/>
    </row>
    <row r="66" customFormat="false" ht="15.75" hidden="false" customHeight="false" outlineLevel="0" collapsed="false">
      <c r="L66" s="37"/>
    </row>
    <row r="67" customFormat="false" ht="15.75" hidden="false" customHeight="false" outlineLevel="0" collapsed="false">
      <c r="L67" s="37"/>
    </row>
    <row r="68" customFormat="false" ht="15.75" hidden="false" customHeight="false" outlineLevel="0" collapsed="false">
      <c r="L68" s="37"/>
    </row>
    <row r="69" customFormat="false" ht="15.75" hidden="false" customHeight="false" outlineLevel="0" collapsed="false">
      <c r="L69" s="37"/>
    </row>
    <row r="70" customFormat="false" ht="15.75" hidden="false" customHeight="false" outlineLevel="0" collapsed="false">
      <c r="L70" s="37"/>
    </row>
    <row r="71" customFormat="false" ht="15.75" hidden="false" customHeight="false" outlineLevel="0" collapsed="false">
      <c r="L71" s="37"/>
    </row>
    <row r="72" customFormat="false" ht="15.75" hidden="false" customHeight="false" outlineLevel="0" collapsed="false">
      <c r="L72" s="37"/>
    </row>
    <row r="73" customFormat="false" ht="15.75" hidden="false" customHeight="false" outlineLevel="0" collapsed="false">
      <c r="L73" s="37"/>
    </row>
    <row r="74" customFormat="false" ht="15.75" hidden="false" customHeight="false" outlineLevel="0" collapsed="false">
      <c r="L74" s="37"/>
    </row>
    <row r="75" customFormat="false" ht="15.75" hidden="false" customHeight="false" outlineLevel="0" collapsed="false">
      <c r="L75" s="37"/>
    </row>
    <row r="76" customFormat="false" ht="15.75" hidden="false" customHeight="false" outlineLevel="0" collapsed="false">
      <c r="L76" s="37"/>
    </row>
    <row r="77" customFormat="false" ht="15.75" hidden="false" customHeight="false" outlineLevel="0" collapsed="false">
      <c r="L77" s="37"/>
    </row>
    <row r="78" customFormat="false" ht="15.75" hidden="false" customHeight="false" outlineLevel="0" collapsed="false">
      <c r="L78" s="37"/>
    </row>
    <row r="79" customFormat="false" ht="15.75" hidden="false" customHeight="false" outlineLevel="0" collapsed="false">
      <c r="L79" s="37"/>
    </row>
    <row r="80" customFormat="false" ht="15.75" hidden="false" customHeight="false" outlineLevel="0" collapsed="false">
      <c r="L80" s="37"/>
    </row>
    <row r="81" customFormat="false" ht="15.75" hidden="false" customHeight="false" outlineLevel="0" collapsed="false">
      <c r="L81" s="37"/>
    </row>
    <row r="82" customFormat="false" ht="15.75" hidden="false" customHeight="false" outlineLevel="0" collapsed="false">
      <c r="L82" s="37"/>
    </row>
    <row r="83" customFormat="false" ht="15.75" hidden="false" customHeight="false" outlineLevel="0" collapsed="false">
      <c r="L83" s="37"/>
    </row>
    <row r="84" customFormat="false" ht="15.75" hidden="false" customHeight="false" outlineLevel="0" collapsed="false">
      <c r="L84" s="37"/>
    </row>
    <row r="85" customFormat="false" ht="15.75" hidden="false" customHeight="false" outlineLevel="0" collapsed="false">
      <c r="L85" s="37"/>
    </row>
    <row r="86" customFormat="false" ht="15.75" hidden="false" customHeight="false" outlineLevel="0" collapsed="false">
      <c r="L86" s="37"/>
    </row>
    <row r="87" customFormat="false" ht="15.75" hidden="false" customHeight="false" outlineLevel="0" collapsed="false">
      <c r="L87" s="37"/>
    </row>
    <row r="88" customFormat="false" ht="15.75" hidden="false" customHeight="false" outlineLevel="0" collapsed="false">
      <c r="L88" s="37"/>
    </row>
    <row r="89" customFormat="false" ht="15.75" hidden="false" customHeight="false" outlineLevel="0" collapsed="false">
      <c r="L89" s="37"/>
    </row>
    <row r="90" customFormat="false" ht="15.75" hidden="false" customHeight="false" outlineLevel="0" collapsed="false">
      <c r="L90" s="37"/>
    </row>
    <row r="91" customFormat="false" ht="15.75" hidden="false" customHeight="false" outlineLevel="0" collapsed="false">
      <c r="L91" s="37"/>
    </row>
    <row r="92" customFormat="false" ht="15.75" hidden="false" customHeight="false" outlineLevel="0" collapsed="false">
      <c r="L92" s="37"/>
    </row>
    <row r="93" customFormat="false" ht="15.75" hidden="false" customHeight="false" outlineLevel="0" collapsed="false">
      <c r="L93" s="37"/>
    </row>
    <row r="94" customFormat="false" ht="15.75" hidden="false" customHeight="false" outlineLevel="0" collapsed="false">
      <c r="L94" s="37"/>
    </row>
    <row r="95" customFormat="false" ht="15.75" hidden="false" customHeight="false" outlineLevel="0" collapsed="false">
      <c r="L95" s="37"/>
    </row>
    <row r="96" customFormat="false" ht="15.75" hidden="false" customHeight="false" outlineLevel="0" collapsed="false">
      <c r="L96" s="37"/>
    </row>
    <row r="97" customFormat="false" ht="15.75" hidden="false" customHeight="false" outlineLevel="0" collapsed="false">
      <c r="L97" s="37"/>
    </row>
    <row r="98" customFormat="false" ht="15.75" hidden="false" customHeight="false" outlineLevel="0" collapsed="false">
      <c r="L98" s="37"/>
    </row>
    <row r="99" customFormat="false" ht="15.75" hidden="false" customHeight="false" outlineLevel="0" collapsed="false">
      <c r="L99" s="37"/>
    </row>
    <row r="100" customFormat="false" ht="15.75" hidden="false" customHeight="false" outlineLevel="0" collapsed="false">
      <c r="L100" s="37"/>
    </row>
    <row r="101" customFormat="false" ht="15.75" hidden="false" customHeight="false" outlineLevel="0" collapsed="false">
      <c r="L101" s="37"/>
    </row>
    <row r="102" customFormat="false" ht="15.75" hidden="false" customHeight="false" outlineLevel="0" collapsed="false">
      <c r="L102" s="37"/>
    </row>
    <row r="103" customFormat="false" ht="15.75" hidden="false" customHeight="false" outlineLevel="0" collapsed="false">
      <c r="L103" s="37"/>
    </row>
    <row r="104" customFormat="false" ht="15.75" hidden="false" customHeight="false" outlineLevel="0" collapsed="false">
      <c r="L104" s="37"/>
    </row>
    <row r="105" customFormat="false" ht="15.75" hidden="false" customHeight="false" outlineLevel="0" collapsed="false">
      <c r="L105" s="37"/>
    </row>
    <row r="106" customFormat="false" ht="15.75" hidden="false" customHeight="false" outlineLevel="0" collapsed="false">
      <c r="L106" s="37"/>
    </row>
    <row r="107" customFormat="false" ht="15.75" hidden="false" customHeight="false" outlineLevel="0" collapsed="false">
      <c r="L107" s="37"/>
    </row>
    <row r="108" customFormat="false" ht="15.75" hidden="false" customHeight="false" outlineLevel="0" collapsed="false">
      <c r="L108" s="37"/>
    </row>
    <row r="109" customFormat="false" ht="15.75" hidden="false" customHeight="false" outlineLevel="0" collapsed="false">
      <c r="L109" s="37"/>
    </row>
    <row r="110" customFormat="false" ht="15.75" hidden="false" customHeight="false" outlineLevel="0" collapsed="false">
      <c r="L110" s="37"/>
    </row>
    <row r="111" customFormat="false" ht="15.75" hidden="false" customHeight="false" outlineLevel="0" collapsed="false">
      <c r="L111" s="37"/>
    </row>
    <row r="112" customFormat="false" ht="15.75" hidden="false" customHeight="false" outlineLevel="0" collapsed="false">
      <c r="L112" s="37"/>
    </row>
    <row r="113" customFormat="false" ht="15.75" hidden="false" customHeight="false" outlineLevel="0" collapsed="false">
      <c r="L113" s="37"/>
    </row>
    <row r="114" customFormat="false" ht="15.75" hidden="false" customHeight="false" outlineLevel="0" collapsed="false">
      <c r="L114" s="37"/>
    </row>
    <row r="115" customFormat="false" ht="15.75" hidden="false" customHeight="false" outlineLevel="0" collapsed="false">
      <c r="L115" s="37"/>
    </row>
    <row r="116" customFormat="false" ht="15.75" hidden="false" customHeight="false" outlineLevel="0" collapsed="false">
      <c r="L116" s="37"/>
    </row>
    <row r="117" customFormat="false" ht="15.75" hidden="false" customHeight="false" outlineLevel="0" collapsed="false">
      <c r="L117" s="37"/>
    </row>
    <row r="118" customFormat="false" ht="15.75" hidden="false" customHeight="false" outlineLevel="0" collapsed="false">
      <c r="L118" s="37"/>
    </row>
    <row r="119" customFormat="false" ht="15.75" hidden="false" customHeight="false" outlineLevel="0" collapsed="false">
      <c r="L119" s="37"/>
    </row>
    <row r="120" customFormat="false" ht="15.75" hidden="false" customHeight="false" outlineLevel="0" collapsed="false">
      <c r="L120" s="37"/>
    </row>
    <row r="121" customFormat="false" ht="15.75" hidden="false" customHeight="false" outlineLevel="0" collapsed="false">
      <c r="L121" s="37"/>
    </row>
    <row r="122" customFormat="false" ht="15.75" hidden="false" customHeight="false" outlineLevel="0" collapsed="false">
      <c r="L122" s="37"/>
    </row>
    <row r="123" customFormat="false" ht="15.75" hidden="false" customHeight="false" outlineLevel="0" collapsed="false">
      <c r="L123" s="37"/>
    </row>
    <row r="124" customFormat="false" ht="15.75" hidden="false" customHeight="false" outlineLevel="0" collapsed="false">
      <c r="L124" s="37"/>
    </row>
    <row r="125" customFormat="false" ht="15.75" hidden="false" customHeight="false" outlineLevel="0" collapsed="false">
      <c r="L125" s="37"/>
    </row>
    <row r="126" customFormat="false" ht="15.75" hidden="false" customHeight="false" outlineLevel="0" collapsed="false">
      <c r="L126" s="37"/>
    </row>
    <row r="127" customFormat="false" ht="15.75" hidden="false" customHeight="false" outlineLevel="0" collapsed="false">
      <c r="L127" s="37"/>
    </row>
    <row r="128" customFormat="false" ht="15.75" hidden="false" customHeight="false" outlineLevel="0" collapsed="false">
      <c r="L128" s="37"/>
    </row>
    <row r="129" customFormat="false" ht="15.75" hidden="false" customHeight="false" outlineLevel="0" collapsed="false">
      <c r="L129" s="37"/>
    </row>
    <row r="130" customFormat="false" ht="15.75" hidden="false" customHeight="false" outlineLevel="0" collapsed="false">
      <c r="L130" s="37"/>
    </row>
    <row r="131" customFormat="false" ht="15.75" hidden="false" customHeight="false" outlineLevel="0" collapsed="false">
      <c r="L131" s="37"/>
    </row>
    <row r="132" customFormat="false" ht="15.75" hidden="false" customHeight="false" outlineLevel="0" collapsed="false">
      <c r="L132" s="37"/>
    </row>
    <row r="133" customFormat="false" ht="15.75" hidden="false" customHeight="false" outlineLevel="0" collapsed="false">
      <c r="L133" s="37"/>
    </row>
    <row r="134" customFormat="false" ht="15.75" hidden="false" customHeight="false" outlineLevel="0" collapsed="false">
      <c r="L134" s="37"/>
    </row>
    <row r="135" customFormat="false" ht="15.75" hidden="false" customHeight="false" outlineLevel="0" collapsed="false">
      <c r="L135" s="37"/>
    </row>
    <row r="136" customFormat="false" ht="15.75" hidden="false" customHeight="false" outlineLevel="0" collapsed="false">
      <c r="L136" s="37"/>
    </row>
    <row r="137" customFormat="false" ht="15.75" hidden="false" customHeight="false" outlineLevel="0" collapsed="false">
      <c r="L137" s="37"/>
    </row>
    <row r="138" customFormat="false" ht="15.75" hidden="false" customHeight="false" outlineLevel="0" collapsed="false">
      <c r="L138" s="37"/>
    </row>
    <row r="139" customFormat="false" ht="15.75" hidden="false" customHeight="false" outlineLevel="0" collapsed="false">
      <c r="L139" s="37"/>
    </row>
    <row r="140" customFormat="false" ht="15.75" hidden="false" customHeight="false" outlineLevel="0" collapsed="false">
      <c r="L140" s="37"/>
    </row>
    <row r="141" customFormat="false" ht="15.75" hidden="false" customHeight="false" outlineLevel="0" collapsed="false">
      <c r="L141" s="37"/>
    </row>
    <row r="142" customFormat="false" ht="15.75" hidden="false" customHeight="false" outlineLevel="0" collapsed="false">
      <c r="L142" s="37"/>
    </row>
    <row r="143" customFormat="false" ht="15.75" hidden="false" customHeight="false" outlineLevel="0" collapsed="false">
      <c r="L143" s="37"/>
    </row>
    <row r="144" customFormat="false" ht="15.75" hidden="false" customHeight="false" outlineLevel="0" collapsed="false">
      <c r="L144" s="37"/>
    </row>
    <row r="145" customFormat="false" ht="15.75" hidden="false" customHeight="false" outlineLevel="0" collapsed="false">
      <c r="L145" s="37"/>
    </row>
    <row r="146" customFormat="false" ht="15.75" hidden="false" customHeight="false" outlineLevel="0" collapsed="false">
      <c r="L146" s="37"/>
    </row>
    <row r="147" customFormat="false" ht="15.75" hidden="false" customHeight="false" outlineLevel="0" collapsed="false">
      <c r="L147" s="37"/>
    </row>
    <row r="148" customFormat="false" ht="15.75" hidden="false" customHeight="false" outlineLevel="0" collapsed="false">
      <c r="L148" s="37"/>
    </row>
    <row r="149" customFormat="false" ht="15.75" hidden="false" customHeight="false" outlineLevel="0" collapsed="false">
      <c r="L149" s="37"/>
    </row>
    <row r="150" customFormat="false" ht="15.75" hidden="false" customHeight="false" outlineLevel="0" collapsed="false">
      <c r="L150" s="37"/>
    </row>
    <row r="151" customFormat="false" ht="15.75" hidden="false" customHeight="false" outlineLevel="0" collapsed="false">
      <c r="L151" s="37"/>
    </row>
    <row r="152" customFormat="false" ht="15.75" hidden="false" customHeight="false" outlineLevel="0" collapsed="false">
      <c r="L152" s="37"/>
    </row>
    <row r="153" customFormat="false" ht="15.75" hidden="false" customHeight="false" outlineLevel="0" collapsed="false">
      <c r="L153" s="37"/>
    </row>
    <row r="154" customFormat="false" ht="15.75" hidden="false" customHeight="false" outlineLevel="0" collapsed="false">
      <c r="L154" s="37"/>
    </row>
    <row r="155" customFormat="false" ht="15.75" hidden="false" customHeight="false" outlineLevel="0" collapsed="false">
      <c r="L155" s="37"/>
    </row>
    <row r="156" customFormat="false" ht="15.75" hidden="false" customHeight="false" outlineLevel="0" collapsed="false">
      <c r="L156" s="37"/>
    </row>
    <row r="157" customFormat="false" ht="15.75" hidden="false" customHeight="false" outlineLevel="0" collapsed="false">
      <c r="L157" s="37"/>
    </row>
    <row r="158" customFormat="false" ht="15.75" hidden="false" customHeight="false" outlineLevel="0" collapsed="false">
      <c r="L158" s="37"/>
    </row>
    <row r="159" customFormat="false" ht="15.75" hidden="false" customHeight="false" outlineLevel="0" collapsed="false">
      <c r="L159" s="37"/>
    </row>
    <row r="160" customFormat="false" ht="15.75" hidden="false" customHeight="false" outlineLevel="0" collapsed="false">
      <c r="L160" s="37"/>
    </row>
    <row r="161" customFormat="false" ht="15.75" hidden="false" customHeight="false" outlineLevel="0" collapsed="false">
      <c r="L161" s="37"/>
    </row>
    <row r="162" customFormat="false" ht="15.75" hidden="false" customHeight="false" outlineLevel="0" collapsed="false">
      <c r="L162" s="37"/>
    </row>
    <row r="163" customFormat="false" ht="15.75" hidden="false" customHeight="false" outlineLevel="0" collapsed="false">
      <c r="L163" s="37"/>
    </row>
    <row r="164" customFormat="false" ht="15.75" hidden="false" customHeight="false" outlineLevel="0" collapsed="false">
      <c r="L164" s="37"/>
    </row>
    <row r="165" customFormat="false" ht="15.75" hidden="false" customHeight="false" outlineLevel="0" collapsed="false">
      <c r="L165" s="37"/>
    </row>
    <row r="166" customFormat="false" ht="15.75" hidden="false" customHeight="false" outlineLevel="0" collapsed="false">
      <c r="L166" s="37"/>
    </row>
    <row r="167" customFormat="false" ht="15.75" hidden="false" customHeight="false" outlineLevel="0" collapsed="false">
      <c r="L167" s="37"/>
    </row>
    <row r="168" customFormat="false" ht="15.75" hidden="false" customHeight="false" outlineLevel="0" collapsed="false">
      <c r="L168" s="37"/>
    </row>
    <row r="169" customFormat="false" ht="15.75" hidden="false" customHeight="false" outlineLevel="0" collapsed="false">
      <c r="L169" s="37"/>
    </row>
    <row r="170" customFormat="false" ht="15.75" hidden="false" customHeight="false" outlineLevel="0" collapsed="false">
      <c r="L170" s="37"/>
    </row>
    <row r="171" customFormat="false" ht="15.75" hidden="false" customHeight="false" outlineLevel="0" collapsed="false">
      <c r="L171" s="37"/>
    </row>
    <row r="172" customFormat="false" ht="15.75" hidden="false" customHeight="false" outlineLevel="0" collapsed="false">
      <c r="L172" s="37"/>
    </row>
    <row r="173" customFormat="false" ht="15.75" hidden="false" customHeight="false" outlineLevel="0" collapsed="false">
      <c r="L173" s="37"/>
    </row>
    <row r="174" customFormat="false" ht="15.75" hidden="false" customHeight="false" outlineLevel="0" collapsed="false">
      <c r="L174" s="37"/>
    </row>
    <row r="175" customFormat="false" ht="15.75" hidden="false" customHeight="false" outlineLevel="0" collapsed="false">
      <c r="L175" s="37"/>
    </row>
    <row r="176" customFormat="false" ht="15.75" hidden="false" customHeight="false" outlineLevel="0" collapsed="false">
      <c r="L176" s="37"/>
    </row>
    <row r="177" customFormat="false" ht="15.75" hidden="false" customHeight="false" outlineLevel="0" collapsed="false">
      <c r="L177" s="37"/>
    </row>
    <row r="178" customFormat="false" ht="15.75" hidden="false" customHeight="false" outlineLevel="0" collapsed="false">
      <c r="L178" s="37"/>
    </row>
    <row r="179" customFormat="false" ht="15.75" hidden="false" customHeight="false" outlineLevel="0" collapsed="false">
      <c r="L179" s="37"/>
    </row>
    <row r="180" customFormat="false" ht="15.75" hidden="false" customHeight="false" outlineLevel="0" collapsed="false">
      <c r="L180" s="37"/>
    </row>
    <row r="181" customFormat="false" ht="15.75" hidden="false" customHeight="false" outlineLevel="0" collapsed="false">
      <c r="L181" s="37"/>
    </row>
    <row r="182" customFormat="false" ht="15.75" hidden="false" customHeight="false" outlineLevel="0" collapsed="false">
      <c r="L182" s="37"/>
    </row>
    <row r="183" customFormat="false" ht="15.75" hidden="false" customHeight="false" outlineLevel="0" collapsed="false">
      <c r="L183" s="37"/>
    </row>
    <row r="184" customFormat="false" ht="15.75" hidden="false" customHeight="false" outlineLevel="0" collapsed="false">
      <c r="L184" s="37"/>
    </row>
    <row r="185" customFormat="false" ht="15.75" hidden="false" customHeight="false" outlineLevel="0" collapsed="false">
      <c r="L185" s="37"/>
    </row>
    <row r="186" customFormat="false" ht="15.75" hidden="false" customHeight="false" outlineLevel="0" collapsed="false">
      <c r="L186" s="37"/>
    </row>
    <row r="187" customFormat="false" ht="15.75" hidden="false" customHeight="false" outlineLevel="0" collapsed="false">
      <c r="L187" s="37"/>
    </row>
    <row r="188" customFormat="false" ht="15.75" hidden="false" customHeight="false" outlineLevel="0" collapsed="false">
      <c r="L188" s="37"/>
    </row>
    <row r="189" customFormat="false" ht="15.75" hidden="false" customHeight="false" outlineLevel="0" collapsed="false">
      <c r="L189" s="37"/>
    </row>
    <row r="190" customFormat="false" ht="15.75" hidden="false" customHeight="false" outlineLevel="0" collapsed="false">
      <c r="L190" s="37"/>
    </row>
    <row r="191" customFormat="false" ht="15.75" hidden="false" customHeight="false" outlineLevel="0" collapsed="false">
      <c r="L191" s="37"/>
    </row>
    <row r="192" customFormat="false" ht="15.75" hidden="false" customHeight="false" outlineLevel="0" collapsed="false">
      <c r="L192" s="37"/>
    </row>
    <row r="193" customFormat="false" ht="15.75" hidden="false" customHeight="false" outlineLevel="0" collapsed="false">
      <c r="L193" s="37"/>
    </row>
    <row r="194" customFormat="false" ht="15.75" hidden="false" customHeight="false" outlineLevel="0" collapsed="false">
      <c r="L194" s="37"/>
    </row>
    <row r="195" customFormat="false" ht="15.75" hidden="false" customHeight="false" outlineLevel="0" collapsed="false">
      <c r="L195" s="37"/>
    </row>
    <row r="196" customFormat="false" ht="15.75" hidden="false" customHeight="false" outlineLevel="0" collapsed="false">
      <c r="L196" s="37"/>
    </row>
    <row r="197" customFormat="false" ht="15.75" hidden="false" customHeight="false" outlineLevel="0" collapsed="false">
      <c r="L197" s="37"/>
    </row>
    <row r="198" customFormat="false" ht="15.75" hidden="false" customHeight="false" outlineLevel="0" collapsed="false">
      <c r="L198" s="37"/>
    </row>
    <row r="199" customFormat="false" ht="15.75" hidden="false" customHeight="false" outlineLevel="0" collapsed="false">
      <c r="L199" s="37"/>
    </row>
    <row r="200" customFormat="false" ht="15.75" hidden="false" customHeight="false" outlineLevel="0" collapsed="false">
      <c r="L200" s="37"/>
    </row>
    <row r="201" customFormat="false" ht="15.75" hidden="false" customHeight="false" outlineLevel="0" collapsed="false">
      <c r="L201" s="37"/>
    </row>
    <row r="202" customFormat="false" ht="15.75" hidden="false" customHeight="false" outlineLevel="0" collapsed="false">
      <c r="L202" s="37"/>
    </row>
    <row r="203" customFormat="false" ht="15.75" hidden="false" customHeight="false" outlineLevel="0" collapsed="false">
      <c r="L203" s="37"/>
    </row>
    <row r="204" customFormat="false" ht="15.75" hidden="false" customHeight="false" outlineLevel="0" collapsed="false">
      <c r="L204" s="37"/>
    </row>
    <row r="205" customFormat="false" ht="15.75" hidden="false" customHeight="false" outlineLevel="0" collapsed="false">
      <c r="L205" s="37"/>
    </row>
    <row r="206" customFormat="false" ht="15.75" hidden="false" customHeight="false" outlineLevel="0" collapsed="false">
      <c r="L206" s="37"/>
    </row>
    <row r="207" customFormat="false" ht="15.75" hidden="false" customHeight="false" outlineLevel="0" collapsed="false">
      <c r="L207" s="37"/>
    </row>
    <row r="208" customFormat="false" ht="15.75" hidden="false" customHeight="false" outlineLevel="0" collapsed="false">
      <c r="L208" s="37"/>
    </row>
    <row r="209" customFormat="false" ht="15.75" hidden="false" customHeight="false" outlineLevel="0" collapsed="false">
      <c r="L209" s="37"/>
    </row>
    <row r="210" customFormat="false" ht="15.75" hidden="false" customHeight="false" outlineLevel="0" collapsed="false">
      <c r="L210" s="37"/>
    </row>
    <row r="211" customFormat="false" ht="15.75" hidden="false" customHeight="false" outlineLevel="0" collapsed="false">
      <c r="L211" s="37"/>
    </row>
    <row r="212" customFormat="false" ht="15.75" hidden="false" customHeight="false" outlineLevel="0" collapsed="false">
      <c r="L212" s="37"/>
    </row>
    <row r="213" customFormat="false" ht="15.75" hidden="false" customHeight="false" outlineLevel="0" collapsed="false">
      <c r="L213" s="37"/>
    </row>
    <row r="214" customFormat="false" ht="15.75" hidden="false" customHeight="false" outlineLevel="0" collapsed="false">
      <c r="L214" s="37"/>
    </row>
    <row r="215" customFormat="false" ht="15.75" hidden="false" customHeight="false" outlineLevel="0" collapsed="false">
      <c r="L215" s="37"/>
    </row>
    <row r="216" customFormat="false" ht="15.75" hidden="false" customHeight="false" outlineLevel="0" collapsed="false">
      <c r="L216" s="37"/>
    </row>
    <row r="217" customFormat="false" ht="15.75" hidden="false" customHeight="false" outlineLevel="0" collapsed="false">
      <c r="L217" s="37"/>
    </row>
    <row r="218" customFormat="false" ht="15.75" hidden="false" customHeight="false" outlineLevel="0" collapsed="false">
      <c r="L218" s="37"/>
    </row>
    <row r="219" customFormat="false" ht="15.75" hidden="false" customHeight="false" outlineLevel="0" collapsed="false">
      <c r="L219" s="37"/>
    </row>
    <row r="220" customFormat="false" ht="15.75" hidden="false" customHeight="false" outlineLevel="0" collapsed="false">
      <c r="L220" s="37"/>
    </row>
    <row r="221" customFormat="false" ht="15.75" hidden="false" customHeight="false" outlineLevel="0" collapsed="false">
      <c r="L221" s="37"/>
    </row>
    <row r="222" customFormat="false" ht="15.75" hidden="false" customHeight="false" outlineLevel="0" collapsed="false">
      <c r="L222" s="37"/>
    </row>
    <row r="223" customFormat="false" ht="15.75" hidden="false" customHeight="false" outlineLevel="0" collapsed="false">
      <c r="L223" s="37"/>
    </row>
    <row r="224" customFormat="false" ht="15.75" hidden="false" customHeight="false" outlineLevel="0" collapsed="false">
      <c r="L224" s="37"/>
    </row>
    <row r="225" customFormat="false" ht="15.75" hidden="false" customHeight="false" outlineLevel="0" collapsed="false">
      <c r="L225" s="37"/>
    </row>
    <row r="226" customFormat="false" ht="15.75" hidden="false" customHeight="false" outlineLevel="0" collapsed="false">
      <c r="L226" s="37"/>
    </row>
    <row r="227" customFormat="false" ht="15.75" hidden="false" customHeight="false" outlineLevel="0" collapsed="false">
      <c r="L227" s="37"/>
    </row>
    <row r="228" customFormat="false" ht="15.75" hidden="false" customHeight="false" outlineLevel="0" collapsed="false">
      <c r="L228" s="37"/>
    </row>
    <row r="229" customFormat="false" ht="15.75" hidden="false" customHeight="false" outlineLevel="0" collapsed="false">
      <c r="L229" s="37"/>
    </row>
    <row r="230" customFormat="false" ht="15.75" hidden="false" customHeight="false" outlineLevel="0" collapsed="false">
      <c r="L230" s="37"/>
    </row>
    <row r="231" customFormat="false" ht="15.75" hidden="false" customHeight="false" outlineLevel="0" collapsed="false">
      <c r="L231" s="37"/>
    </row>
    <row r="232" customFormat="false" ht="15.75" hidden="false" customHeight="false" outlineLevel="0" collapsed="false">
      <c r="L232" s="37"/>
    </row>
    <row r="233" customFormat="false" ht="15.75" hidden="false" customHeight="false" outlineLevel="0" collapsed="false">
      <c r="L233" s="37"/>
    </row>
    <row r="234" customFormat="false" ht="15.75" hidden="false" customHeight="false" outlineLevel="0" collapsed="false">
      <c r="L234" s="37"/>
    </row>
    <row r="235" customFormat="false" ht="15.75" hidden="false" customHeight="false" outlineLevel="0" collapsed="false">
      <c r="L235" s="37"/>
    </row>
    <row r="236" customFormat="false" ht="15.75" hidden="false" customHeight="false" outlineLevel="0" collapsed="false">
      <c r="L236" s="37"/>
    </row>
    <row r="237" customFormat="false" ht="15.75" hidden="false" customHeight="false" outlineLevel="0" collapsed="false">
      <c r="L237" s="37"/>
    </row>
    <row r="238" customFormat="false" ht="15.75" hidden="false" customHeight="false" outlineLevel="0" collapsed="false">
      <c r="L238" s="37"/>
    </row>
    <row r="239" customFormat="false" ht="15.75" hidden="false" customHeight="false" outlineLevel="0" collapsed="false">
      <c r="L239" s="37"/>
    </row>
    <row r="240" customFormat="false" ht="15.75" hidden="false" customHeight="false" outlineLevel="0" collapsed="false">
      <c r="L240" s="37"/>
    </row>
    <row r="241" customFormat="false" ht="15.75" hidden="false" customHeight="false" outlineLevel="0" collapsed="false">
      <c r="L241" s="37"/>
    </row>
    <row r="242" customFormat="false" ht="15.75" hidden="false" customHeight="false" outlineLevel="0" collapsed="false">
      <c r="L242" s="37"/>
    </row>
    <row r="243" customFormat="false" ht="15.75" hidden="false" customHeight="false" outlineLevel="0" collapsed="false">
      <c r="L243" s="37"/>
    </row>
    <row r="244" customFormat="false" ht="15.75" hidden="false" customHeight="false" outlineLevel="0" collapsed="false">
      <c r="L244" s="37"/>
    </row>
    <row r="245" customFormat="false" ht="15.75" hidden="false" customHeight="false" outlineLevel="0" collapsed="false">
      <c r="L245" s="37"/>
    </row>
    <row r="246" customFormat="false" ht="15.75" hidden="false" customHeight="false" outlineLevel="0" collapsed="false">
      <c r="L246" s="37"/>
    </row>
    <row r="247" customFormat="false" ht="15.75" hidden="false" customHeight="false" outlineLevel="0" collapsed="false">
      <c r="L247" s="37"/>
    </row>
    <row r="248" customFormat="false" ht="15.75" hidden="false" customHeight="false" outlineLevel="0" collapsed="false">
      <c r="L248" s="37"/>
    </row>
    <row r="249" customFormat="false" ht="15.75" hidden="false" customHeight="false" outlineLevel="0" collapsed="false">
      <c r="L249" s="37"/>
    </row>
    <row r="250" customFormat="false" ht="15.75" hidden="false" customHeight="false" outlineLevel="0" collapsed="false">
      <c r="L250" s="37"/>
    </row>
    <row r="251" customFormat="false" ht="15.75" hidden="false" customHeight="false" outlineLevel="0" collapsed="false">
      <c r="L251" s="37"/>
    </row>
    <row r="252" customFormat="false" ht="15.75" hidden="false" customHeight="false" outlineLevel="0" collapsed="false">
      <c r="L252" s="37"/>
    </row>
    <row r="253" customFormat="false" ht="15.75" hidden="false" customHeight="false" outlineLevel="0" collapsed="false">
      <c r="L253" s="37"/>
    </row>
    <row r="254" customFormat="false" ht="15.75" hidden="false" customHeight="false" outlineLevel="0" collapsed="false">
      <c r="L254" s="37"/>
    </row>
    <row r="255" customFormat="false" ht="15.75" hidden="false" customHeight="false" outlineLevel="0" collapsed="false">
      <c r="L255" s="37"/>
    </row>
    <row r="256" customFormat="false" ht="15.75" hidden="false" customHeight="false" outlineLevel="0" collapsed="false">
      <c r="L256" s="37"/>
    </row>
    <row r="257" customFormat="false" ht="15.75" hidden="false" customHeight="false" outlineLevel="0" collapsed="false">
      <c r="L257" s="37"/>
    </row>
    <row r="258" customFormat="false" ht="15.75" hidden="false" customHeight="false" outlineLevel="0" collapsed="false">
      <c r="L258" s="37"/>
    </row>
    <row r="259" customFormat="false" ht="15.75" hidden="false" customHeight="false" outlineLevel="0" collapsed="false">
      <c r="L259" s="37"/>
    </row>
    <row r="260" customFormat="false" ht="15.75" hidden="false" customHeight="false" outlineLevel="0" collapsed="false">
      <c r="L260" s="37"/>
    </row>
    <row r="261" customFormat="false" ht="15.75" hidden="false" customHeight="false" outlineLevel="0" collapsed="false">
      <c r="L261" s="37"/>
    </row>
    <row r="262" customFormat="false" ht="15.75" hidden="false" customHeight="false" outlineLevel="0" collapsed="false">
      <c r="L262" s="37"/>
    </row>
    <row r="263" customFormat="false" ht="15.75" hidden="false" customHeight="false" outlineLevel="0" collapsed="false">
      <c r="L263" s="37"/>
    </row>
    <row r="264" customFormat="false" ht="15.75" hidden="false" customHeight="false" outlineLevel="0" collapsed="false">
      <c r="L264" s="37"/>
    </row>
    <row r="265" customFormat="false" ht="15.75" hidden="false" customHeight="false" outlineLevel="0" collapsed="false">
      <c r="L265" s="37"/>
    </row>
    <row r="266" customFormat="false" ht="15.75" hidden="false" customHeight="false" outlineLevel="0" collapsed="false">
      <c r="L266" s="37"/>
    </row>
    <row r="267" customFormat="false" ht="15.75" hidden="false" customHeight="false" outlineLevel="0" collapsed="false">
      <c r="L267" s="37"/>
    </row>
    <row r="268" customFormat="false" ht="15.75" hidden="false" customHeight="false" outlineLevel="0" collapsed="false">
      <c r="L268" s="37"/>
    </row>
    <row r="269" customFormat="false" ht="15.75" hidden="false" customHeight="false" outlineLevel="0" collapsed="false">
      <c r="L269" s="37"/>
    </row>
    <row r="270" customFormat="false" ht="15.75" hidden="false" customHeight="false" outlineLevel="0" collapsed="false">
      <c r="L270" s="37"/>
    </row>
    <row r="271" customFormat="false" ht="15.75" hidden="false" customHeight="false" outlineLevel="0" collapsed="false">
      <c r="L271" s="37"/>
    </row>
    <row r="272" customFormat="false" ht="15.75" hidden="false" customHeight="false" outlineLevel="0" collapsed="false">
      <c r="L272" s="37"/>
    </row>
    <row r="273" customFormat="false" ht="15.75" hidden="false" customHeight="false" outlineLevel="0" collapsed="false">
      <c r="L273" s="37"/>
    </row>
    <row r="274" customFormat="false" ht="15.75" hidden="false" customHeight="false" outlineLevel="0" collapsed="false">
      <c r="L274" s="37"/>
    </row>
    <row r="275" customFormat="false" ht="15.75" hidden="false" customHeight="false" outlineLevel="0" collapsed="false">
      <c r="L275" s="37"/>
    </row>
    <row r="276" customFormat="false" ht="15.75" hidden="false" customHeight="false" outlineLevel="0" collapsed="false">
      <c r="L276" s="37"/>
    </row>
    <row r="277" customFormat="false" ht="15.75" hidden="false" customHeight="false" outlineLevel="0" collapsed="false">
      <c r="L277" s="37"/>
    </row>
    <row r="278" customFormat="false" ht="15.75" hidden="false" customHeight="false" outlineLevel="0" collapsed="false">
      <c r="L278" s="37"/>
    </row>
    <row r="279" customFormat="false" ht="15.75" hidden="false" customHeight="false" outlineLevel="0" collapsed="false">
      <c r="L279" s="37"/>
    </row>
    <row r="280" customFormat="false" ht="15.75" hidden="false" customHeight="false" outlineLevel="0" collapsed="false">
      <c r="L280" s="37"/>
    </row>
    <row r="281" customFormat="false" ht="15.75" hidden="false" customHeight="false" outlineLevel="0" collapsed="false">
      <c r="L281" s="37"/>
    </row>
    <row r="282" customFormat="false" ht="15.75" hidden="false" customHeight="false" outlineLevel="0" collapsed="false">
      <c r="L282" s="37"/>
    </row>
    <row r="283" customFormat="false" ht="15.75" hidden="false" customHeight="false" outlineLevel="0" collapsed="false">
      <c r="L283" s="37"/>
    </row>
    <row r="284" customFormat="false" ht="15.75" hidden="false" customHeight="false" outlineLevel="0" collapsed="false">
      <c r="L284" s="37"/>
    </row>
    <row r="285" customFormat="false" ht="15.75" hidden="false" customHeight="false" outlineLevel="0" collapsed="false">
      <c r="L285" s="37"/>
    </row>
    <row r="286" customFormat="false" ht="15.75" hidden="false" customHeight="false" outlineLevel="0" collapsed="false">
      <c r="L286" s="37"/>
    </row>
    <row r="287" customFormat="false" ht="15.75" hidden="false" customHeight="false" outlineLevel="0" collapsed="false">
      <c r="L287" s="37"/>
    </row>
    <row r="288" customFormat="false" ht="15.75" hidden="false" customHeight="false" outlineLevel="0" collapsed="false">
      <c r="L288" s="37"/>
    </row>
    <row r="289" customFormat="false" ht="15.75" hidden="false" customHeight="false" outlineLevel="0" collapsed="false">
      <c r="L289" s="37"/>
    </row>
    <row r="290" customFormat="false" ht="15.75" hidden="false" customHeight="false" outlineLevel="0" collapsed="false">
      <c r="L290" s="37"/>
    </row>
    <row r="291" customFormat="false" ht="15.75" hidden="false" customHeight="false" outlineLevel="0" collapsed="false">
      <c r="L291" s="37"/>
    </row>
    <row r="292" customFormat="false" ht="15.75" hidden="false" customHeight="false" outlineLevel="0" collapsed="false">
      <c r="L292" s="37"/>
    </row>
    <row r="293" customFormat="false" ht="15.75" hidden="false" customHeight="false" outlineLevel="0" collapsed="false">
      <c r="L293" s="37"/>
    </row>
    <row r="294" customFormat="false" ht="15.75" hidden="false" customHeight="false" outlineLevel="0" collapsed="false">
      <c r="L294" s="37"/>
    </row>
    <row r="295" customFormat="false" ht="15.75" hidden="false" customHeight="false" outlineLevel="0" collapsed="false">
      <c r="L295" s="37"/>
    </row>
    <row r="296" customFormat="false" ht="15.75" hidden="false" customHeight="false" outlineLevel="0" collapsed="false">
      <c r="L296" s="37"/>
    </row>
    <row r="297" customFormat="false" ht="15.75" hidden="false" customHeight="false" outlineLevel="0" collapsed="false">
      <c r="L297" s="37"/>
    </row>
    <row r="298" customFormat="false" ht="15.75" hidden="false" customHeight="false" outlineLevel="0" collapsed="false">
      <c r="L298" s="37"/>
    </row>
    <row r="299" customFormat="false" ht="15.75" hidden="false" customHeight="false" outlineLevel="0" collapsed="false">
      <c r="L299" s="37"/>
    </row>
    <row r="300" customFormat="false" ht="15.75" hidden="false" customHeight="false" outlineLevel="0" collapsed="false">
      <c r="L300" s="37"/>
    </row>
    <row r="301" customFormat="false" ht="15.75" hidden="false" customHeight="false" outlineLevel="0" collapsed="false">
      <c r="L301" s="37"/>
    </row>
    <row r="302" customFormat="false" ht="15.75" hidden="false" customHeight="false" outlineLevel="0" collapsed="false">
      <c r="L302" s="37"/>
    </row>
    <row r="303" customFormat="false" ht="15.75" hidden="false" customHeight="false" outlineLevel="0" collapsed="false">
      <c r="L303" s="37"/>
    </row>
    <row r="304" customFormat="false" ht="15.75" hidden="false" customHeight="false" outlineLevel="0" collapsed="false">
      <c r="L304" s="37"/>
    </row>
    <row r="305" customFormat="false" ht="15.75" hidden="false" customHeight="false" outlineLevel="0" collapsed="false">
      <c r="L305" s="37"/>
    </row>
    <row r="306" customFormat="false" ht="15.75" hidden="false" customHeight="false" outlineLevel="0" collapsed="false">
      <c r="L306" s="37"/>
    </row>
    <row r="307" customFormat="false" ht="15.75" hidden="false" customHeight="false" outlineLevel="0" collapsed="false">
      <c r="L307" s="37"/>
    </row>
    <row r="308" customFormat="false" ht="15.75" hidden="false" customHeight="false" outlineLevel="0" collapsed="false">
      <c r="L308" s="37"/>
    </row>
    <row r="309" customFormat="false" ht="15.75" hidden="false" customHeight="false" outlineLevel="0" collapsed="false">
      <c r="L309" s="37"/>
    </row>
    <row r="310" customFormat="false" ht="15.75" hidden="false" customHeight="false" outlineLevel="0" collapsed="false">
      <c r="L310" s="37"/>
    </row>
    <row r="311" customFormat="false" ht="15.75" hidden="false" customHeight="false" outlineLevel="0" collapsed="false">
      <c r="L311" s="37"/>
    </row>
    <row r="312" customFormat="false" ht="15.75" hidden="false" customHeight="false" outlineLevel="0" collapsed="false">
      <c r="L312" s="37"/>
    </row>
    <row r="313" customFormat="false" ht="15.75" hidden="false" customHeight="false" outlineLevel="0" collapsed="false">
      <c r="L313" s="37"/>
    </row>
    <row r="314" customFormat="false" ht="15.75" hidden="false" customHeight="false" outlineLevel="0" collapsed="false">
      <c r="L314" s="37"/>
    </row>
    <row r="315" customFormat="false" ht="15.75" hidden="false" customHeight="false" outlineLevel="0" collapsed="false">
      <c r="L315" s="37"/>
    </row>
    <row r="316" customFormat="false" ht="15.75" hidden="false" customHeight="false" outlineLevel="0" collapsed="false">
      <c r="L316" s="37"/>
    </row>
    <row r="317" customFormat="false" ht="15.75" hidden="false" customHeight="false" outlineLevel="0" collapsed="false">
      <c r="L317" s="37"/>
    </row>
    <row r="318" customFormat="false" ht="15.75" hidden="false" customHeight="false" outlineLevel="0" collapsed="false">
      <c r="L318" s="37"/>
    </row>
    <row r="319" customFormat="false" ht="15.75" hidden="false" customHeight="false" outlineLevel="0" collapsed="false">
      <c r="L319" s="37"/>
    </row>
    <row r="320" customFormat="false" ht="15.75" hidden="false" customHeight="false" outlineLevel="0" collapsed="false">
      <c r="L320" s="37"/>
    </row>
    <row r="321" customFormat="false" ht="15.75" hidden="false" customHeight="false" outlineLevel="0" collapsed="false">
      <c r="L321" s="37"/>
    </row>
    <row r="322" customFormat="false" ht="15.75" hidden="false" customHeight="false" outlineLevel="0" collapsed="false">
      <c r="L322" s="37"/>
    </row>
    <row r="323" customFormat="false" ht="15.75" hidden="false" customHeight="false" outlineLevel="0" collapsed="false">
      <c r="L323" s="37"/>
    </row>
    <row r="324" customFormat="false" ht="15.75" hidden="false" customHeight="false" outlineLevel="0" collapsed="false">
      <c r="L324" s="37"/>
    </row>
    <row r="325" customFormat="false" ht="15.75" hidden="false" customHeight="false" outlineLevel="0" collapsed="false">
      <c r="L325" s="37"/>
    </row>
    <row r="326" customFormat="false" ht="15.75" hidden="false" customHeight="false" outlineLevel="0" collapsed="false">
      <c r="L326" s="37"/>
    </row>
    <row r="327" customFormat="false" ht="15.75" hidden="false" customHeight="false" outlineLevel="0" collapsed="false">
      <c r="L327" s="37"/>
    </row>
    <row r="328" customFormat="false" ht="15.75" hidden="false" customHeight="false" outlineLevel="0" collapsed="false">
      <c r="L328" s="37"/>
    </row>
    <row r="329" customFormat="false" ht="15.75" hidden="false" customHeight="false" outlineLevel="0" collapsed="false">
      <c r="L329" s="37"/>
    </row>
    <row r="330" customFormat="false" ht="15.75" hidden="false" customHeight="false" outlineLevel="0" collapsed="false">
      <c r="L330" s="37"/>
    </row>
    <row r="331" customFormat="false" ht="15.75" hidden="false" customHeight="false" outlineLevel="0" collapsed="false">
      <c r="L331" s="37"/>
    </row>
    <row r="332" customFormat="false" ht="15.75" hidden="false" customHeight="false" outlineLevel="0" collapsed="false">
      <c r="L332" s="37"/>
    </row>
    <row r="333" customFormat="false" ht="15.75" hidden="false" customHeight="false" outlineLevel="0" collapsed="false">
      <c r="L333" s="37"/>
    </row>
    <row r="334" customFormat="false" ht="15.75" hidden="false" customHeight="false" outlineLevel="0" collapsed="false">
      <c r="L334" s="37"/>
    </row>
    <row r="335" customFormat="false" ht="15.75" hidden="false" customHeight="false" outlineLevel="0" collapsed="false">
      <c r="L335" s="37"/>
    </row>
    <row r="336" customFormat="false" ht="15.75" hidden="false" customHeight="false" outlineLevel="0" collapsed="false">
      <c r="L336" s="37"/>
    </row>
    <row r="337" customFormat="false" ht="15.75" hidden="false" customHeight="false" outlineLevel="0" collapsed="false">
      <c r="L337" s="37"/>
    </row>
    <row r="338" customFormat="false" ht="15.75" hidden="false" customHeight="false" outlineLevel="0" collapsed="false">
      <c r="L338" s="37"/>
    </row>
    <row r="339" customFormat="false" ht="15.75" hidden="false" customHeight="false" outlineLevel="0" collapsed="false">
      <c r="L339" s="37"/>
    </row>
    <row r="340" customFormat="false" ht="15.75" hidden="false" customHeight="false" outlineLevel="0" collapsed="false">
      <c r="L340" s="37"/>
    </row>
    <row r="341" customFormat="false" ht="15.75" hidden="false" customHeight="false" outlineLevel="0" collapsed="false">
      <c r="L341" s="37"/>
    </row>
    <row r="342" customFormat="false" ht="15.75" hidden="false" customHeight="false" outlineLevel="0" collapsed="false">
      <c r="L342" s="37"/>
    </row>
    <row r="343" customFormat="false" ht="15.75" hidden="false" customHeight="false" outlineLevel="0" collapsed="false">
      <c r="L343" s="37"/>
    </row>
    <row r="344" customFormat="false" ht="15.75" hidden="false" customHeight="false" outlineLevel="0" collapsed="false">
      <c r="L344" s="37"/>
    </row>
    <row r="345" customFormat="false" ht="15.75" hidden="false" customHeight="false" outlineLevel="0" collapsed="false">
      <c r="L345" s="37"/>
    </row>
    <row r="346" customFormat="false" ht="15.75" hidden="false" customHeight="false" outlineLevel="0" collapsed="false">
      <c r="L346" s="37"/>
    </row>
    <row r="347" customFormat="false" ht="15.75" hidden="false" customHeight="false" outlineLevel="0" collapsed="false">
      <c r="L347" s="37"/>
    </row>
    <row r="348" customFormat="false" ht="15.75" hidden="false" customHeight="false" outlineLevel="0" collapsed="false">
      <c r="L348" s="37"/>
    </row>
    <row r="349" customFormat="false" ht="15.75" hidden="false" customHeight="false" outlineLevel="0" collapsed="false">
      <c r="L349" s="37"/>
    </row>
    <row r="350" customFormat="false" ht="15.75" hidden="false" customHeight="false" outlineLevel="0" collapsed="false">
      <c r="L350" s="37"/>
    </row>
    <row r="351" customFormat="false" ht="15.75" hidden="false" customHeight="false" outlineLevel="0" collapsed="false">
      <c r="L351" s="37"/>
    </row>
    <row r="352" customFormat="false" ht="15.75" hidden="false" customHeight="false" outlineLevel="0" collapsed="false">
      <c r="L352" s="37"/>
    </row>
    <row r="353" customFormat="false" ht="15.75" hidden="false" customHeight="false" outlineLevel="0" collapsed="false">
      <c r="L353" s="37"/>
    </row>
    <row r="354" customFormat="false" ht="15.75" hidden="false" customHeight="false" outlineLevel="0" collapsed="false">
      <c r="L354" s="37"/>
    </row>
    <row r="355" customFormat="false" ht="15.75" hidden="false" customHeight="false" outlineLevel="0" collapsed="false">
      <c r="L355" s="37"/>
    </row>
    <row r="356" customFormat="false" ht="15.75" hidden="false" customHeight="false" outlineLevel="0" collapsed="false">
      <c r="L356" s="37"/>
    </row>
    <row r="357" customFormat="false" ht="15.75" hidden="false" customHeight="false" outlineLevel="0" collapsed="false">
      <c r="L357" s="37"/>
    </row>
    <row r="358" customFormat="false" ht="15.75" hidden="false" customHeight="false" outlineLevel="0" collapsed="false">
      <c r="L358" s="37"/>
    </row>
    <row r="359" customFormat="false" ht="15.75" hidden="false" customHeight="false" outlineLevel="0" collapsed="false">
      <c r="L359" s="37"/>
    </row>
    <row r="360" customFormat="false" ht="15.75" hidden="false" customHeight="false" outlineLevel="0" collapsed="false">
      <c r="L360" s="37"/>
    </row>
    <row r="361" customFormat="false" ht="15.75" hidden="false" customHeight="false" outlineLevel="0" collapsed="false">
      <c r="L361" s="37"/>
    </row>
    <row r="362" customFormat="false" ht="15.75" hidden="false" customHeight="false" outlineLevel="0" collapsed="false">
      <c r="L362" s="37"/>
    </row>
    <row r="363" customFormat="false" ht="15.75" hidden="false" customHeight="false" outlineLevel="0" collapsed="false">
      <c r="L363" s="37"/>
    </row>
    <row r="364" customFormat="false" ht="15.75" hidden="false" customHeight="false" outlineLevel="0" collapsed="false">
      <c r="L364" s="37"/>
    </row>
    <row r="365" customFormat="false" ht="15.75" hidden="false" customHeight="false" outlineLevel="0" collapsed="false">
      <c r="L365" s="37"/>
    </row>
    <row r="366" customFormat="false" ht="15.75" hidden="false" customHeight="false" outlineLevel="0" collapsed="false">
      <c r="L366" s="37"/>
    </row>
    <row r="367" customFormat="false" ht="15.75" hidden="false" customHeight="false" outlineLevel="0" collapsed="false">
      <c r="L367" s="37"/>
    </row>
    <row r="368" customFormat="false" ht="15.75" hidden="false" customHeight="false" outlineLevel="0" collapsed="false">
      <c r="L368" s="37"/>
    </row>
    <row r="369" customFormat="false" ht="15.75" hidden="false" customHeight="false" outlineLevel="0" collapsed="false">
      <c r="L369" s="37"/>
    </row>
    <row r="370" customFormat="false" ht="15.75" hidden="false" customHeight="false" outlineLevel="0" collapsed="false">
      <c r="L370" s="37"/>
    </row>
    <row r="371" customFormat="false" ht="15.75" hidden="false" customHeight="false" outlineLevel="0" collapsed="false">
      <c r="L371" s="37"/>
    </row>
    <row r="372" customFormat="false" ht="15.75" hidden="false" customHeight="false" outlineLevel="0" collapsed="false">
      <c r="L372" s="37"/>
    </row>
    <row r="373" customFormat="false" ht="15.75" hidden="false" customHeight="false" outlineLevel="0" collapsed="false">
      <c r="L373" s="37"/>
    </row>
    <row r="374" customFormat="false" ht="15.75" hidden="false" customHeight="false" outlineLevel="0" collapsed="false">
      <c r="L374" s="37"/>
    </row>
    <row r="375" customFormat="false" ht="15.75" hidden="false" customHeight="false" outlineLevel="0" collapsed="false">
      <c r="L375" s="37"/>
    </row>
    <row r="376" customFormat="false" ht="15.75" hidden="false" customHeight="false" outlineLevel="0" collapsed="false">
      <c r="L376" s="37"/>
    </row>
    <row r="377" customFormat="false" ht="15.75" hidden="false" customHeight="false" outlineLevel="0" collapsed="false">
      <c r="L377" s="37"/>
    </row>
    <row r="378" customFormat="false" ht="15.75" hidden="false" customHeight="false" outlineLevel="0" collapsed="false">
      <c r="L378" s="37"/>
    </row>
    <row r="379" customFormat="false" ht="15.75" hidden="false" customHeight="false" outlineLevel="0" collapsed="false">
      <c r="L379" s="37"/>
    </row>
    <row r="380" customFormat="false" ht="15.75" hidden="false" customHeight="false" outlineLevel="0" collapsed="false">
      <c r="L380" s="37"/>
    </row>
    <row r="381" customFormat="false" ht="15.75" hidden="false" customHeight="false" outlineLevel="0" collapsed="false">
      <c r="L381" s="37"/>
    </row>
    <row r="382" customFormat="false" ht="15.75" hidden="false" customHeight="false" outlineLevel="0" collapsed="false">
      <c r="L382" s="37"/>
    </row>
    <row r="383" customFormat="false" ht="15.75" hidden="false" customHeight="false" outlineLevel="0" collapsed="false">
      <c r="L383" s="37"/>
    </row>
    <row r="384" customFormat="false" ht="15.75" hidden="false" customHeight="false" outlineLevel="0" collapsed="false">
      <c r="L384" s="37"/>
    </row>
    <row r="385" customFormat="false" ht="15.75" hidden="false" customHeight="false" outlineLevel="0" collapsed="false">
      <c r="L385" s="37"/>
    </row>
    <row r="386" customFormat="false" ht="15.75" hidden="false" customHeight="false" outlineLevel="0" collapsed="false">
      <c r="L386" s="37"/>
    </row>
    <row r="387" customFormat="false" ht="15.75" hidden="false" customHeight="false" outlineLevel="0" collapsed="false">
      <c r="L387" s="37"/>
    </row>
    <row r="388" customFormat="false" ht="15.75" hidden="false" customHeight="false" outlineLevel="0" collapsed="false">
      <c r="L388" s="37"/>
    </row>
    <row r="389" customFormat="false" ht="15.75" hidden="false" customHeight="false" outlineLevel="0" collapsed="false">
      <c r="L389" s="37"/>
    </row>
    <row r="390" customFormat="false" ht="15.75" hidden="false" customHeight="false" outlineLevel="0" collapsed="false">
      <c r="L390" s="37"/>
    </row>
    <row r="391" customFormat="false" ht="15.75" hidden="false" customHeight="false" outlineLevel="0" collapsed="false">
      <c r="L391" s="37"/>
    </row>
    <row r="392" customFormat="false" ht="15.75" hidden="false" customHeight="false" outlineLevel="0" collapsed="false">
      <c r="L392" s="37"/>
    </row>
    <row r="393" customFormat="false" ht="15.75" hidden="false" customHeight="false" outlineLevel="0" collapsed="false">
      <c r="L393" s="37"/>
    </row>
    <row r="394" customFormat="false" ht="15.75" hidden="false" customHeight="false" outlineLevel="0" collapsed="false">
      <c r="L394" s="37"/>
    </row>
    <row r="395" customFormat="false" ht="15.75" hidden="false" customHeight="false" outlineLevel="0" collapsed="false">
      <c r="L395" s="37"/>
    </row>
    <row r="396" customFormat="false" ht="15.75" hidden="false" customHeight="false" outlineLevel="0" collapsed="false">
      <c r="L396" s="37"/>
    </row>
    <row r="397" customFormat="false" ht="15.75" hidden="false" customHeight="false" outlineLevel="0" collapsed="false">
      <c r="L397" s="37"/>
    </row>
    <row r="398" customFormat="false" ht="15.75" hidden="false" customHeight="false" outlineLevel="0" collapsed="false">
      <c r="L398" s="37"/>
    </row>
    <row r="399" customFormat="false" ht="15.75" hidden="false" customHeight="false" outlineLevel="0" collapsed="false">
      <c r="L399" s="37"/>
    </row>
    <row r="400" customFormat="false" ht="15.75" hidden="false" customHeight="false" outlineLevel="0" collapsed="false">
      <c r="L400" s="37"/>
    </row>
    <row r="401" customFormat="false" ht="15.75" hidden="false" customHeight="false" outlineLevel="0" collapsed="false">
      <c r="L401" s="37"/>
    </row>
    <row r="402" customFormat="false" ht="15.75" hidden="false" customHeight="false" outlineLevel="0" collapsed="false">
      <c r="L402" s="37"/>
    </row>
    <row r="403" customFormat="false" ht="15.75" hidden="false" customHeight="false" outlineLevel="0" collapsed="false">
      <c r="L403" s="37"/>
    </row>
    <row r="404" customFormat="false" ht="15.75" hidden="false" customHeight="false" outlineLevel="0" collapsed="false">
      <c r="L404" s="37"/>
    </row>
    <row r="405" customFormat="false" ht="15.75" hidden="false" customHeight="false" outlineLevel="0" collapsed="false">
      <c r="L405" s="37"/>
    </row>
    <row r="406" customFormat="false" ht="15.75" hidden="false" customHeight="false" outlineLevel="0" collapsed="false">
      <c r="L406" s="37"/>
    </row>
    <row r="407" customFormat="false" ht="15.75" hidden="false" customHeight="false" outlineLevel="0" collapsed="false">
      <c r="L407" s="37"/>
    </row>
    <row r="408" customFormat="false" ht="15.75" hidden="false" customHeight="false" outlineLevel="0" collapsed="false">
      <c r="L408" s="37"/>
    </row>
    <row r="409" customFormat="false" ht="15.75" hidden="false" customHeight="false" outlineLevel="0" collapsed="false">
      <c r="L409" s="37"/>
    </row>
    <row r="410" customFormat="false" ht="15.75" hidden="false" customHeight="false" outlineLevel="0" collapsed="false">
      <c r="L410" s="37"/>
    </row>
    <row r="411" customFormat="false" ht="15.75" hidden="false" customHeight="false" outlineLevel="0" collapsed="false">
      <c r="L411" s="37"/>
    </row>
    <row r="412" customFormat="false" ht="15.75" hidden="false" customHeight="false" outlineLevel="0" collapsed="false">
      <c r="L412" s="37"/>
    </row>
    <row r="413" customFormat="false" ht="15.75" hidden="false" customHeight="false" outlineLevel="0" collapsed="false">
      <c r="L413" s="37"/>
    </row>
    <row r="414" customFormat="false" ht="15.75" hidden="false" customHeight="false" outlineLevel="0" collapsed="false">
      <c r="L414" s="37"/>
    </row>
    <row r="415" customFormat="false" ht="15.75" hidden="false" customHeight="false" outlineLevel="0" collapsed="false">
      <c r="L415" s="37"/>
    </row>
    <row r="416" customFormat="false" ht="15.75" hidden="false" customHeight="false" outlineLevel="0" collapsed="false">
      <c r="L416" s="37"/>
    </row>
    <row r="417" customFormat="false" ht="15.75" hidden="false" customHeight="false" outlineLevel="0" collapsed="false">
      <c r="L417" s="37"/>
    </row>
    <row r="418" customFormat="false" ht="15.75" hidden="false" customHeight="false" outlineLevel="0" collapsed="false">
      <c r="L418" s="37"/>
    </row>
    <row r="419" customFormat="false" ht="15.75" hidden="false" customHeight="false" outlineLevel="0" collapsed="false">
      <c r="L419" s="37"/>
    </row>
    <row r="420" customFormat="false" ht="15.75" hidden="false" customHeight="false" outlineLevel="0" collapsed="false">
      <c r="L420" s="37"/>
    </row>
    <row r="421" customFormat="false" ht="15.75" hidden="false" customHeight="false" outlineLevel="0" collapsed="false">
      <c r="L421" s="37"/>
    </row>
    <row r="422" customFormat="false" ht="15.75" hidden="false" customHeight="false" outlineLevel="0" collapsed="false">
      <c r="L422" s="37"/>
    </row>
    <row r="423" customFormat="false" ht="15.75" hidden="false" customHeight="false" outlineLevel="0" collapsed="false">
      <c r="L423" s="37"/>
    </row>
    <row r="424" customFormat="false" ht="15.75" hidden="false" customHeight="false" outlineLevel="0" collapsed="false">
      <c r="L424" s="37"/>
    </row>
    <row r="425" customFormat="false" ht="15.75" hidden="false" customHeight="false" outlineLevel="0" collapsed="false">
      <c r="L425" s="37"/>
    </row>
    <row r="426" customFormat="false" ht="15.75" hidden="false" customHeight="false" outlineLevel="0" collapsed="false">
      <c r="L426" s="37"/>
    </row>
    <row r="427" customFormat="false" ht="15.75" hidden="false" customHeight="false" outlineLevel="0" collapsed="false">
      <c r="L427" s="37"/>
    </row>
    <row r="428" customFormat="false" ht="15.75" hidden="false" customHeight="false" outlineLevel="0" collapsed="false">
      <c r="L428" s="37"/>
    </row>
    <row r="429" customFormat="false" ht="15.75" hidden="false" customHeight="false" outlineLevel="0" collapsed="false">
      <c r="L429" s="37"/>
    </row>
    <row r="430" customFormat="false" ht="15.75" hidden="false" customHeight="false" outlineLevel="0" collapsed="false">
      <c r="L430" s="37"/>
    </row>
    <row r="431" customFormat="false" ht="15.75" hidden="false" customHeight="false" outlineLevel="0" collapsed="false">
      <c r="L431" s="37"/>
    </row>
    <row r="432" customFormat="false" ht="15.75" hidden="false" customHeight="false" outlineLevel="0" collapsed="false">
      <c r="L432" s="37"/>
    </row>
    <row r="433" customFormat="false" ht="15.75" hidden="false" customHeight="false" outlineLevel="0" collapsed="false">
      <c r="L433" s="37"/>
    </row>
    <row r="434" customFormat="false" ht="15.75" hidden="false" customHeight="false" outlineLevel="0" collapsed="false">
      <c r="L434" s="37"/>
    </row>
    <row r="435" customFormat="false" ht="15.75" hidden="false" customHeight="false" outlineLevel="0" collapsed="false">
      <c r="L435" s="37"/>
    </row>
    <row r="436" customFormat="false" ht="15.75" hidden="false" customHeight="false" outlineLevel="0" collapsed="false">
      <c r="L436" s="37"/>
    </row>
    <row r="437" customFormat="false" ht="15.75" hidden="false" customHeight="false" outlineLevel="0" collapsed="false">
      <c r="L437" s="37"/>
    </row>
    <row r="438" customFormat="false" ht="15.75" hidden="false" customHeight="false" outlineLevel="0" collapsed="false">
      <c r="L438" s="37"/>
    </row>
    <row r="439" customFormat="false" ht="15.75" hidden="false" customHeight="false" outlineLevel="0" collapsed="false">
      <c r="L439" s="37"/>
    </row>
    <row r="440" customFormat="false" ht="15.75" hidden="false" customHeight="false" outlineLevel="0" collapsed="false">
      <c r="L440" s="37"/>
    </row>
    <row r="441" customFormat="false" ht="15.75" hidden="false" customHeight="false" outlineLevel="0" collapsed="false">
      <c r="L441" s="37"/>
    </row>
    <row r="442" customFormat="false" ht="15.75" hidden="false" customHeight="false" outlineLevel="0" collapsed="false">
      <c r="L442" s="37"/>
    </row>
    <row r="443" customFormat="false" ht="15.75" hidden="false" customHeight="false" outlineLevel="0" collapsed="false">
      <c r="L443" s="37"/>
    </row>
    <row r="444" customFormat="false" ht="15.75" hidden="false" customHeight="false" outlineLevel="0" collapsed="false">
      <c r="L444" s="37"/>
    </row>
    <row r="445" customFormat="false" ht="15.75" hidden="false" customHeight="false" outlineLevel="0" collapsed="false">
      <c r="L445" s="37"/>
    </row>
    <row r="446" customFormat="false" ht="15.75" hidden="false" customHeight="false" outlineLevel="0" collapsed="false">
      <c r="L446" s="37"/>
    </row>
    <row r="447" customFormat="false" ht="15.75" hidden="false" customHeight="false" outlineLevel="0" collapsed="false">
      <c r="L447" s="37"/>
    </row>
    <row r="448" customFormat="false" ht="15.75" hidden="false" customHeight="false" outlineLevel="0" collapsed="false">
      <c r="L448" s="37"/>
    </row>
    <row r="449" customFormat="false" ht="15.75" hidden="false" customHeight="false" outlineLevel="0" collapsed="false">
      <c r="L449" s="37"/>
    </row>
    <row r="450" customFormat="false" ht="15.75" hidden="false" customHeight="false" outlineLevel="0" collapsed="false">
      <c r="L450" s="37"/>
    </row>
    <row r="451" customFormat="false" ht="15.75" hidden="false" customHeight="false" outlineLevel="0" collapsed="false">
      <c r="L451" s="37"/>
    </row>
    <row r="452" customFormat="false" ht="15.75" hidden="false" customHeight="false" outlineLevel="0" collapsed="false">
      <c r="L452" s="37"/>
    </row>
    <row r="453" customFormat="false" ht="15.75" hidden="false" customHeight="false" outlineLevel="0" collapsed="false">
      <c r="L453" s="37"/>
    </row>
    <row r="454" customFormat="false" ht="15.75" hidden="false" customHeight="false" outlineLevel="0" collapsed="false">
      <c r="L454" s="37"/>
    </row>
    <row r="455" customFormat="false" ht="15.75" hidden="false" customHeight="false" outlineLevel="0" collapsed="false">
      <c r="L455" s="37"/>
    </row>
    <row r="456" customFormat="false" ht="15.75" hidden="false" customHeight="false" outlineLevel="0" collapsed="false">
      <c r="L456" s="37"/>
    </row>
    <row r="457" customFormat="false" ht="15.75" hidden="false" customHeight="false" outlineLevel="0" collapsed="false">
      <c r="L457" s="37"/>
    </row>
    <row r="458" customFormat="false" ht="15.75" hidden="false" customHeight="false" outlineLevel="0" collapsed="false">
      <c r="L458" s="37"/>
    </row>
    <row r="459" customFormat="false" ht="15.75" hidden="false" customHeight="false" outlineLevel="0" collapsed="false">
      <c r="L459" s="37"/>
    </row>
    <row r="460" customFormat="false" ht="15.75" hidden="false" customHeight="false" outlineLevel="0" collapsed="false">
      <c r="L460" s="37"/>
    </row>
    <row r="461" customFormat="false" ht="15.75" hidden="false" customHeight="false" outlineLevel="0" collapsed="false">
      <c r="L461" s="37"/>
    </row>
    <row r="462" customFormat="false" ht="15.75" hidden="false" customHeight="false" outlineLevel="0" collapsed="false">
      <c r="L462" s="37"/>
    </row>
    <row r="463" customFormat="false" ht="15.75" hidden="false" customHeight="false" outlineLevel="0" collapsed="false">
      <c r="L463" s="37"/>
    </row>
    <row r="464" customFormat="false" ht="15.75" hidden="false" customHeight="false" outlineLevel="0" collapsed="false">
      <c r="L464" s="37"/>
    </row>
    <row r="465" customFormat="false" ht="15.75" hidden="false" customHeight="false" outlineLevel="0" collapsed="false">
      <c r="L465" s="37"/>
    </row>
    <row r="466" customFormat="false" ht="15.75" hidden="false" customHeight="false" outlineLevel="0" collapsed="false">
      <c r="L466" s="37"/>
    </row>
    <row r="467" customFormat="false" ht="15.75" hidden="false" customHeight="false" outlineLevel="0" collapsed="false">
      <c r="L467" s="37"/>
    </row>
    <row r="468" customFormat="false" ht="15.75" hidden="false" customHeight="false" outlineLevel="0" collapsed="false">
      <c r="L468" s="37"/>
    </row>
    <row r="469" customFormat="false" ht="15.75" hidden="false" customHeight="false" outlineLevel="0" collapsed="false">
      <c r="L469" s="37"/>
    </row>
    <row r="470" customFormat="false" ht="15.75" hidden="false" customHeight="false" outlineLevel="0" collapsed="false">
      <c r="L470" s="37"/>
    </row>
    <row r="471" customFormat="false" ht="15.75" hidden="false" customHeight="false" outlineLevel="0" collapsed="false">
      <c r="L471" s="37"/>
    </row>
    <row r="472" customFormat="false" ht="15.75" hidden="false" customHeight="false" outlineLevel="0" collapsed="false">
      <c r="L472" s="37"/>
    </row>
    <row r="473" customFormat="false" ht="15.75" hidden="false" customHeight="false" outlineLevel="0" collapsed="false">
      <c r="L473" s="37"/>
    </row>
    <row r="474" customFormat="false" ht="15.75" hidden="false" customHeight="false" outlineLevel="0" collapsed="false">
      <c r="L474" s="37"/>
    </row>
    <row r="475" customFormat="false" ht="15.75" hidden="false" customHeight="false" outlineLevel="0" collapsed="false">
      <c r="L475" s="37"/>
    </row>
    <row r="476" customFormat="false" ht="15.75" hidden="false" customHeight="false" outlineLevel="0" collapsed="false">
      <c r="L476" s="37"/>
    </row>
    <row r="477" customFormat="false" ht="15.75" hidden="false" customHeight="false" outlineLevel="0" collapsed="false">
      <c r="L477" s="37"/>
    </row>
    <row r="478" customFormat="false" ht="15.75" hidden="false" customHeight="false" outlineLevel="0" collapsed="false">
      <c r="L478" s="37"/>
    </row>
    <row r="479" customFormat="false" ht="15.75" hidden="false" customHeight="false" outlineLevel="0" collapsed="false">
      <c r="L479" s="37"/>
    </row>
    <row r="480" customFormat="false" ht="15.75" hidden="false" customHeight="false" outlineLevel="0" collapsed="false">
      <c r="L480" s="37"/>
    </row>
    <row r="481" customFormat="false" ht="15.75" hidden="false" customHeight="false" outlineLevel="0" collapsed="false">
      <c r="L481" s="37"/>
    </row>
    <row r="482" customFormat="false" ht="15.75" hidden="false" customHeight="false" outlineLevel="0" collapsed="false">
      <c r="L482" s="37"/>
    </row>
    <row r="483" customFormat="false" ht="15.75" hidden="false" customHeight="false" outlineLevel="0" collapsed="false">
      <c r="L483" s="37"/>
    </row>
    <row r="484" customFormat="false" ht="15.75" hidden="false" customHeight="false" outlineLevel="0" collapsed="false">
      <c r="L484" s="37"/>
    </row>
    <row r="485" customFormat="false" ht="15.75" hidden="false" customHeight="false" outlineLevel="0" collapsed="false">
      <c r="L485" s="37"/>
    </row>
    <row r="486" customFormat="false" ht="15.75" hidden="false" customHeight="false" outlineLevel="0" collapsed="false">
      <c r="L486" s="37"/>
    </row>
    <row r="487" customFormat="false" ht="15.75" hidden="false" customHeight="false" outlineLevel="0" collapsed="false">
      <c r="L487" s="37"/>
    </row>
    <row r="488" customFormat="false" ht="15.75" hidden="false" customHeight="false" outlineLevel="0" collapsed="false">
      <c r="L488" s="37"/>
    </row>
    <row r="489" customFormat="false" ht="15.75" hidden="false" customHeight="false" outlineLevel="0" collapsed="false">
      <c r="L489" s="37"/>
    </row>
    <row r="490" customFormat="false" ht="15.75" hidden="false" customHeight="false" outlineLevel="0" collapsed="false">
      <c r="L490" s="37"/>
    </row>
    <row r="491" customFormat="false" ht="15.75" hidden="false" customHeight="false" outlineLevel="0" collapsed="false">
      <c r="L491" s="37"/>
    </row>
    <row r="492" customFormat="false" ht="15.75" hidden="false" customHeight="false" outlineLevel="0" collapsed="false">
      <c r="L492" s="37"/>
    </row>
    <row r="493" customFormat="false" ht="15.75" hidden="false" customHeight="false" outlineLevel="0" collapsed="false">
      <c r="L493" s="37"/>
    </row>
    <row r="494" customFormat="false" ht="15.75" hidden="false" customHeight="false" outlineLevel="0" collapsed="false">
      <c r="L494" s="37"/>
    </row>
    <row r="495" customFormat="false" ht="15.75" hidden="false" customHeight="false" outlineLevel="0" collapsed="false">
      <c r="L495" s="37"/>
    </row>
    <row r="496" customFormat="false" ht="15.75" hidden="false" customHeight="false" outlineLevel="0" collapsed="false">
      <c r="L496" s="37"/>
    </row>
    <row r="497" customFormat="false" ht="15.75" hidden="false" customHeight="false" outlineLevel="0" collapsed="false">
      <c r="L497" s="37"/>
    </row>
    <row r="498" customFormat="false" ht="15.75" hidden="false" customHeight="false" outlineLevel="0" collapsed="false">
      <c r="L498" s="37"/>
    </row>
    <row r="499" customFormat="false" ht="15.75" hidden="false" customHeight="false" outlineLevel="0" collapsed="false">
      <c r="L499" s="37"/>
    </row>
    <row r="500" customFormat="false" ht="15.75" hidden="false" customHeight="false" outlineLevel="0" collapsed="false">
      <c r="L500" s="37"/>
    </row>
    <row r="501" customFormat="false" ht="15.75" hidden="false" customHeight="false" outlineLevel="0" collapsed="false">
      <c r="L501" s="37"/>
    </row>
    <row r="502" customFormat="false" ht="15.75" hidden="false" customHeight="false" outlineLevel="0" collapsed="false">
      <c r="L502" s="37"/>
    </row>
    <row r="503" customFormat="false" ht="15.75" hidden="false" customHeight="false" outlineLevel="0" collapsed="false">
      <c r="L503" s="37"/>
    </row>
    <row r="504" customFormat="false" ht="15.75" hidden="false" customHeight="false" outlineLevel="0" collapsed="false">
      <c r="L504" s="37"/>
    </row>
    <row r="505" customFormat="false" ht="15.75" hidden="false" customHeight="false" outlineLevel="0" collapsed="false">
      <c r="L505" s="37"/>
    </row>
    <row r="506" customFormat="false" ht="15.75" hidden="false" customHeight="false" outlineLevel="0" collapsed="false">
      <c r="L506" s="37"/>
    </row>
    <row r="507" customFormat="false" ht="15.75" hidden="false" customHeight="false" outlineLevel="0" collapsed="false">
      <c r="L507" s="37"/>
    </row>
    <row r="508" customFormat="false" ht="15.75" hidden="false" customHeight="false" outlineLevel="0" collapsed="false">
      <c r="L508" s="37"/>
    </row>
    <row r="509" customFormat="false" ht="15.75" hidden="false" customHeight="false" outlineLevel="0" collapsed="false">
      <c r="L509" s="37"/>
    </row>
    <row r="510" customFormat="false" ht="15.75" hidden="false" customHeight="false" outlineLevel="0" collapsed="false">
      <c r="L510" s="37"/>
    </row>
    <row r="511" customFormat="false" ht="15.75" hidden="false" customHeight="false" outlineLevel="0" collapsed="false">
      <c r="L511" s="37"/>
    </row>
    <row r="512" customFormat="false" ht="15.75" hidden="false" customHeight="false" outlineLevel="0" collapsed="false">
      <c r="L512" s="37"/>
    </row>
    <row r="513" customFormat="false" ht="15.75" hidden="false" customHeight="false" outlineLevel="0" collapsed="false">
      <c r="L513" s="37"/>
    </row>
    <row r="514" customFormat="false" ht="15.75" hidden="false" customHeight="false" outlineLevel="0" collapsed="false">
      <c r="L514" s="37"/>
    </row>
    <row r="515" customFormat="false" ht="15.75" hidden="false" customHeight="false" outlineLevel="0" collapsed="false">
      <c r="L515" s="37"/>
    </row>
    <row r="516" customFormat="false" ht="15.75" hidden="false" customHeight="false" outlineLevel="0" collapsed="false">
      <c r="L516" s="37"/>
    </row>
    <row r="517" customFormat="false" ht="15.75" hidden="false" customHeight="false" outlineLevel="0" collapsed="false">
      <c r="L517" s="37"/>
    </row>
    <row r="518" customFormat="false" ht="15.75" hidden="false" customHeight="false" outlineLevel="0" collapsed="false">
      <c r="L518" s="37"/>
    </row>
    <row r="519" customFormat="false" ht="15.75" hidden="false" customHeight="false" outlineLevel="0" collapsed="false">
      <c r="L519" s="37"/>
    </row>
    <row r="520" customFormat="false" ht="15.75" hidden="false" customHeight="false" outlineLevel="0" collapsed="false">
      <c r="L520" s="37"/>
    </row>
    <row r="521" customFormat="false" ht="15.75" hidden="false" customHeight="false" outlineLevel="0" collapsed="false">
      <c r="L521" s="37"/>
    </row>
    <row r="522" customFormat="false" ht="15.75" hidden="false" customHeight="false" outlineLevel="0" collapsed="false">
      <c r="L522" s="37"/>
    </row>
    <row r="523" customFormat="false" ht="15.75" hidden="false" customHeight="false" outlineLevel="0" collapsed="false">
      <c r="L523" s="37"/>
    </row>
    <row r="524" customFormat="false" ht="15.75" hidden="false" customHeight="false" outlineLevel="0" collapsed="false">
      <c r="L524" s="37"/>
    </row>
    <row r="525" customFormat="false" ht="15.75" hidden="false" customHeight="false" outlineLevel="0" collapsed="false">
      <c r="L525" s="37"/>
    </row>
    <row r="526" customFormat="false" ht="15.75" hidden="false" customHeight="false" outlineLevel="0" collapsed="false">
      <c r="L526" s="37"/>
    </row>
    <row r="527" customFormat="false" ht="15.75" hidden="false" customHeight="false" outlineLevel="0" collapsed="false">
      <c r="L527" s="37"/>
    </row>
    <row r="528" customFormat="false" ht="15.75" hidden="false" customHeight="false" outlineLevel="0" collapsed="false">
      <c r="L528" s="37"/>
    </row>
    <row r="529" customFormat="false" ht="15.75" hidden="false" customHeight="false" outlineLevel="0" collapsed="false">
      <c r="L529" s="37"/>
    </row>
    <row r="530" customFormat="false" ht="15.75" hidden="false" customHeight="false" outlineLevel="0" collapsed="false">
      <c r="L530" s="37"/>
    </row>
    <row r="531" customFormat="false" ht="15.75" hidden="false" customHeight="false" outlineLevel="0" collapsed="false">
      <c r="L531" s="37"/>
    </row>
    <row r="532" customFormat="false" ht="15.75" hidden="false" customHeight="false" outlineLevel="0" collapsed="false">
      <c r="L532" s="37"/>
    </row>
    <row r="533" customFormat="false" ht="15.75" hidden="false" customHeight="false" outlineLevel="0" collapsed="false">
      <c r="L533" s="37"/>
    </row>
    <row r="534" customFormat="false" ht="15.75" hidden="false" customHeight="false" outlineLevel="0" collapsed="false">
      <c r="L534" s="37"/>
    </row>
    <row r="535" customFormat="false" ht="15.75" hidden="false" customHeight="false" outlineLevel="0" collapsed="false">
      <c r="L535" s="37"/>
    </row>
    <row r="536" customFormat="false" ht="15.75" hidden="false" customHeight="false" outlineLevel="0" collapsed="false">
      <c r="L536" s="37"/>
    </row>
    <row r="537" customFormat="false" ht="15.75" hidden="false" customHeight="false" outlineLevel="0" collapsed="false">
      <c r="L537" s="37"/>
    </row>
    <row r="538" customFormat="false" ht="15.75" hidden="false" customHeight="false" outlineLevel="0" collapsed="false">
      <c r="L538" s="37"/>
    </row>
    <row r="539" customFormat="false" ht="15.75" hidden="false" customHeight="false" outlineLevel="0" collapsed="false">
      <c r="L539" s="37"/>
    </row>
    <row r="540" customFormat="false" ht="15.75" hidden="false" customHeight="false" outlineLevel="0" collapsed="false">
      <c r="L540" s="37"/>
    </row>
    <row r="541" customFormat="false" ht="15.75" hidden="false" customHeight="false" outlineLevel="0" collapsed="false">
      <c r="L541" s="37"/>
    </row>
    <row r="542" customFormat="false" ht="15.75" hidden="false" customHeight="false" outlineLevel="0" collapsed="false">
      <c r="L542" s="37"/>
    </row>
    <row r="543" customFormat="false" ht="15.75" hidden="false" customHeight="false" outlineLevel="0" collapsed="false">
      <c r="L543" s="37"/>
    </row>
    <row r="544" customFormat="false" ht="15.75" hidden="false" customHeight="false" outlineLevel="0" collapsed="false">
      <c r="L544" s="37"/>
    </row>
    <row r="545" customFormat="false" ht="15.75" hidden="false" customHeight="false" outlineLevel="0" collapsed="false">
      <c r="L545" s="37"/>
    </row>
    <row r="546" customFormat="false" ht="15.75" hidden="false" customHeight="false" outlineLevel="0" collapsed="false">
      <c r="L546" s="37"/>
    </row>
    <row r="547" customFormat="false" ht="15.75" hidden="false" customHeight="false" outlineLevel="0" collapsed="false">
      <c r="L547" s="37"/>
    </row>
    <row r="548" customFormat="false" ht="15.75" hidden="false" customHeight="false" outlineLevel="0" collapsed="false">
      <c r="L548" s="37"/>
    </row>
    <row r="549" customFormat="false" ht="15.75" hidden="false" customHeight="false" outlineLevel="0" collapsed="false">
      <c r="L549" s="37"/>
    </row>
    <row r="550" customFormat="false" ht="15.75" hidden="false" customHeight="false" outlineLevel="0" collapsed="false">
      <c r="L550" s="37"/>
    </row>
    <row r="551" customFormat="false" ht="15.75" hidden="false" customHeight="false" outlineLevel="0" collapsed="false">
      <c r="L551" s="37"/>
    </row>
    <row r="552" customFormat="false" ht="15.75" hidden="false" customHeight="false" outlineLevel="0" collapsed="false">
      <c r="L552" s="37"/>
    </row>
    <row r="553" customFormat="false" ht="15.75" hidden="false" customHeight="false" outlineLevel="0" collapsed="false">
      <c r="L553" s="37"/>
    </row>
    <row r="554" customFormat="false" ht="15.75" hidden="false" customHeight="false" outlineLevel="0" collapsed="false">
      <c r="L554" s="37"/>
    </row>
    <row r="555" customFormat="false" ht="15.75" hidden="false" customHeight="false" outlineLevel="0" collapsed="false">
      <c r="L555" s="37"/>
    </row>
    <row r="556" customFormat="false" ht="15.75" hidden="false" customHeight="false" outlineLevel="0" collapsed="false">
      <c r="L556" s="37"/>
    </row>
    <row r="557" customFormat="false" ht="15.75" hidden="false" customHeight="false" outlineLevel="0" collapsed="false">
      <c r="L557" s="37"/>
    </row>
    <row r="558" customFormat="false" ht="15.75" hidden="false" customHeight="false" outlineLevel="0" collapsed="false">
      <c r="L558" s="37"/>
    </row>
    <row r="559" customFormat="false" ht="15.75" hidden="false" customHeight="false" outlineLevel="0" collapsed="false">
      <c r="L559" s="37"/>
    </row>
    <row r="560" customFormat="false" ht="15.75" hidden="false" customHeight="false" outlineLevel="0" collapsed="false">
      <c r="L560" s="37"/>
    </row>
    <row r="561" customFormat="false" ht="15.75" hidden="false" customHeight="false" outlineLevel="0" collapsed="false">
      <c r="L561" s="37"/>
    </row>
    <row r="562" customFormat="false" ht="15.75" hidden="false" customHeight="false" outlineLevel="0" collapsed="false">
      <c r="L562" s="37"/>
    </row>
    <row r="563" customFormat="false" ht="15.75" hidden="false" customHeight="false" outlineLevel="0" collapsed="false">
      <c r="L563" s="37"/>
    </row>
    <row r="564" customFormat="false" ht="15.75" hidden="false" customHeight="false" outlineLevel="0" collapsed="false">
      <c r="L564" s="37"/>
    </row>
    <row r="565" customFormat="false" ht="15.75" hidden="false" customHeight="false" outlineLevel="0" collapsed="false">
      <c r="L565" s="37"/>
    </row>
    <row r="566" customFormat="false" ht="15.75" hidden="false" customHeight="false" outlineLevel="0" collapsed="false">
      <c r="L566" s="37"/>
    </row>
    <row r="567" customFormat="false" ht="15.75" hidden="false" customHeight="false" outlineLevel="0" collapsed="false">
      <c r="L567" s="37"/>
    </row>
    <row r="568" customFormat="false" ht="15.75" hidden="false" customHeight="false" outlineLevel="0" collapsed="false">
      <c r="L568" s="37"/>
    </row>
    <row r="569" customFormat="false" ht="15.75" hidden="false" customHeight="false" outlineLevel="0" collapsed="false">
      <c r="L569" s="37"/>
    </row>
    <row r="570" customFormat="false" ht="15.75" hidden="false" customHeight="false" outlineLevel="0" collapsed="false">
      <c r="L570" s="37"/>
    </row>
    <row r="571" customFormat="false" ht="15.75" hidden="false" customHeight="false" outlineLevel="0" collapsed="false">
      <c r="L571" s="37"/>
    </row>
    <row r="572" customFormat="false" ht="15.75" hidden="false" customHeight="false" outlineLevel="0" collapsed="false">
      <c r="L572" s="37"/>
    </row>
    <row r="573" customFormat="false" ht="15.75" hidden="false" customHeight="false" outlineLevel="0" collapsed="false">
      <c r="L573" s="37"/>
    </row>
    <row r="574" customFormat="false" ht="15.75" hidden="false" customHeight="false" outlineLevel="0" collapsed="false">
      <c r="L574" s="37"/>
    </row>
    <row r="575" customFormat="false" ht="15.75" hidden="false" customHeight="false" outlineLevel="0" collapsed="false">
      <c r="L575" s="37"/>
    </row>
    <row r="576" customFormat="false" ht="15.75" hidden="false" customHeight="false" outlineLevel="0" collapsed="false">
      <c r="L576" s="37"/>
    </row>
    <row r="577" customFormat="false" ht="15.75" hidden="false" customHeight="false" outlineLevel="0" collapsed="false">
      <c r="L577" s="37"/>
    </row>
    <row r="578" customFormat="false" ht="15.75" hidden="false" customHeight="false" outlineLevel="0" collapsed="false">
      <c r="L578" s="37"/>
    </row>
    <row r="579" customFormat="false" ht="15.75" hidden="false" customHeight="false" outlineLevel="0" collapsed="false">
      <c r="L579" s="37"/>
    </row>
    <row r="580" customFormat="false" ht="15.75" hidden="false" customHeight="false" outlineLevel="0" collapsed="false">
      <c r="L580" s="37"/>
    </row>
    <row r="581" customFormat="false" ht="15.75" hidden="false" customHeight="false" outlineLevel="0" collapsed="false">
      <c r="L581" s="37"/>
    </row>
    <row r="582" customFormat="false" ht="15.75" hidden="false" customHeight="false" outlineLevel="0" collapsed="false">
      <c r="L582" s="37"/>
    </row>
    <row r="583" customFormat="false" ht="15.75" hidden="false" customHeight="false" outlineLevel="0" collapsed="false">
      <c r="L583" s="37"/>
    </row>
    <row r="584" customFormat="false" ht="15.75" hidden="false" customHeight="false" outlineLevel="0" collapsed="false">
      <c r="L584" s="37"/>
    </row>
    <row r="585" customFormat="false" ht="15.75" hidden="false" customHeight="false" outlineLevel="0" collapsed="false">
      <c r="L585" s="37"/>
    </row>
    <row r="586" customFormat="false" ht="15.75" hidden="false" customHeight="false" outlineLevel="0" collapsed="false">
      <c r="L586" s="37"/>
    </row>
    <row r="587" customFormat="false" ht="15.75" hidden="false" customHeight="false" outlineLevel="0" collapsed="false">
      <c r="L587" s="37"/>
    </row>
    <row r="588" customFormat="false" ht="15.75" hidden="false" customHeight="false" outlineLevel="0" collapsed="false">
      <c r="L588" s="37"/>
    </row>
    <row r="589" customFormat="false" ht="15.75" hidden="false" customHeight="false" outlineLevel="0" collapsed="false">
      <c r="L589" s="37"/>
    </row>
    <row r="590" customFormat="false" ht="15.75" hidden="false" customHeight="false" outlineLevel="0" collapsed="false">
      <c r="L590" s="37"/>
    </row>
    <row r="591" customFormat="false" ht="15.75" hidden="false" customHeight="false" outlineLevel="0" collapsed="false">
      <c r="L591" s="37"/>
    </row>
    <row r="592" customFormat="false" ht="15.75" hidden="false" customHeight="false" outlineLevel="0" collapsed="false">
      <c r="L592" s="37"/>
    </row>
    <row r="593" customFormat="false" ht="15.75" hidden="false" customHeight="false" outlineLevel="0" collapsed="false">
      <c r="L593" s="37"/>
    </row>
    <row r="594" customFormat="false" ht="15.75" hidden="false" customHeight="false" outlineLevel="0" collapsed="false">
      <c r="L594" s="37"/>
    </row>
    <row r="595" customFormat="false" ht="15.75" hidden="false" customHeight="false" outlineLevel="0" collapsed="false">
      <c r="L595" s="37"/>
    </row>
    <row r="596" customFormat="false" ht="15.75" hidden="false" customHeight="false" outlineLevel="0" collapsed="false">
      <c r="L596" s="37"/>
    </row>
    <row r="597" customFormat="false" ht="15.75" hidden="false" customHeight="false" outlineLevel="0" collapsed="false">
      <c r="L597" s="37"/>
    </row>
    <row r="598" customFormat="false" ht="15.75" hidden="false" customHeight="false" outlineLevel="0" collapsed="false">
      <c r="L598" s="37"/>
    </row>
    <row r="599" customFormat="false" ht="15.75" hidden="false" customHeight="false" outlineLevel="0" collapsed="false">
      <c r="L599" s="37"/>
    </row>
    <row r="600" customFormat="false" ht="15.75" hidden="false" customHeight="false" outlineLevel="0" collapsed="false">
      <c r="L600" s="37"/>
    </row>
    <row r="601" customFormat="false" ht="15.75" hidden="false" customHeight="false" outlineLevel="0" collapsed="false">
      <c r="L601" s="37"/>
    </row>
    <row r="602" customFormat="false" ht="15.75" hidden="false" customHeight="false" outlineLevel="0" collapsed="false">
      <c r="L602" s="37"/>
    </row>
    <row r="603" customFormat="false" ht="15.75" hidden="false" customHeight="false" outlineLevel="0" collapsed="false">
      <c r="L603" s="37"/>
    </row>
    <row r="604" customFormat="false" ht="15.75" hidden="false" customHeight="false" outlineLevel="0" collapsed="false">
      <c r="L604" s="37"/>
    </row>
    <row r="605" customFormat="false" ht="15.75" hidden="false" customHeight="false" outlineLevel="0" collapsed="false">
      <c r="L605" s="37"/>
    </row>
    <row r="606" customFormat="false" ht="15.75" hidden="false" customHeight="false" outlineLevel="0" collapsed="false">
      <c r="L606" s="37"/>
    </row>
    <row r="607" customFormat="false" ht="15.75" hidden="false" customHeight="false" outlineLevel="0" collapsed="false">
      <c r="L607" s="37"/>
    </row>
    <row r="608" customFormat="false" ht="15.75" hidden="false" customHeight="false" outlineLevel="0" collapsed="false">
      <c r="L608" s="37"/>
    </row>
    <row r="609" customFormat="false" ht="15.75" hidden="false" customHeight="false" outlineLevel="0" collapsed="false">
      <c r="L609" s="37"/>
    </row>
    <row r="610" customFormat="false" ht="15.75" hidden="false" customHeight="false" outlineLevel="0" collapsed="false">
      <c r="L610" s="37"/>
    </row>
    <row r="611" customFormat="false" ht="15.75" hidden="false" customHeight="false" outlineLevel="0" collapsed="false">
      <c r="L611" s="37"/>
    </row>
    <row r="612" customFormat="false" ht="15.75" hidden="false" customHeight="false" outlineLevel="0" collapsed="false">
      <c r="L612" s="37"/>
    </row>
    <row r="613" customFormat="false" ht="15.75" hidden="false" customHeight="false" outlineLevel="0" collapsed="false">
      <c r="L613" s="37"/>
    </row>
    <row r="614" customFormat="false" ht="15.75" hidden="false" customHeight="false" outlineLevel="0" collapsed="false">
      <c r="L614" s="37"/>
    </row>
    <row r="615" customFormat="false" ht="15.75" hidden="false" customHeight="false" outlineLevel="0" collapsed="false">
      <c r="L615" s="37"/>
    </row>
    <row r="616" customFormat="false" ht="15.75" hidden="false" customHeight="false" outlineLevel="0" collapsed="false">
      <c r="L616" s="37"/>
    </row>
    <row r="617" customFormat="false" ht="15.75" hidden="false" customHeight="false" outlineLevel="0" collapsed="false">
      <c r="L617" s="37"/>
    </row>
    <row r="618" customFormat="false" ht="15.75" hidden="false" customHeight="false" outlineLevel="0" collapsed="false">
      <c r="L618" s="37"/>
    </row>
    <row r="619" customFormat="false" ht="15.75" hidden="false" customHeight="false" outlineLevel="0" collapsed="false">
      <c r="L619" s="37"/>
    </row>
    <row r="620" customFormat="false" ht="15.75" hidden="false" customHeight="false" outlineLevel="0" collapsed="false">
      <c r="L620" s="37"/>
    </row>
    <row r="621" customFormat="false" ht="15.75" hidden="false" customHeight="false" outlineLevel="0" collapsed="false">
      <c r="L621" s="37"/>
    </row>
    <row r="622" customFormat="false" ht="15.75" hidden="false" customHeight="false" outlineLevel="0" collapsed="false">
      <c r="L622" s="37"/>
    </row>
    <row r="623" customFormat="false" ht="15.75" hidden="false" customHeight="false" outlineLevel="0" collapsed="false">
      <c r="L623" s="37"/>
    </row>
    <row r="624" customFormat="false" ht="15.75" hidden="false" customHeight="false" outlineLevel="0" collapsed="false">
      <c r="L624" s="37"/>
    </row>
    <row r="625" customFormat="false" ht="15.75" hidden="false" customHeight="false" outlineLevel="0" collapsed="false">
      <c r="L625" s="37"/>
    </row>
    <row r="626" customFormat="false" ht="15.75" hidden="false" customHeight="false" outlineLevel="0" collapsed="false">
      <c r="L626" s="37"/>
    </row>
    <row r="627" customFormat="false" ht="15.75" hidden="false" customHeight="false" outlineLevel="0" collapsed="false">
      <c r="L627" s="37"/>
    </row>
    <row r="628" customFormat="false" ht="15.75" hidden="false" customHeight="false" outlineLevel="0" collapsed="false">
      <c r="L628" s="37"/>
    </row>
    <row r="629" customFormat="false" ht="15.75" hidden="false" customHeight="false" outlineLevel="0" collapsed="false">
      <c r="L629" s="37"/>
    </row>
    <row r="630" customFormat="false" ht="15.75" hidden="false" customHeight="false" outlineLevel="0" collapsed="false">
      <c r="L630" s="37"/>
    </row>
    <row r="631" customFormat="false" ht="15.75" hidden="false" customHeight="false" outlineLevel="0" collapsed="false">
      <c r="L631" s="37"/>
    </row>
    <row r="632" customFormat="false" ht="15.75" hidden="false" customHeight="false" outlineLevel="0" collapsed="false">
      <c r="L632" s="37"/>
    </row>
    <row r="633" customFormat="false" ht="15.75" hidden="false" customHeight="false" outlineLevel="0" collapsed="false">
      <c r="L633" s="37"/>
    </row>
    <row r="634" customFormat="false" ht="15.75" hidden="false" customHeight="false" outlineLevel="0" collapsed="false">
      <c r="L634" s="37"/>
    </row>
    <row r="635" customFormat="false" ht="15.75" hidden="false" customHeight="false" outlineLevel="0" collapsed="false">
      <c r="L635" s="37"/>
    </row>
    <row r="636" customFormat="false" ht="15.75" hidden="false" customHeight="false" outlineLevel="0" collapsed="false">
      <c r="L636" s="37"/>
    </row>
    <row r="637" customFormat="false" ht="15.75" hidden="false" customHeight="false" outlineLevel="0" collapsed="false">
      <c r="L637" s="37"/>
    </row>
    <row r="638" customFormat="false" ht="15.75" hidden="false" customHeight="false" outlineLevel="0" collapsed="false">
      <c r="L638" s="37"/>
    </row>
    <row r="639" customFormat="false" ht="15.75" hidden="false" customHeight="false" outlineLevel="0" collapsed="false">
      <c r="L639" s="37"/>
    </row>
    <row r="640" customFormat="false" ht="15.75" hidden="false" customHeight="false" outlineLevel="0" collapsed="false">
      <c r="L640" s="37"/>
    </row>
    <row r="641" customFormat="false" ht="15.75" hidden="false" customHeight="false" outlineLevel="0" collapsed="false">
      <c r="L641" s="37"/>
    </row>
    <row r="642" customFormat="false" ht="15.75" hidden="false" customHeight="false" outlineLevel="0" collapsed="false">
      <c r="L642" s="37"/>
    </row>
    <row r="643" customFormat="false" ht="15.75" hidden="false" customHeight="false" outlineLevel="0" collapsed="false">
      <c r="L643" s="37"/>
    </row>
    <row r="644" customFormat="false" ht="15.75" hidden="false" customHeight="false" outlineLevel="0" collapsed="false">
      <c r="L644" s="37"/>
    </row>
    <row r="645" customFormat="false" ht="15.75" hidden="false" customHeight="false" outlineLevel="0" collapsed="false">
      <c r="L645" s="37"/>
    </row>
    <row r="646" customFormat="false" ht="15.75" hidden="false" customHeight="false" outlineLevel="0" collapsed="false">
      <c r="L646" s="37"/>
    </row>
    <row r="647" customFormat="false" ht="15.75" hidden="false" customHeight="false" outlineLevel="0" collapsed="false">
      <c r="L647" s="37"/>
    </row>
    <row r="648" customFormat="false" ht="15.75" hidden="false" customHeight="false" outlineLevel="0" collapsed="false">
      <c r="L648" s="37"/>
    </row>
    <row r="649" customFormat="false" ht="15.75" hidden="false" customHeight="false" outlineLevel="0" collapsed="false">
      <c r="L649" s="37"/>
    </row>
    <row r="650" customFormat="false" ht="15.75" hidden="false" customHeight="false" outlineLevel="0" collapsed="false">
      <c r="L650" s="37"/>
    </row>
    <row r="651" customFormat="false" ht="15.75" hidden="false" customHeight="false" outlineLevel="0" collapsed="false">
      <c r="L651" s="37"/>
    </row>
    <row r="652" customFormat="false" ht="15.75" hidden="false" customHeight="false" outlineLevel="0" collapsed="false">
      <c r="L652" s="37"/>
    </row>
    <row r="653" customFormat="false" ht="15.75" hidden="false" customHeight="false" outlineLevel="0" collapsed="false">
      <c r="L653" s="37"/>
    </row>
    <row r="654" customFormat="false" ht="15.75" hidden="false" customHeight="false" outlineLevel="0" collapsed="false">
      <c r="L654" s="37"/>
    </row>
    <row r="655" customFormat="false" ht="15.75" hidden="false" customHeight="false" outlineLevel="0" collapsed="false">
      <c r="L655" s="37"/>
    </row>
    <row r="656" customFormat="false" ht="15.75" hidden="false" customHeight="false" outlineLevel="0" collapsed="false">
      <c r="L656" s="37"/>
    </row>
    <row r="657" customFormat="false" ht="15.75" hidden="false" customHeight="false" outlineLevel="0" collapsed="false">
      <c r="L657" s="37"/>
    </row>
    <row r="658" customFormat="false" ht="15.75" hidden="false" customHeight="false" outlineLevel="0" collapsed="false">
      <c r="L658" s="37"/>
    </row>
    <row r="659" customFormat="false" ht="15.75" hidden="false" customHeight="false" outlineLevel="0" collapsed="false">
      <c r="L659" s="37"/>
    </row>
    <row r="660" customFormat="false" ht="15.75" hidden="false" customHeight="false" outlineLevel="0" collapsed="false">
      <c r="L660" s="37"/>
    </row>
    <row r="661" customFormat="false" ht="15.75" hidden="false" customHeight="false" outlineLevel="0" collapsed="false">
      <c r="L661" s="37"/>
    </row>
    <row r="662" customFormat="false" ht="15.75" hidden="false" customHeight="false" outlineLevel="0" collapsed="false">
      <c r="L662" s="37"/>
    </row>
    <row r="663" customFormat="false" ht="15.75" hidden="false" customHeight="false" outlineLevel="0" collapsed="false">
      <c r="L663" s="37"/>
    </row>
    <row r="664" customFormat="false" ht="15.75" hidden="false" customHeight="false" outlineLevel="0" collapsed="false">
      <c r="L664" s="37"/>
    </row>
    <row r="665" customFormat="false" ht="15.75" hidden="false" customHeight="false" outlineLevel="0" collapsed="false">
      <c r="L665" s="37"/>
    </row>
    <row r="666" customFormat="false" ht="15.75" hidden="false" customHeight="false" outlineLevel="0" collapsed="false">
      <c r="L666" s="37"/>
    </row>
    <row r="667" customFormat="false" ht="15.75" hidden="false" customHeight="false" outlineLevel="0" collapsed="false">
      <c r="L667" s="37"/>
    </row>
    <row r="668" customFormat="false" ht="15.75" hidden="false" customHeight="false" outlineLevel="0" collapsed="false">
      <c r="L668" s="37"/>
    </row>
    <row r="669" customFormat="false" ht="15.75" hidden="false" customHeight="false" outlineLevel="0" collapsed="false">
      <c r="L669" s="37"/>
    </row>
    <row r="670" customFormat="false" ht="15.75" hidden="false" customHeight="false" outlineLevel="0" collapsed="false">
      <c r="L670" s="37"/>
    </row>
    <row r="671" customFormat="false" ht="15.75" hidden="false" customHeight="false" outlineLevel="0" collapsed="false">
      <c r="L671" s="37"/>
    </row>
    <row r="672" customFormat="false" ht="15.75" hidden="false" customHeight="false" outlineLevel="0" collapsed="false">
      <c r="L672" s="37"/>
    </row>
    <row r="673" customFormat="false" ht="15.75" hidden="false" customHeight="false" outlineLevel="0" collapsed="false">
      <c r="L673" s="37"/>
    </row>
    <row r="674" customFormat="false" ht="15.75" hidden="false" customHeight="false" outlineLevel="0" collapsed="false">
      <c r="L674" s="37"/>
    </row>
    <row r="675" customFormat="false" ht="15.75" hidden="false" customHeight="false" outlineLevel="0" collapsed="false">
      <c r="L675" s="37"/>
    </row>
    <row r="676" customFormat="false" ht="15.75" hidden="false" customHeight="false" outlineLevel="0" collapsed="false">
      <c r="L676" s="37"/>
    </row>
    <row r="677" customFormat="false" ht="15.75" hidden="false" customHeight="false" outlineLevel="0" collapsed="false">
      <c r="L677" s="37"/>
    </row>
    <row r="678" customFormat="false" ht="15.75" hidden="false" customHeight="false" outlineLevel="0" collapsed="false">
      <c r="L678" s="37"/>
    </row>
    <row r="679" customFormat="false" ht="15.75" hidden="false" customHeight="false" outlineLevel="0" collapsed="false">
      <c r="L679" s="37"/>
    </row>
    <row r="680" customFormat="false" ht="15.75" hidden="false" customHeight="false" outlineLevel="0" collapsed="false">
      <c r="L680" s="37"/>
    </row>
    <row r="681" customFormat="false" ht="15.75" hidden="false" customHeight="false" outlineLevel="0" collapsed="false">
      <c r="L681" s="37"/>
    </row>
    <row r="682" customFormat="false" ht="15.75" hidden="false" customHeight="false" outlineLevel="0" collapsed="false">
      <c r="L682" s="37"/>
    </row>
    <row r="683" customFormat="false" ht="15.75" hidden="false" customHeight="false" outlineLevel="0" collapsed="false">
      <c r="L683" s="37"/>
    </row>
    <row r="684" customFormat="false" ht="15.75" hidden="false" customHeight="false" outlineLevel="0" collapsed="false">
      <c r="L684" s="37"/>
    </row>
    <row r="685" customFormat="false" ht="15.75" hidden="false" customHeight="false" outlineLevel="0" collapsed="false">
      <c r="L685" s="37"/>
    </row>
    <row r="686" customFormat="false" ht="15.75" hidden="false" customHeight="false" outlineLevel="0" collapsed="false">
      <c r="L686" s="37"/>
    </row>
    <row r="687" customFormat="false" ht="15.75" hidden="false" customHeight="false" outlineLevel="0" collapsed="false">
      <c r="L687" s="37"/>
    </row>
    <row r="688" customFormat="false" ht="15.75" hidden="false" customHeight="false" outlineLevel="0" collapsed="false">
      <c r="L688" s="37"/>
    </row>
    <row r="689" customFormat="false" ht="15.75" hidden="false" customHeight="false" outlineLevel="0" collapsed="false">
      <c r="L689" s="37"/>
    </row>
    <row r="690" customFormat="false" ht="15.75" hidden="false" customHeight="false" outlineLevel="0" collapsed="false">
      <c r="L690" s="37"/>
    </row>
    <row r="691" customFormat="false" ht="15.75" hidden="false" customHeight="false" outlineLevel="0" collapsed="false">
      <c r="L691" s="37"/>
    </row>
    <row r="692" customFormat="false" ht="15.75" hidden="false" customHeight="false" outlineLevel="0" collapsed="false">
      <c r="L692" s="37"/>
    </row>
    <row r="693" customFormat="false" ht="15.75" hidden="false" customHeight="false" outlineLevel="0" collapsed="false">
      <c r="L693" s="37"/>
    </row>
    <row r="694" customFormat="false" ht="15.75" hidden="false" customHeight="false" outlineLevel="0" collapsed="false">
      <c r="L694" s="37"/>
    </row>
    <row r="695" customFormat="false" ht="15.75" hidden="false" customHeight="false" outlineLevel="0" collapsed="false">
      <c r="L695" s="37"/>
    </row>
    <row r="696" customFormat="false" ht="15.75" hidden="false" customHeight="false" outlineLevel="0" collapsed="false">
      <c r="L696" s="37"/>
    </row>
    <row r="697" customFormat="false" ht="15.75" hidden="false" customHeight="false" outlineLevel="0" collapsed="false">
      <c r="L697" s="37"/>
    </row>
    <row r="698" customFormat="false" ht="15.75" hidden="false" customHeight="false" outlineLevel="0" collapsed="false">
      <c r="L698" s="37"/>
    </row>
    <row r="699" customFormat="false" ht="15.75" hidden="false" customHeight="false" outlineLevel="0" collapsed="false">
      <c r="L699" s="37"/>
    </row>
    <row r="700" customFormat="false" ht="15.75" hidden="false" customHeight="false" outlineLevel="0" collapsed="false">
      <c r="L700" s="37"/>
    </row>
    <row r="701" customFormat="false" ht="15.75" hidden="false" customHeight="false" outlineLevel="0" collapsed="false">
      <c r="L701" s="37"/>
    </row>
    <row r="702" customFormat="false" ht="15.75" hidden="false" customHeight="false" outlineLevel="0" collapsed="false">
      <c r="L702" s="37"/>
    </row>
    <row r="703" customFormat="false" ht="15.75" hidden="false" customHeight="false" outlineLevel="0" collapsed="false">
      <c r="L703" s="37"/>
    </row>
    <row r="704" customFormat="false" ht="15.75" hidden="false" customHeight="false" outlineLevel="0" collapsed="false">
      <c r="L704" s="37"/>
    </row>
    <row r="705" customFormat="false" ht="15.75" hidden="false" customHeight="false" outlineLevel="0" collapsed="false">
      <c r="L705" s="37"/>
    </row>
    <row r="706" customFormat="false" ht="15.75" hidden="false" customHeight="false" outlineLevel="0" collapsed="false">
      <c r="L706" s="37"/>
    </row>
    <row r="707" customFormat="false" ht="15.75" hidden="false" customHeight="false" outlineLevel="0" collapsed="false">
      <c r="L707" s="37"/>
    </row>
    <row r="708" customFormat="false" ht="15.75" hidden="false" customHeight="false" outlineLevel="0" collapsed="false">
      <c r="L708" s="37"/>
    </row>
    <row r="709" customFormat="false" ht="15.75" hidden="false" customHeight="false" outlineLevel="0" collapsed="false">
      <c r="L709" s="37"/>
    </row>
    <row r="710" customFormat="false" ht="15.75" hidden="false" customHeight="false" outlineLevel="0" collapsed="false">
      <c r="L710" s="37"/>
    </row>
    <row r="711" customFormat="false" ht="15.75" hidden="false" customHeight="false" outlineLevel="0" collapsed="false">
      <c r="L711" s="37"/>
    </row>
    <row r="712" customFormat="false" ht="15.75" hidden="false" customHeight="false" outlineLevel="0" collapsed="false">
      <c r="L712" s="37"/>
    </row>
    <row r="713" customFormat="false" ht="15.75" hidden="false" customHeight="false" outlineLevel="0" collapsed="false">
      <c r="L713" s="37"/>
    </row>
    <row r="714" customFormat="false" ht="15.75" hidden="false" customHeight="false" outlineLevel="0" collapsed="false">
      <c r="L714" s="37"/>
    </row>
    <row r="715" customFormat="false" ht="15.75" hidden="false" customHeight="false" outlineLevel="0" collapsed="false">
      <c r="L715" s="37"/>
    </row>
    <row r="716" customFormat="false" ht="15.75" hidden="false" customHeight="false" outlineLevel="0" collapsed="false">
      <c r="L716" s="37"/>
    </row>
    <row r="717" customFormat="false" ht="15.75" hidden="false" customHeight="false" outlineLevel="0" collapsed="false">
      <c r="L717" s="37"/>
    </row>
    <row r="718" customFormat="false" ht="15.75" hidden="false" customHeight="false" outlineLevel="0" collapsed="false">
      <c r="L718" s="37"/>
    </row>
    <row r="719" customFormat="false" ht="15.75" hidden="false" customHeight="false" outlineLevel="0" collapsed="false">
      <c r="L719" s="37"/>
    </row>
    <row r="720" customFormat="false" ht="15.75" hidden="false" customHeight="false" outlineLevel="0" collapsed="false">
      <c r="L720" s="37"/>
    </row>
    <row r="721" customFormat="false" ht="15.75" hidden="false" customHeight="false" outlineLevel="0" collapsed="false">
      <c r="L721" s="37"/>
    </row>
    <row r="722" customFormat="false" ht="15.75" hidden="false" customHeight="false" outlineLevel="0" collapsed="false">
      <c r="L722" s="37"/>
    </row>
    <row r="723" customFormat="false" ht="15.75" hidden="false" customHeight="false" outlineLevel="0" collapsed="false">
      <c r="L723" s="37"/>
    </row>
    <row r="724" customFormat="false" ht="15.75" hidden="false" customHeight="false" outlineLevel="0" collapsed="false">
      <c r="L724" s="37"/>
    </row>
    <row r="725" customFormat="false" ht="15.75" hidden="false" customHeight="false" outlineLevel="0" collapsed="false">
      <c r="L725" s="37"/>
    </row>
    <row r="726" customFormat="false" ht="15.75" hidden="false" customHeight="false" outlineLevel="0" collapsed="false">
      <c r="L726" s="37"/>
    </row>
    <row r="727" customFormat="false" ht="15.75" hidden="false" customHeight="false" outlineLevel="0" collapsed="false">
      <c r="L727" s="37"/>
    </row>
    <row r="728" customFormat="false" ht="15.75" hidden="false" customHeight="false" outlineLevel="0" collapsed="false">
      <c r="L728" s="37"/>
    </row>
    <row r="729" customFormat="false" ht="15.75" hidden="false" customHeight="false" outlineLevel="0" collapsed="false">
      <c r="L729" s="37"/>
    </row>
    <row r="730" customFormat="false" ht="15.75" hidden="false" customHeight="false" outlineLevel="0" collapsed="false">
      <c r="L730" s="37"/>
    </row>
    <row r="731" customFormat="false" ht="15.75" hidden="false" customHeight="false" outlineLevel="0" collapsed="false">
      <c r="L731" s="37"/>
    </row>
    <row r="732" customFormat="false" ht="15.75" hidden="false" customHeight="false" outlineLevel="0" collapsed="false">
      <c r="L732" s="37"/>
    </row>
    <row r="733" customFormat="false" ht="15.75" hidden="false" customHeight="false" outlineLevel="0" collapsed="false">
      <c r="L733" s="37"/>
    </row>
    <row r="734" customFormat="false" ht="15.75" hidden="false" customHeight="false" outlineLevel="0" collapsed="false">
      <c r="L734" s="37"/>
    </row>
    <row r="735" customFormat="false" ht="15.75" hidden="false" customHeight="false" outlineLevel="0" collapsed="false">
      <c r="L735" s="37"/>
    </row>
    <row r="736" customFormat="false" ht="15.75" hidden="false" customHeight="false" outlineLevel="0" collapsed="false">
      <c r="L736" s="37"/>
    </row>
    <row r="737" customFormat="false" ht="15.75" hidden="false" customHeight="false" outlineLevel="0" collapsed="false">
      <c r="L737" s="37"/>
    </row>
    <row r="738" customFormat="false" ht="15.75" hidden="false" customHeight="false" outlineLevel="0" collapsed="false">
      <c r="L738" s="37"/>
    </row>
    <row r="739" customFormat="false" ht="15.75" hidden="false" customHeight="false" outlineLevel="0" collapsed="false">
      <c r="L739" s="37"/>
    </row>
    <row r="740" customFormat="false" ht="15.75" hidden="false" customHeight="false" outlineLevel="0" collapsed="false">
      <c r="L740" s="37"/>
    </row>
    <row r="741" customFormat="false" ht="15.75" hidden="false" customHeight="false" outlineLevel="0" collapsed="false">
      <c r="L741" s="37"/>
    </row>
    <row r="742" customFormat="false" ht="15.75" hidden="false" customHeight="false" outlineLevel="0" collapsed="false">
      <c r="L742" s="37"/>
    </row>
    <row r="743" customFormat="false" ht="15.75" hidden="false" customHeight="false" outlineLevel="0" collapsed="false">
      <c r="L743" s="37"/>
    </row>
    <row r="744" customFormat="false" ht="15.75" hidden="false" customHeight="false" outlineLevel="0" collapsed="false">
      <c r="L744" s="37"/>
    </row>
    <row r="745" customFormat="false" ht="15.75" hidden="false" customHeight="false" outlineLevel="0" collapsed="false">
      <c r="L745" s="37"/>
    </row>
    <row r="746" customFormat="false" ht="15.75" hidden="false" customHeight="false" outlineLevel="0" collapsed="false">
      <c r="L746" s="37"/>
    </row>
    <row r="747" customFormat="false" ht="15.75" hidden="false" customHeight="false" outlineLevel="0" collapsed="false">
      <c r="L747" s="37"/>
    </row>
    <row r="748" customFormat="false" ht="15.75" hidden="false" customHeight="false" outlineLevel="0" collapsed="false">
      <c r="L748" s="37"/>
    </row>
    <row r="749" customFormat="false" ht="15.75" hidden="false" customHeight="false" outlineLevel="0" collapsed="false">
      <c r="L749" s="37"/>
    </row>
    <row r="750" customFormat="false" ht="15.75" hidden="false" customHeight="false" outlineLevel="0" collapsed="false">
      <c r="L750" s="37"/>
    </row>
    <row r="751" customFormat="false" ht="15.75" hidden="false" customHeight="false" outlineLevel="0" collapsed="false">
      <c r="L751" s="37"/>
    </row>
    <row r="752" customFormat="false" ht="15.75" hidden="false" customHeight="false" outlineLevel="0" collapsed="false">
      <c r="L752" s="37"/>
    </row>
    <row r="753" customFormat="false" ht="15.75" hidden="false" customHeight="false" outlineLevel="0" collapsed="false">
      <c r="L753" s="37"/>
    </row>
    <row r="754" customFormat="false" ht="15.75" hidden="false" customHeight="false" outlineLevel="0" collapsed="false">
      <c r="L754" s="37"/>
    </row>
    <row r="755" customFormat="false" ht="15.75" hidden="false" customHeight="false" outlineLevel="0" collapsed="false">
      <c r="L755" s="37"/>
    </row>
    <row r="756" customFormat="false" ht="15.75" hidden="false" customHeight="false" outlineLevel="0" collapsed="false">
      <c r="L756" s="37"/>
    </row>
    <row r="757" customFormat="false" ht="15.75" hidden="false" customHeight="false" outlineLevel="0" collapsed="false">
      <c r="L757" s="37"/>
    </row>
    <row r="758" customFormat="false" ht="15.75" hidden="false" customHeight="false" outlineLevel="0" collapsed="false">
      <c r="L758" s="37"/>
    </row>
    <row r="759" customFormat="false" ht="15.75" hidden="false" customHeight="false" outlineLevel="0" collapsed="false">
      <c r="L759" s="37"/>
    </row>
    <row r="760" customFormat="false" ht="15.75" hidden="false" customHeight="false" outlineLevel="0" collapsed="false">
      <c r="L760" s="37"/>
    </row>
    <row r="761" customFormat="false" ht="15.75" hidden="false" customHeight="false" outlineLevel="0" collapsed="false">
      <c r="L761" s="37"/>
    </row>
    <row r="762" customFormat="false" ht="15.75" hidden="false" customHeight="false" outlineLevel="0" collapsed="false">
      <c r="L762" s="37"/>
    </row>
    <row r="763" customFormat="false" ht="15.75" hidden="false" customHeight="false" outlineLevel="0" collapsed="false">
      <c r="L763" s="37"/>
    </row>
    <row r="764" customFormat="false" ht="15.75" hidden="false" customHeight="false" outlineLevel="0" collapsed="false">
      <c r="L764" s="37"/>
    </row>
    <row r="765" customFormat="false" ht="15.75" hidden="false" customHeight="false" outlineLevel="0" collapsed="false">
      <c r="L765" s="37"/>
    </row>
    <row r="766" customFormat="false" ht="15.75" hidden="false" customHeight="false" outlineLevel="0" collapsed="false">
      <c r="L766" s="37"/>
    </row>
    <row r="767" customFormat="false" ht="15.75" hidden="false" customHeight="false" outlineLevel="0" collapsed="false">
      <c r="L767" s="37"/>
    </row>
    <row r="768" customFormat="false" ht="15.75" hidden="false" customHeight="false" outlineLevel="0" collapsed="false">
      <c r="L768" s="37"/>
    </row>
    <row r="769" customFormat="false" ht="15.75" hidden="false" customHeight="false" outlineLevel="0" collapsed="false">
      <c r="L769" s="37"/>
    </row>
    <row r="770" customFormat="false" ht="15.75" hidden="false" customHeight="false" outlineLevel="0" collapsed="false">
      <c r="L770" s="37"/>
    </row>
    <row r="771" customFormat="false" ht="15.75" hidden="false" customHeight="false" outlineLevel="0" collapsed="false">
      <c r="L771" s="37"/>
    </row>
    <row r="772" customFormat="false" ht="15.75" hidden="false" customHeight="false" outlineLevel="0" collapsed="false">
      <c r="L772" s="37"/>
    </row>
    <row r="773" customFormat="false" ht="15.75" hidden="false" customHeight="false" outlineLevel="0" collapsed="false">
      <c r="L773" s="37"/>
    </row>
    <row r="774" customFormat="false" ht="15.75" hidden="false" customHeight="false" outlineLevel="0" collapsed="false">
      <c r="L774" s="37"/>
    </row>
    <row r="775" customFormat="false" ht="15.75" hidden="false" customHeight="false" outlineLevel="0" collapsed="false">
      <c r="L775" s="37"/>
    </row>
    <row r="776" customFormat="false" ht="15.75" hidden="false" customHeight="false" outlineLevel="0" collapsed="false">
      <c r="L776" s="37"/>
    </row>
    <row r="777" customFormat="false" ht="15.75" hidden="false" customHeight="false" outlineLevel="0" collapsed="false">
      <c r="L777" s="37"/>
    </row>
    <row r="778" customFormat="false" ht="15.75" hidden="false" customHeight="false" outlineLevel="0" collapsed="false">
      <c r="L778" s="37"/>
    </row>
    <row r="779" customFormat="false" ht="15.75" hidden="false" customHeight="false" outlineLevel="0" collapsed="false">
      <c r="L779" s="37"/>
    </row>
    <row r="780" customFormat="false" ht="15.75" hidden="false" customHeight="false" outlineLevel="0" collapsed="false">
      <c r="L780" s="37"/>
    </row>
    <row r="781" customFormat="false" ht="15.75" hidden="false" customHeight="false" outlineLevel="0" collapsed="false">
      <c r="L781" s="37"/>
    </row>
    <row r="782" customFormat="false" ht="15.75" hidden="false" customHeight="false" outlineLevel="0" collapsed="false">
      <c r="L782" s="37"/>
    </row>
    <row r="783" customFormat="false" ht="15.75" hidden="false" customHeight="false" outlineLevel="0" collapsed="false">
      <c r="L783" s="37"/>
    </row>
    <row r="784" customFormat="false" ht="15.75" hidden="false" customHeight="false" outlineLevel="0" collapsed="false">
      <c r="L784" s="37"/>
    </row>
    <row r="785" customFormat="false" ht="15.75" hidden="false" customHeight="false" outlineLevel="0" collapsed="false">
      <c r="L785" s="37"/>
    </row>
    <row r="786" customFormat="false" ht="15.75" hidden="false" customHeight="false" outlineLevel="0" collapsed="false">
      <c r="L786" s="37"/>
    </row>
    <row r="787" customFormat="false" ht="15.75" hidden="false" customHeight="false" outlineLevel="0" collapsed="false">
      <c r="L787" s="37"/>
    </row>
    <row r="788" customFormat="false" ht="15.75" hidden="false" customHeight="false" outlineLevel="0" collapsed="false">
      <c r="L788" s="37"/>
    </row>
    <row r="789" customFormat="false" ht="15.75" hidden="false" customHeight="false" outlineLevel="0" collapsed="false">
      <c r="L789" s="37"/>
    </row>
    <row r="790" customFormat="false" ht="15.75" hidden="false" customHeight="false" outlineLevel="0" collapsed="false">
      <c r="L790" s="37"/>
    </row>
    <row r="791" customFormat="false" ht="15.75" hidden="false" customHeight="false" outlineLevel="0" collapsed="false">
      <c r="L791" s="37"/>
    </row>
    <row r="792" customFormat="false" ht="15.75" hidden="false" customHeight="false" outlineLevel="0" collapsed="false">
      <c r="L792" s="37"/>
    </row>
    <row r="793" customFormat="false" ht="15.75" hidden="false" customHeight="false" outlineLevel="0" collapsed="false">
      <c r="L793" s="37"/>
    </row>
    <row r="794" customFormat="false" ht="15.75" hidden="false" customHeight="false" outlineLevel="0" collapsed="false">
      <c r="L794" s="37"/>
    </row>
    <row r="795" customFormat="false" ht="15.75" hidden="false" customHeight="false" outlineLevel="0" collapsed="false">
      <c r="L795" s="37"/>
    </row>
    <row r="796" customFormat="false" ht="15.75" hidden="false" customHeight="false" outlineLevel="0" collapsed="false">
      <c r="L796" s="37"/>
    </row>
    <row r="797" customFormat="false" ht="15.75" hidden="false" customHeight="false" outlineLevel="0" collapsed="false">
      <c r="L797" s="37"/>
    </row>
    <row r="798" customFormat="false" ht="15.75" hidden="false" customHeight="false" outlineLevel="0" collapsed="false">
      <c r="L798" s="37"/>
    </row>
    <row r="799" customFormat="false" ht="15.75" hidden="false" customHeight="false" outlineLevel="0" collapsed="false">
      <c r="L799" s="37"/>
    </row>
    <row r="800" customFormat="false" ht="15.75" hidden="false" customHeight="false" outlineLevel="0" collapsed="false">
      <c r="L800" s="37"/>
    </row>
    <row r="801" customFormat="false" ht="15.75" hidden="false" customHeight="false" outlineLevel="0" collapsed="false">
      <c r="L801" s="37"/>
    </row>
    <row r="802" customFormat="false" ht="15.75" hidden="false" customHeight="false" outlineLevel="0" collapsed="false">
      <c r="L802" s="37"/>
    </row>
    <row r="803" customFormat="false" ht="15.75" hidden="false" customHeight="false" outlineLevel="0" collapsed="false">
      <c r="L803" s="37"/>
    </row>
    <row r="804" customFormat="false" ht="15.75" hidden="false" customHeight="false" outlineLevel="0" collapsed="false">
      <c r="L804" s="37"/>
    </row>
    <row r="805" customFormat="false" ht="15.75" hidden="false" customHeight="false" outlineLevel="0" collapsed="false">
      <c r="L805" s="37"/>
    </row>
    <row r="806" customFormat="false" ht="15.75" hidden="false" customHeight="false" outlineLevel="0" collapsed="false">
      <c r="L806" s="37"/>
    </row>
    <row r="807" customFormat="false" ht="15.75" hidden="false" customHeight="false" outlineLevel="0" collapsed="false">
      <c r="L807" s="37"/>
    </row>
    <row r="808" customFormat="false" ht="15.75" hidden="false" customHeight="false" outlineLevel="0" collapsed="false">
      <c r="L808" s="37"/>
    </row>
    <row r="809" customFormat="false" ht="15.75" hidden="false" customHeight="false" outlineLevel="0" collapsed="false">
      <c r="L809" s="37"/>
    </row>
    <row r="810" customFormat="false" ht="15.75" hidden="false" customHeight="false" outlineLevel="0" collapsed="false">
      <c r="L810" s="37"/>
    </row>
    <row r="811" customFormat="false" ht="15.75" hidden="false" customHeight="false" outlineLevel="0" collapsed="false">
      <c r="L811" s="37"/>
    </row>
    <row r="812" customFormat="false" ht="15.75" hidden="false" customHeight="false" outlineLevel="0" collapsed="false">
      <c r="L812" s="37"/>
    </row>
    <row r="813" customFormat="false" ht="15.75" hidden="false" customHeight="false" outlineLevel="0" collapsed="false">
      <c r="L813" s="37"/>
    </row>
    <row r="814" customFormat="false" ht="15.75" hidden="false" customHeight="false" outlineLevel="0" collapsed="false">
      <c r="L814" s="37"/>
    </row>
    <row r="815" customFormat="false" ht="15.75" hidden="false" customHeight="false" outlineLevel="0" collapsed="false">
      <c r="L815" s="37"/>
    </row>
    <row r="816" customFormat="false" ht="15.75" hidden="false" customHeight="false" outlineLevel="0" collapsed="false">
      <c r="L816" s="37"/>
    </row>
    <row r="817" customFormat="false" ht="15.75" hidden="false" customHeight="false" outlineLevel="0" collapsed="false">
      <c r="L817" s="37"/>
    </row>
    <row r="818" customFormat="false" ht="15.75" hidden="false" customHeight="false" outlineLevel="0" collapsed="false">
      <c r="L818" s="37"/>
    </row>
    <row r="819" customFormat="false" ht="15.75" hidden="false" customHeight="false" outlineLevel="0" collapsed="false">
      <c r="L819" s="37"/>
    </row>
    <row r="820" customFormat="false" ht="15.75" hidden="false" customHeight="false" outlineLevel="0" collapsed="false">
      <c r="L820" s="37"/>
    </row>
    <row r="821" customFormat="false" ht="15.75" hidden="false" customHeight="false" outlineLevel="0" collapsed="false">
      <c r="L821" s="37"/>
    </row>
    <row r="822" customFormat="false" ht="15.75" hidden="false" customHeight="false" outlineLevel="0" collapsed="false">
      <c r="L822" s="37"/>
    </row>
    <row r="823" customFormat="false" ht="15.75" hidden="false" customHeight="false" outlineLevel="0" collapsed="false">
      <c r="L823" s="37"/>
    </row>
    <row r="824" customFormat="false" ht="15.75" hidden="false" customHeight="false" outlineLevel="0" collapsed="false">
      <c r="L824" s="37"/>
    </row>
    <row r="825" customFormat="false" ht="15.75" hidden="false" customHeight="false" outlineLevel="0" collapsed="false">
      <c r="L825" s="37"/>
    </row>
    <row r="826" customFormat="false" ht="15.75" hidden="false" customHeight="false" outlineLevel="0" collapsed="false">
      <c r="L826" s="37"/>
    </row>
    <row r="827" customFormat="false" ht="15.75" hidden="false" customHeight="false" outlineLevel="0" collapsed="false">
      <c r="L827" s="37"/>
    </row>
    <row r="828" customFormat="false" ht="15.75" hidden="false" customHeight="false" outlineLevel="0" collapsed="false">
      <c r="L828" s="37"/>
    </row>
    <row r="829" customFormat="false" ht="15.75" hidden="false" customHeight="false" outlineLevel="0" collapsed="false">
      <c r="L829" s="37"/>
    </row>
    <row r="830" customFormat="false" ht="15.75" hidden="false" customHeight="false" outlineLevel="0" collapsed="false">
      <c r="L830" s="37"/>
    </row>
    <row r="831" customFormat="false" ht="15.75" hidden="false" customHeight="false" outlineLevel="0" collapsed="false">
      <c r="L831" s="37"/>
    </row>
    <row r="832" customFormat="false" ht="15.75" hidden="false" customHeight="false" outlineLevel="0" collapsed="false">
      <c r="L832" s="37"/>
    </row>
    <row r="833" customFormat="false" ht="15.75" hidden="false" customHeight="false" outlineLevel="0" collapsed="false">
      <c r="L833" s="37"/>
    </row>
    <row r="834" customFormat="false" ht="15.75" hidden="false" customHeight="false" outlineLevel="0" collapsed="false">
      <c r="L834" s="37"/>
    </row>
    <row r="835" customFormat="false" ht="15.75" hidden="false" customHeight="false" outlineLevel="0" collapsed="false">
      <c r="L835" s="37"/>
    </row>
    <row r="836" customFormat="false" ht="15.75" hidden="false" customHeight="false" outlineLevel="0" collapsed="false">
      <c r="L836" s="37"/>
    </row>
    <row r="837" customFormat="false" ht="15.75" hidden="false" customHeight="false" outlineLevel="0" collapsed="false">
      <c r="L837" s="37"/>
    </row>
    <row r="838" customFormat="false" ht="15.75" hidden="false" customHeight="false" outlineLevel="0" collapsed="false">
      <c r="L838" s="37"/>
    </row>
    <row r="839" customFormat="false" ht="15.75" hidden="false" customHeight="false" outlineLevel="0" collapsed="false">
      <c r="L839" s="37"/>
    </row>
    <row r="840" customFormat="false" ht="15.75" hidden="false" customHeight="false" outlineLevel="0" collapsed="false">
      <c r="L840" s="37"/>
    </row>
    <row r="841" customFormat="false" ht="15.75" hidden="false" customHeight="false" outlineLevel="0" collapsed="false">
      <c r="L841" s="37"/>
    </row>
    <row r="842" customFormat="false" ht="15.75" hidden="false" customHeight="false" outlineLevel="0" collapsed="false">
      <c r="L842" s="37"/>
    </row>
    <row r="843" customFormat="false" ht="15.75" hidden="false" customHeight="false" outlineLevel="0" collapsed="false">
      <c r="L843" s="37"/>
    </row>
    <row r="844" customFormat="false" ht="15.75" hidden="false" customHeight="false" outlineLevel="0" collapsed="false">
      <c r="L844" s="37"/>
    </row>
    <row r="845" customFormat="false" ht="15.75" hidden="false" customHeight="false" outlineLevel="0" collapsed="false">
      <c r="L845" s="37"/>
    </row>
    <row r="846" customFormat="false" ht="15.75" hidden="false" customHeight="false" outlineLevel="0" collapsed="false">
      <c r="L846" s="37"/>
    </row>
    <row r="847" customFormat="false" ht="15.75" hidden="false" customHeight="false" outlineLevel="0" collapsed="false">
      <c r="L847" s="37"/>
    </row>
    <row r="848" customFormat="false" ht="15.75" hidden="false" customHeight="false" outlineLevel="0" collapsed="false">
      <c r="L848" s="37"/>
    </row>
    <row r="849" customFormat="false" ht="15.75" hidden="false" customHeight="false" outlineLevel="0" collapsed="false">
      <c r="L849" s="37"/>
    </row>
    <row r="850" customFormat="false" ht="15.75" hidden="false" customHeight="false" outlineLevel="0" collapsed="false">
      <c r="L850" s="37"/>
    </row>
    <row r="851" customFormat="false" ht="15.75" hidden="false" customHeight="false" outlineLevel="0" collapsed="false">
      <c r="L851" s="37"/>
    </row>
    <row r="852" customFormat="false" ht="15.75" hidden="false" customHeight="false" outlineLevel="0" collapsed="false">
      <c r="L852" s="37"/>
    </row>
    <row r="853" customFormat="false" ht="15.75" hidden="false" customHeight="false" outlineLevel="0" collapsed="false">
      <c r="L853" s="37"/>
    </row>
    <row r="854" customFormat="false" ht="15.75" hidden="false" customHeight="false" outlineLevel="0" collapsed="false">
      <c r="L854" s="37"/>
    </row>
    <row r="855" customFormat="false" ht="15.75" hidden="false" customHeight="false" outlineLevel="0" collapsed="false">
      <c r="L855" s="37"/>
    </row>
    <row r="856" customFormat="false" ht="15.75" hidden="false" customHeight="false" outlineLevel="0" collapsed="false">
      <c r="L856" s="37"/>
    </row>
    <row r="857" customFormat="false" ht="15.75" hidden="false" customHeight="false" outlineLevel="0" collapsed="false">
      <c r="L857" s="37"/>
    </row>
    <row r="858" customFormat="false" ht="15.75" hidden="false" customHeight="false" outlineLevel="0" collapsed="false">
      <c r="L858" s="37"/>
    </row>
    <row r="859" customFormat="false" ht="15.75" hidden="false" customHeight="false" outlineLevel="0" collapsed="false">
      <c r="L859" s="37"/>
    </row>
    <row r="860" customFormat="false" ht="15.75" hidden="false" customHeight="false" outlineLevel="0" collapsed="false">
      <c r="L860" s="37"/>
    </row>
    <row r="861" customFormat="false" ht="15.75" hidden="false" customHeight="false" outlineLevel="0" collapsed="false">
      <c r="L861" s="37"/>
    </row>
    <row r="862" customFormat="false" ht="15.75" hidden="false" customHeight="false" outlineLevel="0" collapsed="false">
      <c r="L862" s="37"/>
    </row>
    <row r="863" customFormat="false" ht="15.75" hidden="false" customHeight="false" outlineLevel="0" collapsed="false">
      <c r="L863" s="37"/>
    </row>
    <row r="864" customFormat="false" ht="15.75" hidden="false" customHeight="false" outlineLevel="0" collapsed="false">
      <c r="L864" s="37"/>
    </row>
    <row r="865" customFormat="false" ht="15.75" hidden="false" customHeight="false" outlineLevel="0" collapsed="false">
      <c r="L865" s="37"/>
    </row>
    <row r="866" customFormat="false" ht="15.75" hidden="false" customHeight="false" outlineLevel="0" collapsed="false">
      <c r="L866" s="37"/>
    </row>
    <row r="867" customFormat="false" ht="15.75" hidden="false" customHeight="false" outlineLevel="0" collapsed="false">
      <c r="L867" s="37"/>
    </row>
    <row r="868" customFormat="false" ht="15.75" hidden="false" customHeight="false" outlineLevel="0" collapsed="false">
      <c r="L868" s="37"/>
    </row>
    <row r="869" customFormat="false" ht="15.75" hidden="false" customHeight="false" outlineLevel="0" collapsed="false">
      <c r="L869" s="37"/>
    </row>
    <row r="870" customFormat="false" ht="15.75" hidden="false" customHeight="false" outlineLevel="0" collapsed="false">
      <c r="L870" s="37"/>
    </row>
    <row r="871" customFormat="false" ht="15.75" hidden="false" customHeight="false" outlineLevel="0" collapsed="false">
      <c r="L871" s="37"/>
    </row>
    <row r="872" customFormat="false" ht="15.75" hidden="false" customHeight="false" outlineLevel="0" collapsed="false">
      <c r="L872" s="37"/>
    </row>
    <row r="873" customFormat="false" ht="15.75" hidden="false" customHeight="false" outlineLevel="0" collapsed="false">
      <c r="L873" s="37"/>
    </row>
    <row r="874" customFormat="false" ht="15.75" hidden="false" customHeight="false" outlineLevel="0" collapsed="false">
      <c r="L874" s="37"/>
    </row>
    <row r="875" customFormat="false" ht="15.75" hidden="false" customHeight="false" outlineLevel="0" collapsed="false">
      <c r="L875" s="37"/>
    </row>
    <row r="876" customFormat="false" ht="15.75" hidden="false" customHeight="false" outlineLevel="0" collapsed="false">
      <c r="L876" s="37"/>
    </row>
    <row r="877" customFormat="false" ht="15.75" hidden="false" customHeight="false" outlineLevel="0" collapsed="false">
      <c r="L877" s="37"/>
    </row>
    <row r="878" customFormat="false" ht="15.75" hidden="false" customHeight="false" outlineLevel="0" collapsed="false">
      <c r="L878" s="37"/>
    </row>
    <row r="879" customFormat="false" ht="15.75" hidden="false" customHeight="false" outlineLevel="0" collapsed="false">
      <c r="L879" s="37"/>
    </row>
    <row r="880" customFormat="false" ht="15.75" hidden="false" customHeight="false" outlineLevel="0" collapsed="false">
      <c r="L880" s="37"/>
    </row>
    <row r="881" customFormat="false" ht="15.75" hidden="false" customHeight="false" outlineLevel="0" collapsed="false">
      <c r="L881" s="37"/>
    </row>
    <row r="882" customFormat="false" ht="15.75" hidden="false" customHeight="false" outlineLevel="0" collapsed="false">
      <c r="L882" s="37"/>
    </row>
    <row r="883" customFormat="false" ht="15.75" hidden="false" customHeight="false" outlineLevel="0" collapsed="false">
      <c r="L883" s="37"/>
    </row>
    <row r="884" customFormat="false" ht="15.75" hidden="false" customHeight="false" outlineLevel="0" collapsed="false">
      <c r="L884" s="37"/>
    </row>
    <row r="885" customFormat="false" ht="15.75" hidden="false" customHeight="false" outlineLevel="0" collapsed="false">
      <c r="L885" s="37"/>
    </row>
    <row r="886" customFormat="false" ht="15.75" hidden="false" customHeight="false" outlineLevel="0" collapsed="false">
      <c r="L886" s="37"/>
    </row>
    <row r="887" customFormat="false" ht="15.75" hidden="false" customHeight="false" outlineLevel="0" collapsed="false">
      <c r="L887" s="37"/>
    </row>
    <row r="888" customFormat="false" ht="15.75" hidden="false" customHeight="false" outlineLevel="0" collapsed="false">
      <c r="L888" s="37"/>
    </row>
    <row r="889" customFormat="false" ht="15.75" hidden="false" customHeight="false" outlineLevel="0" collapsed="false">
      <c r="L889" s="37"/>
    </row>
    <row r="890" customFormat="false" ht="15.75" hidden="false" customHeight="false" outlineLevel="0" collapsed="false">
      <c r="L890" s="37"/>
    </row>
    <row r="891" customFormat="false" ht="15.75" hidden="false" customHeight="false" outlineLevel="0" collapsed="false">
      <c r="L891" s="37"/>
    </row>
    <row r="892" customFormat="false" ht="15.75" hidden="false" customHeight="false" outlineLevel="0" collapsed="false">
      <c r="L892" s="37"/>
    </row>
    <row r="893" customFormat="false" ht="15.75" hidden="false" customHeight="false" outlineLevel="0" collapsed="false">
      <c r="L893" s="37"/>
    </row>
    <row r="894" customFormat="false" ht="15.75" hidden="false" customHeight="false" outlineLevel="0" collapsed="false">
      <c r="L894" s="37"/>
    </row>
    <row r="895" customFormat="false" ht="15.75" hidden="false" customHeight="false" outlineLevel="0" collapsed="false">
      <c r="L895" s="37"/>
    </row>
    <row r="896" customFormat="false" ht="15.75" hidden="false" customHeight="false" outlineLevel="0" collapsed="false">
      <c r="L896" s="37"/>
    </row>
    <row r="897" customFormat="false" ht="15.75" hidden="false" customHeight="false" outlineLevel="0" collapsed="false">
      <c r="L897" s="37"/>
    </row>
    <row r="898" customFormat="false" ht="15.75" hidden="false" customHeight="false" outlineLevel="0" collapsed="false">
      <c r="L898" s="37"/>
    </row>
    <row r="899" customFormat="false" ht="15.75" hidden="false" customHeight="false" outlineLevel="0" collapsed="false">
      <c r="L899" s="37"/>
    </row>
    <row r="900" customFormat="false" ht="15.75" hidden="false" customHeight="false" outlineLevel="0" collapsed="false">
      <c r="L900" s="37"/>
    </row>
    <row r="901" customFormat="false" ht="15.75" hidden="false" customHeight="false" outlineLevel="0" collapsed="false">
      <c r="L901" s="37"/>
    </row>
    <row r="902" customFormat="false" ht="15.75" hidden="false" customHeight="false" outlineLevel="0" collapsed="false">
      <c r="L902" s="37"/>
    </row>
    <row r="903" customFormat="false" ht="15.75" hidden="false" customHeight="false" outlineLevel="0" collapsed="false">
      <c r="L903" s="37"/>
    </row>
    <row r="904" customFormat="false" ht="15.75" hidden="false" customHeight="false" outlineLevel="0" collapsed="false">
      <c r="L904" s="37"/>
    </row>
    <row r="905" customFormat="false" ht="15.75" hidden="false" customHeight="false" outlineLevel="0" collapsed="false">
      <c r="L905" s="37"/>
    </row>
    <row r="906" customFormat="false" ht="15.75" hidden="false" customHeight="false" outlineLevel="0" collapsed="false">
      <c r="L906" s="37"/>
    </row>
    <row r="907" customFormat="false" ht="15.75" hidden="false" customHeight="false" outlineLevel="0" collapsed="false">
      <c r="L907" s="37"/>
    </row>
    <row r="908" customFormat="false" ht="15.75" hidden="false" customHeight="false" outlineLevel="0" collapsed="false">
      <c r="L908" s="37"/>
    </row>
    <row r="909" customFormat="false" ht="15.75" hidden="false" customHeight="false" outlineLevel="0" collapsed="false">
      <c r="L909" s="37"/>
    </row>
    <row r="910" customFormat="false" ht="15.75" hidden="false" customHeight="false" outlineLevel="0" collapsed="false">
      <c r="L910" s="37"/>
    </row>
    <row r="911" customFormat="false" ht="15.75" hidden="false" customHeight="false" outlineLevel="0" collapsed="false">
      <c r="L911" s="37"/>
    </row>
    <row r="912" customFormat="false" ht="15.75" hidden="false" customHeight="false" outlineLevel="0" collapsed="false">
      <c r="L912" s="37"/>
    </row>
    <row r="913" customFormat="false" ht="15.75" hidden="false" customHeight="false" outlineLevel="0" collapsed="false">
      <c r="L913" s="37"/>
    </row>
    <row r="914" customFormat="false" ht="15.75" hidden="false" customHeight="false" outlineLevel="0" collapsed="false">
      <c r="L914" s="37"/>
    </row>
    <row r="915" customFormat="false" ht="15.75" hidden="false" customHeight="false" outlineLevel="0" collapsed="false">
      <c r="L915" s="37"/>
    </row>
    <row r="916" customFormat="false" ht="15.75" hidden="false" customHeight="false" outlineLevel="0" collapsed="false">
      <c r="L916" s="37"/>
    </row>
    <row r="917" customFormat="false" ht="15.75" hidden="false" customHeight="false" outlineLevel="0" collapsed="false">
      <c r="L917" s="37"/>
    </row>
    <row r="918" customFormat="false" ht="15.75" hidden="false" customHeight="false" outlineLevel="0" collapsed="false">
      <c r="L918" s="37"/>
    </row>
    <row r="919" customFormat="false" ht="15.75" hidden="false" customHeight="false" outlineLevel="0" collapsed="false">
      <c r="L919" s="37"/>
    </row>
    <row r="920" customFormat="false" ht="15.75" hidden="false" customHeight="false" outlineLevel="0" collapsed="false">
      <c r="L920" s="37"/>
    </row>
    <row r="921" customFormat="false" ht="15.75" hidden="false" customHeight="false" outlineLevel="0" collapsed="false">
      <c r="L921" s="37"/>
    </row>
    <row r="922" customFormat="false" ht="15.75" hidden="false" customHeight="false" outlineLevel="0" collapsed="false">
      <c r="L922" s="37"/>
    </row>
    <row r="923" customFormat="false" ht="15.75" hidden="false" customHeight="false" outlineLevel="0" collapsed="false">
      <c r="L923" s="37"/>
    </row>
    <row r="924" customFormat="false" ht="15.75" hidden="false" customHeight="false" outlineLevel="0" collapsed="false">
      <c r="L924" s="37"/>
    </row>
    <row r="925" customFormat="false" ht="15.75" hidden="false" customHeight="false" outlineLevel="0" collapsed="false">
      <c r="L925" s="37"/>
    </row>
    <row r="926" customFormat="false" ht="15.75" hidden="false" customHeight="false" outlineLevel="0" collapsed="false">
      <c r="L926" s="37"/>
    </row>
    <row r="927" customFormat="false" ht="15.75" hidden="false" customHeight="false" outlineLevel="0" collapsed="false">
      <c r="L927" s="37"/>
    </row>
    <row r="928" customFormat="false" ht="15.75" hidden="false" customHeight="false" outlineLevel="0" collapsed="false">
      <c r="L928" s="37"/>
    </row>
    <row r="929" customFormat="false" ht="15.75" hidden="false" customHeight="false" outlineLevel="0" collapsed="false">
      <c r="L929" s="37"/>
    </row>
    <row r="930" customFormat="false" ht="15.75" hidden="false" customHeight="false" outlineLevel="0" collapsed="false">
      <c r="L930" s="37"/>
    </row>
    <row r="931" customFormat="false" ht="15.75" hidden="false" customHeight="false" outlineLevel="0" collapsed="false">
      <c r="L931" s="37"/>
    </row>
    <row r="932" customFormat="false" ht="15.75" hidden="false" customHeight="false" outlineLevel="0" collapsed="false">
      <c r="L932" s="37"/>
    </row>
    <row r="933" customFormat="false" ht="15.75" hidden="false" customHeight="false" outlineLevel="0" collapsed="false">
      <c r="L933" s="37"/>
    </row>
    <row r="934" customFormat="false" ht="15.75" hidden="false" customHeight="false" outlineLevel="0" collapsed="false">
      <c r="L934" s="37"/>
    </row>
    <row r="935" customFormat="false" ht="15.75" hidden="false" customHeight="false" outlineLevel="0" collapsed="false">
      <c r="L935" s="37"/>
    </row>
    <row r="936" customFormat="false" ht="15.75" hidden="false" customHeight="false" outlineLevel="0" collapsed="false">
      <c r="L936" s="37"/>
    </row>
    <row r="937" customFormat="false" ht="15.75" hidden="false" customHeight="false" outlineLevel="0" collapsed="false">
      <c r="L937" s="37"/>
    </row>
    <row r="938" customFormat="false" ht="15.75" hidden="false" customHeight="false" outlineLevel="0" collapsed="false">
      <c r="L938" s="37"/>
    </row>
    <row r="939" customFormat="false" ht="15.75" hidden="false" customHeight="false" outlineLevel="0" collapsed="false">
      <c r="L939" s="37"/>
    </row>
    <row r="940" customFormat="false" ht="15.75" hidden="false" customHeight="false" outlineLevel="0" collapsed="false">
      <c r="L940" s="37"/>
    </row>
    <row r="941" customFormat="false" ht="15.75" hidden="false" customHeight="false" outlineLevel="0" collapsed="false">
      <c r="L941" s="37"/>
    </row>
    <row r="942" customFormat="false" ht="15.75" hidden="false" customHeight="false" outlineLevel="0" collapsed="false">
      <c r="L942" s="37"/>
    </row>
    <row r="943" customFormat="false" ht="15.75" hidden="false" customHeight="false" outlineLevel="0" collapsed="false">
      <c r="L943" s="37"/>
    </row>
    <row r="944" customFormat="false" ht="15.75" hidden="false" customHeight="false" outlineLevel="0" collapsed="false">
      <c r="L944" s="37"/>
    </row>
    <row r="945" customFormat="false" ht="15.75" hidden="false" customHeight="false" outlineLevel="0" collapsed="false">
      <c r="L945" s="37"/>
    </row>
    <row r="946" customFormat="false" ht="15.75" hidden="false" customHeight="false" outlineLevel="0" collapsed="false">
      <c r="L946" s="37"/>
    </row>
    <row r="947" customFormat="false" ht="15.75" hidden="false" customHeight="false" outlineLevel="0" collapsed="false">
      <c r="L947" s="37"/>
    </row>
    <row r="948" customFormat="false" ht="15.75" hidden="false" customHeight="false" outlineLevel="0" collapsed="false">
      <c r="L948" s="37"/>
    </row>
    <row r="949" customFormat="false" ht="15.75" hidden="false" customHeight="false" outlineLevel="0" collapsed="false">
      <c r="L949" s="37"/>
    </row>
    <row r="950" customFormat="false" ht="15.75" hidden="false" customHeight="false" outlineLevel="0" collapsed="false">
      <c r="L950" s="37"/>
    </row>
    <row r="951" customFormat="false" ht="15.75" hidden="false" customHeight="false" outlineLevel="0" collapsed="false">
      <c r="L951" s="37"/>
    </row>
    <row r="952" customFormat="false" ht="15.75" hidden="false" customHeight="false" outlineLevel="0" collapsed="false">
      <c r="L952" s="37"/>
    </row>
    <row r="953" customFormat="false" ht="15.75" hidden="false" customHeight="false" outlineLevel="0" collapsed="false">
      <c r="L953" s="37"/>
    </row>
    <row r="954" customFormat="false" ht="15.75" hidden="false" customHeight="false" outlineLevel="0" collapsed="false">
      <c r="L954" s="37"/>
    </row>
    <row r="955" customFormat="false" ht="15.75" hidden="false" customHeight="false" outlineLevel="0" collapsed="false">
      <c r="L955" s="37"/>
    </row>
    <row r="956" customFormat="false" ht="15.75" hidden="false" customHeight="false" outlineLevel="0" collapsed="false">
      <c r="L956" s="37"/>
    </row>
    <row r="957" customFormat="false" ht="15.75" hidden="false" customHeight="false" outlineLevel="0" collapsed="false">
      <c r="L957" s="37"/>
    </row>
    <row r="958" customFormat="false" ht="15.75" hidden="false" customHeight="false" outlineLevel="0" collapsed="false">
      <c r="L958" s="37"/>
    </row>
    <row r="959" customFormat="false" ht="15.75" hidden="false" customHeight="false" outlineLevel="0" collapsed="false">
      <c r="L959" s="37"/>
    </row>
    <row r="960" customFormat="false" ht="15.75" hidden="false" customHeight="false" outlineLevel="0" collapsed="false">
      <c r="L960" s="37"/>
    </row>
    <row r="961" customFormat="false" ht="15.75" hidden="false" customHeight="false" outlineLevel="0" collapsed="false">
      <c r="L961" s="37"/>
    </row>
    <row r="962" customFormat="false" ht="15.75" hidden="false" customHeight="false" outlineLevel="0" collapsed="false">
      <c r="L962" s="37"/>
    </row>
    <row r="963" customFormat="false" ht="15.75" hidden="false" customHeight="false" outlineLevel="0" collapsed="false">
      <c r="L963" s="37"/>
    </row>
    <row r="964" customFormat="false" ht="15.75" hidden="false" customHeight="false" outlineLevel="0" collapsed="false">
      <c r="L964" s="37"/>
    </row>
    <row r="965" customFormat="false" ht="15.75" hidden="false" customHeight="false" outlineLevel="0" collapsed="false">
      <c r="L965" s="37"/>
    </row>
    <row r="966" customFormat="false" ht="15.75" hidden="false" customHeight="false" outlineLevel="0" collapsed="false">
      <c r="L966" s="37"/>
    </row>
    <row r="967" customFormat="false" ht="15.75" hidden="false" customHeight="false" outlineLevel="0" collapsed="false">
      <c r="L967" s="37"/>
    </row>
    <row r="968" customFormat="false" ht="15.75" hidden="false" customHeight="false" outlineLevel="0" collapsed="false">
      <c r="L968" s="37"/>
    </row>
    <row r="969" customFormat="false" ht="15.75" hidden="false" customHeight="false" outlineLevel="0" collapsed="false">
      <c r="L969" s="37"/>
    </row>
    <row r="970" customFormat="false" ht="15.75" hidden="false" customHeight="false" outlineLevel="0" collapsed="false">
      <c r="L970" s="37"/>
    </row>
    <row r="971" customFormat="false" ht="15.75" hidden="false" customHeight="false" outlineLevel="0" collapsed="false">
      <c r="L971" s="37"/>
    </row>
    <row r="972" customFormat="false" ht="15.75" hidden="false" customHeight="false" outlineLevel="0" collapsed="false">
      <c r="L972" s="37"/>
    </row>
    <row r="973" customFormat="false" ht="15.75" hidden="false" customHeight="false" outlineLevel="0" collapsed="false">
      <c r="L973" s="37"/>
    </row>
    <row r="974" customFormat="false" ht="15.75" hidden="false" customHeight="false" outlineLevel="0" collapsed="false">
      <c r="L974" s="37"/>
    </row>
    <row r="975" customFormat="false" ht="15.75" hidden="false" customHeight="false" outlineLevel="0" collapsed="false">
      <c r="L975" s="37"/>
    </row>
    <row r="976" customFormat="false" ht="15.75" hidden="false" customHeight="false" outlineLevel="0" collapsed="false">
      <c r="L976" s="37"/>
    </row>
  </sheetData>
  <mergeCells count="10">
    <mergeCell ref="A8:I8"/>
    <mergeCell ref="A9:I9"/>
    <mergeCell ref="J9:L9"/>
    <mergeCell ref="M9:O9"/>
    <mergeCell ref="P9:S9"/>
    <mergeCell ref="A16:I16"/>
    <mergeCell ref="A17:I17"/>
    <mergeCell ref="J17:L17"/>
    <mergeCell ref="M17:O17"/>
    <mergeCell ref="P17:S17"/>
  </mergeCells>
  <hyperlinks>
    <hyperlink ref="B2" r:id="rId1" display="HISTMAG.ORG"/>
    <hyperlink ref="A11" r:id="rId2" display="HISTMAG.ORG"/>
    <hyperlink ref="A12" r:id="rId3" display="HISTMAG.ORG"/>
    <hyperlink ref="A13" r:id="rId4" display="HISTMAG.ORG"/>
    <hyperlink ref="A14" r:id="rId5" display="HISTMAG.OR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8" t="s">
        <v>514</v>
      </c>
      <c r="B1" s="8" t="n">
        <v>1</v>
      </c>
      <c r="C1" s="80"/>
      <c r="D1" s="80"/>
    </row>
    <row r="6" customFormat="false" ht="15.75" hidden="false" customHeight="false" outlineLevel="0" collapsed="false">
      <c r="A6" s="8" t="s">
        <v>515</v>
      </c>
      <c r="B6" s="81" t="n">
        <v>45962</v>
      </c>
      <c r="C6" s="81" t="n">
        <v>45991</v>
      </c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9" customFormat="false" ht="15.75" hidden="false" customHeight="false" outlineLevel="0" collapsed="false">
      <c r="B9" s="81"/>
    </row>
    <row r="10" customFormat="false" ht="15.75" hidden="false" customHeight="false" outlineLevel="0" collapsed="false">
      <c r="B10" s="81"/>
    </row>
    <row r="11" customFormat="false" ht="15.75" hidden="false" customHeight="false" outlineLevel="0" collapsed="false">
      <c r="B11" s="81"/>
    </row>
    <row r="12" customFormat="false" ht="15.75" hidden="false" customHeight="false" outlineLevel="0" collapsed="false">
      <c r="B12" s="81"/>
    </row>
    <row r="13" customFormat="false" ht="15.75" hidden="false" customHeight="false" outlineLevel="0" collapsed="false">
      <c r="A13" s="8" t="s">
        <v>408</v>
      </c>
      <c r="B13" s="8" t="s">
        <v>516</v>
      </c>
      <c r="C13" s="8" t="s">
        <v>0</v>
      </c>
      <c r="D13" s="8" t="s">
        <v>517</v>
      </c>
      <c r="E13" s="8" t="s">
        <v>304</v>
      </c>
      <c r="F13" s="8" t="s">
        <v>518</v>
      </c>
      <c r="G13" s="8" t="s">
        <v>519</v>
      </c>
      <c r="H13" s="8" t="s">
        <v>520</v>
      </c>
      <c r="I13" s="8" t="s">
        <v>521</v>
      </c>
      <c r="J13" s="8" t="s">
        <v>522</v>
      </c>
      <c r="K13" s="8" t="s">
        <v>523</v>
      </c>
      <c r="L13" s="8" t="s">
        <v>524</v>
      </c>
      <c r="M13" s="8" t="s">
        <v>525</v>
      </c>
      <c r="N13" s="8" t="s">
        <v>526</v>
      </c>
      <c r="O13" s="8" t="s">
        <v>527</v>
      </c>
      <c r="P13" s="8" t="s">
        <v>306</v>
      </c>
      <c r="Q13" s="8" t="s">
        <v>528</v>
      </c>
    </row>
    <row r="14" customFormat="false" ht="15.75" hidden="false" customHeight="false" outlineLevel="0" collapsed="false">
      <c r="A14" s="8" t="s">
        <v>416</v>
      </c>
      <c r="B14" s="81" t="n">
        <v>45963</v>
      </c>
      <c r="C14" s="8" t="s">
        <v>328</v>
      </c>
      <c r="D14" s="8" t="s">
        <v>361</v>
      </c>
      <c r="E14" s="8" t="n">
        <v>9788365156532</v>
      </c>
      <c r="F14" s="8" t="n">
        <v>16.92</v>
      </c>
      <c r="G14" s="8" t="n">
        <v>16.11</v>
      </c>
      <c r="H14" s="8" t="n">
        <v>11.37</v>
      </c>
      <c r="I14" s="8" t="n">
        <v>1</v>
      </c>
      <c r="J14" s="8" t="n">
        <v>1</v>
      </c>
      <c r="K14" s="8" t="s">
        <v>529</v>
      </c>
      <c r="L14" s="8" t="s">
        <v>361</v>
      </c>
      <c r="M14" s="8" t="s">
        <v>530</v>
      </c>
      <c r="N14" s="8" t="s">
        <v>361</v>
      </c>
      <c r="P14" s="8" t="s">
        <v>531</v>
      </c>
    </row>
    <row r="15" customFormat="false" ht="15.75" hidden="false" customHeight="false" outlineLevel="0" collapsed="false">
      <c r="A15" s="8" t="s">
        <v>416</v>
      </c>
      <c r="B15" s="81" t="n">
        <v>45963</v>
      </c>
      <c r="C15" s="8" t="s">
        <v>59</v>
      </c>
      <c r="D15" s="8" t="s">
        <v>361</v>
      </c>
      <c r="E15" s="8" t="n">
        <v>9788365156471</v>
      </c>
      <c r="F15" s="8" t="n">
        <v>15.22</v>
      </c>
      <c r="G15" s="8" t="n">
        <v>14.5</v>
      </c>
      <c r="H15" s="8" t="n">
        <v>10.23</v>
      </c>
      <c r="I15" s="8" t="n">
        <v>1</v>
      </c>
      <c r="J15" s="8" t="n">
        <v>1</v>
      </c>
      <c r="K15" s="8" t="s">
        <v>529</v>
      </c>
      <c r="L15" s="8" t="s">
        <v>361</v>
      </c>
      <c r="M15" s="8" t="s">
        <v>530</v>
      </c>
      <c r="N15" s="8" t="s">
        <v>361</v>
      </c>
      <c r="P15" s="8" t="s">
        <v>531</v>
      </c>
    </row>
    <row r="16" customFormat="false" ht="15.75" hidden="false" customHeight="false" outlineLevel="0" collapsed="false">
      <c r="A16" s="8" t="s">
        <v>416</v>
      </c>
      <c r="B16" s="81" t="n">
        <v>45963</v>
      </c>
      <c r="C16" s="8" t="s">
        <v>324</v>
      </c>
      <c r="D16" s="8" t="s">
        <v>361</v>
      </c>
      <c r="E16" s="8" t="n">
        <v>9788365156426</v>
      </c>
      <c r="F16" s="8" t="n">
        <v>16.92</v>
      </c>
      <c r="G16" s="8" t="n">
        <v>16.11</v>
      </c>
      <c r="H16" s="8" t="n">
        <v>11.37</v>
      </c>
      <c r="I16" s="8" t="n">
        <v>1</v>
      </c>
      <c r="J16" s="8" t="n">
        <v>1</v>
      </c>
      <c r="K16" s="8" t="s">
        <v>529</v>
      </c>
      <c r="L16" s="8" t="s">
        <v>361</v>
      </c>
      <c r="M16" s="8" t="s">
        <v>530</v>
      </c>
      <c r="N16" s="8" t="s">
        <v>361</v>
      </c>
      <c r="P16" s="8" t="s">
        <v>531</v>
      </c>
    </row>
    <row r="17" customFormat="false" ht="15.75" hidden="false" customHeight="false" outlineLevel="0" collapsed="false">
      <c r="A17" s="8" t="s">
        <v>416</v>
      </c>
      <c r="B17" s="81" t="n">
        <v>45972</v>
      </c>
      <c r="C17" s="8" t="s">
        <v>92</v>
      </c>
      <c r="D17" s="8" t="s">
        <v>361</v>
      </c>
      <c r="E17" s="8" t="n">
        <v>9788365156785</v>
      </c>
      <c r="F17" s="8" t="n">
        <v>11.92</v>
      </c>
      <c r="G17" s="8" t="n">
        <v>11.35</v>
      </c>
      <c r="H17" s="8" t="n">
        <v>8.51</v>
      </c>
      <c r="I17" s="8" t="n">
        <v>1</v>
      </c>
      <c r="J17" s="8" t="n">
        <v>1</v>
      </c>
      <c r="K17" s="8" t="s">
        <v>529</v>
      </c>
      <c r="L17" s="8" t="s">
        <v>361</v>
      </c>
      <c r="M17" s="8" t="s">
        <v>530</v>
      </c>
      <c r="N17" s="8" t="s">
        <v>361</v>
      </c>
      <c r="P17" s="8" t="s">
        <v>472</v>
      </c>
    </row>
    <row r="18" customFormat="false" ht="15.75" hidden="false" customHeight="false" outlineLevel="0" collapsed="false">
      <c r="A18" s="8" t="s">
        <v>416</v>
      </c>
      <c r="B18" s="81" t="n">
        <v>45975</v>
      </c>
      <c r="C18" s="8" t="s">
        <v>532</v>
      </c>
      <c r="D18" s="8" t="s">
        <v>361</v>
      </c>
      <c r="E18" s="8" t="n">
        <v>9788393463060</v>
      </c>
      <c r="F18" s="8" t="n">
        <v>10.12</v>
      </c>
      <c r="G18" s="8" t="n">
        <v>9.64</v>
      </c>
      <c r="H18" s="8" t="n">
        <v>6.8</v>
      </c>
      <c r="I18" s="8" t="n">
        <v>1</v>
      </c>
      <c r="J18" s="8" t="n">
        <v>1</v>
      </c>
      <c r="K18" s="8" t="s">
        <v>529</v>
      </c>
      <c r="L18" s="8" t="s">
        <v>361</v>
      </c>
      <c r="M18" s="8" t="s">
        <v>530</v>
      </c>
      <c r="N18" s="8" t="s">
        <v>361</v>
      </c>
      <c r="P18" s="8" t="s">
        <v>531</v>
      </c>
    </row>
    <row r="19" customFormat="false" ht="15.75" hidden="false" customHeight="false" outlineLevel="0" collapsed="false">
      <c r="A19" s="8" t="s">
        <v>416</v>
      </c>
      <c r="B19" s="81" t="n">
        <v>45975</v>
      </c>
      <c r="C19" s="8" t="s">
        <v>81</v>
      </c>
      <c r="D19" s="8" t="s">
        <v>361</v>
      </c>
      <c r="E19" s="8" t="n">
        <v>9788365156655</v>
      </c>
      <c r="F19" s="8" t="n">
        <v>16.92</v>
      </c>
      <c r="G19" s="8" t="n">
        <v>16.11</v>
      </c>
      <c r="H19" s="8" t="n">
        <v>11.37</v>
      </c>
      <c r="I19" s="8" t="n">
        <v>1</v>
      </c>
      <c r="J19" s="8" t="n">
        <v>1</v>
      </c>
      <c r="K19" s="8" t="s">
        <v>529</v>
      </c>
      <c r="L19" s="8" t="s">
        <v>361</v>
      </c>
      <c r="M19" s="8" t="s">
        <v>530</v>
      </c>
      <c r="N19" s="8" t="s">
        <v>361</v>
      </c>
      <c r="P19" s="8" t="s">
        <v>531</v>
      </c>
    </row>
    <row r="20" customFormat="false" ht="15.75" hidden="false" customHeight="false" outlineLevel="0" collapsed="false">
      <c r="A20" s="8" t="s">
        <v>416</v>
      </c>
      <c r="B20" s="81" t="n">
        <v>45977</v>
      </c>
      <c r="C20" s="8" t="s">
        <v>94</v>
      </c>
      <c r="D20" s="8" t="s">
        <v>361</v>
      </c>
      <c r="E20" s="8" t="n">
        <v>9788365156136</v>
      </c>
      <c r="F20" s="8" t="n">
        <v>11.92</v>
      </c>
      <c r="G20" s="8" t="n">
        <v>11.35</v>
      </c>
      <c r="H20" s="8" t="n">
        <v>8.51</v>
      </c>
      <c r="I20" s="8" t="n">
        <v>1</v>
      </c>
      <c r="J20" s="8" t="n">
        <v>1</v>
      </c>
      <c r="K20" s="8" t="s">
        <v>529</v>
      </c>
      <c r="L20" s="8" t="s">
        <v>361</v>
      </c>
      <c r="M20" s="8" t="s">
        <v>530</v>
      </c>
      <c r="N20" s="8" t="s">
        <v>361</v>
      </c>
      <c r="P20" s="8" t="s">
        <v>472</v>
      </c>
    </row>
    <row r="21" customFormat="false" ht="15.75" hidden="false" customHeight="false" outlineLevel="0" collapsed="false">
      <c r="A21" s="8" t="s">
        <v>416</v>
      </c>
      <c r="B21" s="81" t="n">
        <v>45979</v>
      </c>
      <c r="C21" s="8" t="s">
        <v>376</v>
      </c>
      <c r="D21" s="8" t="s">
        <v>361</v>
      </c>
      <c r="E21" s="8" t="n">
        <v>9788393463053</v>
      </c>
      <c r="F21" s="8" t="n">
        <v>9.27</v>
      </c>
      <c r="G21" s="8" t="n">
        <v>8.83</v>
      </c>
      <c r="H21" s="8" t="n">
        <v>6.23</v>
      </c>
      <c r="I21" s="8" t="n">
        <v>1</v>
      </c>
      <c r="J21" s="8" t="n">
        <v>1</v>
      </c>
      <c r="K21" s="8" t="s">
        <v>529</v>
      </c>
      <c r="L21" s="8" t="s">
        <v>361</v>
      </c>
      <c r="M21" s="8" t="s">
        <v>530</v>
      </c>
      <c r="N21" s="8" t="s">
        <v>361</v>
      </c>
      <c r="P21" s="8" t="s">
        <v>531</v>
      </c>
    </row>
    <row r="22" customFormat="false" ht="15.75" hidden="false" customHeight="false" outlineLevel="0" collapsed="false">
      <c r="A22" s="8" t="s">
        <v>416</v>
      </c>
      <c r="B22" s="81" t="n">
        <v>45979</v>
      </c>
      <c r="C22" s="8" t="s">
        <v>96</v>
      </c>
      <c r="D22" s="8" t="s">
        <v>361</v>
      </c>
      <c r="E22" s="8" t="n">
        <v>9788365156099</v>
      </c>
      <c r="F22" s="8" t="n">
        <v>9.27</v>
      </c>
      <c r="G22" s="8" t="n">
        <v>8.83</v>
      </c>
      <c r="H22" s="8" t="n">
        <v>6.23</v>
      </c>
      <c r="I22" s="8" t="n">
        <v>1</v>
      </c>
      <c r="J22" s="8" t="n">
        <v>1</v>
      </c>
      <c r="K22" s="8" t="s">
        <v>529</v>
      </c>
      <c r="L22" s="8" t="s">
        <v>361</v>
      </c>
      <c r="M22" s="8" t="s">
        <v>530</v>
      </c>
      <c r="N22" s="8" t="s">
        <v>361</v>
      </c>
      <c r="P22" s="8" t="s">
        <v>531</v>
      </c>
    </row>
    <row r="23" customFormat="false" ht="15.75" hidden="false" customHeight="false" outlineLevel="0" collapsed="false">
      <c r="A23" s="8" t="s">
        <v>416</v>
      </c>
      <c r="B23" s="81" t="n">
        <v>45980</v>
      </c>
      <c r="C23" s="8" t="s">
        <v>317</v>
      </c>
      <c r="D23" s="8" t="s">
        <v>361</v>
      </c>
      <c r="E23" s="8" t="n">
        <v>9788365156716</v>
      </c>
      <c r="F23" s="8" t="n">
        <v>11.92</v>
      </c>
      <c r="G23" s="8" t="n">
        <v>11.35</v>
      </c>
      <c r="H23" s="8" t="n">
        <v>8.51</v>
      </c>
      <c r="I23" s="8" t="n">
        <v>1</v>
      </c>
      <c r="J23" s="8" t="n">
        <v>1</v>
      </c>
      <c r="K23" s="8" t="s">
        <v>529</v>
      </c>
      <c r="L23" s="8" t="s">
        <v>361</v>
      </c>
      <c r="M23" s="8" t="s">
        <v>530</v>
      </c>
      <c r="N23" s="8" t="s">
        <v>361</v>
      </c>
      <c r="P23" s="8" t="s">
        <v>472</v>
      </c>
    </row>
    <row r="24" customFormat="false" ht="15.75" hidden="false" customHeight="false" outlineLevel="0" collapsed="false">
      <c r="A24" s="8" t="s">
        <v>416</v>
      </c>
      <c r="B24" s="81" t="n">
        <v>45983</v>
      </c>
      <c r="C24" s="8" t="s">
        <v>92</v>
      </c>
      <c r="D24" s="8" t="s">
        <v>361</v>
      </c>
      <c r="E24" s="8" t="n">
        <v>9788365156433</v>
      </c>
      <c r="F24" s="8" t="n">
        <v>12.67</v>
      </c>
      <c r="G24" s="8" t="n">
        <v>12.07</v>
      </c>
      <c r="H24" s="8" t="n">
        <v>8.51</v>
      </c>
      <c r="I24" s="8" t="n">
        <v>1</v>
      </c>
      <c r="J24" s="8" t="n">
        <v>1</v>
      </c>
      <c r="K24" s="8" t="s">
        <v>529</v>
      </c>
      <c r="L24" s="8" t="s">
        <v>361</v>
      </c>
      <c r="M24" s="8" t="s">
        <v>530</v>
      </c>
      <c r="N24" s="8" t="s">
        <v>361</v>
      </c>
      <c r="P24" s="8" t="s">
        <v>531</v>
      </c>
    </row>
    <row r="25" customFormat="false" ht="15.75" hidden="false" customHeight="false" outlineLevel="0" collapsed="false">
      <c r="A25" s="8" t="s">
        <v>416</v>
      </c>
      <c r="B25" s="81" t="n">
        <v>45983</v>
      </c>
      <c r="C25" s="8" t="s">
        <v>92</v>
      </c>
      <c r="D25" s="8" t="s">
        <v>361</v>
      </c>
      <c r="E25" s="8" t="n">
        <v>9788365156785</v>
      </c>
      <c r="F25" s="8" t="n">
        <v>11.92</v>
      </c>
      <c r="G25" s="8" t="n">
        <v>11.35</v>
      </c>
      <c r="H25" s="8" t="n">
        <v>8.51</v>
      </c>
      <c r="I25" s="8" t="n">
        <v>1</v>
      </c>
      <c r="J25" s="8" t="n">
        <v>1</v>
      </c>
      <c r="K25" s="8" t="s">
        <v>529</v>
      </c>
      <c r="L25" s="8" t="s">
        <v>361</v>
      </c>
      <c r="M25" s="8" t="s">
        <v>530</v>
      </c>
      <c r="N25" s="8" t="s">
        <v>361</v>
      </c>
      <c r="P25" s="8" t="s">
        <v>472</v>
      </c>
    </row>
    <row r="26" customFormat="false" ht="15.75" hidden="false" customHeight="false" outlineLevel="0" collapsed="false">
      <c r="A26" s="8" t="s">
        <v>416</v>
      </c>
      <c r="B26" s="81" t="n">
        <v>45985</v>
      </c>
      <c r="C26" s="8" t="s">
        <v>61</v>
      </c>
      <c r="D26" s="8" t="s">
        <v>361</v>
      </c>
      <c r="E26" s="8" t="n">
        <v>9788365156822</v>
      </c>
      <c r="F26" s="8" t="n">
        <v>14.9</v>
      </c>
      <c r="G26" s="8" t="n">
        <v>14.19</v>
      </c>
      <c r="H26" s="8" t="n">
        <v>11.37</v>
      </c>
      <c r="I26" s="8" t="n">
        <v>1</v>
      </c>
      <c r="J26" s="8" t="n">
        <v>1</v>
      </c>
      <c r="K26" s="8" t="s">
        <v>529</v>
      </c>
      <c r="L26" s="8" t="s">
        <v>361</v>
      </c>
      <c r="M26" s="8" t="s">
        <v>530</v>
      </c>
      <c r="N26" s="8" t="s">
        <v>361</v>
      </c>
      <c r="P26" s="8" t="s">
        <v>531</v>
      </c>
    </row>
    <row r="27" customFormat="false" ht="15.75" hidden="false" customHeight="false" outlineLevel="0" collapsed="false">
      <c r="A27" s="8" t="s">
        <v>416</v>
      </c>
      <c r="B27" s="81" t="n">
        <v>45990</v>
      </c>
      <c r="C27" s="8" t="s">
        <v>116</v>
      </c>
      <c r="D27" s="8" t="s">
        <v>361</v>
      </c>
      <c r="E27" s="8" t="n">
        <v>9788365156334</v>
      </c>
      <c r="F27" s="8" t="n">
        <v>8.72</v>
      </c>
      <c r="G27" s="8" t="n">
        <v>8.3</v>
      </c>
      <c r="H27" s="8" t="n">
        <v>6.23</v>
      </c>
      <c r="I27" s="8" t="n">
        <v>1</v>
      </c>
      <c r="J27" s="8" t="n">
        <v>1</v>
      </c>
      <c r="K27" s="8" t="s">
        <v>529</v>
      </c>
      <c r="L27" s="8" t="s">
        <v>361</v>
      </c>
      <c r="M27" s="8" t="s">
        <v>530</v>
      </c>
      <c r="N27" s="8" t="s">
        <v>361</v>
      </c>
      <c r="P27" s="8" t="s">
        <v>472</v>
      </c>
    </row>
    <row r="28" customFormat="false" ht="15.75" hidden="false" customHeight="false" outlineLevel="0" collapsed="false">
      <c r="B28" s="81"/>
    </row>
    <row r="29" customFormat="false" ht="15.75" hidden="false" customHeight="false" outlineLevel="0" collapsed="false">
      <c r="B29" s="81"/>
    </row>
    <row r="30" customFormat="false" ht="15.75" hidden="false" customHeight="false" outlineLevel="0" collapsed="false">
      <c r="B30" s="81"/>
    </row>
    <row r="31" customFormat="false" ht="15.75" hidden="false" customHeight="false" outlineLevel="0" collapsed="false">
      <c r="B31" s="81"/>
    </row>
    <row r="32" customFormat="false" ht="15.75" hidden="false" customHeight="false" outlineLevel="0" collapsed="false">
      <c r="B32" s="81"/>
    </row>
    <row r="37" customFormat="false" ht="15.75" hidden="false" customHeight="false" outlineLevel="0" collapsed="false">
      <c r="B37" s="81"/>
    </row>
    <row r="38" customFormat="false" ht="15.75" hidden="false" customHeight="false" outlineLevel="0" collapsed="false">
      <c r="B38" s="81"/>
    </row>
    <row r="39" customFormat="false" ht="15.75" hidden="false" customHeight="false" outlineLevel="0" collapsed="false">
      <c r="B39" s="81"/>
    </row>
    <row r="40" customFormat="false" ht="15.75" hidden="false" customHeight="false" outlineLevel="0" collapsed="false">
      <c r="B40" s="81"/>
    </row>
    <row r="41" customFormat="false" ht="15.75" hidden="false" customHeight="false" outlineLevel="0" collapsed="false">
      <c r="B41" s="81"/>
    </row>
    <row r="42" customFormat="false" ht="15.75" hidden="false" customHeight="false" outlineLevel="0" collapsed="false">
      <c r="B42" s="81"/>
    </row>
    <row r="43" customFormat="false" ht="15.75" hidden="false" customHeight="false" outlineLevel="0" collapsed="false">
      <c r="B43" s="81"/>
    </row>
    <row r="44" customFormat="false" ht="15.75" hidden="false" customHeight="false" outlineLevel="0" collapsed="false">
      <c r="B44" s="81"/>
    </row>
    <row r="45" customFormat="false" ht="15.75" hidden="false" customHeight="false" outlineLevel="0" collapsed="false">
      <c r="B45" s="81"/>
    </row>
    <row r="46" customFormat="false" ht="15.75" hidden="false" customHeight="false" outlineLevel="0" collapsed="false">
      <c r="B46" s="81"/>
    </row>
    <row r="47" customFormat="false" ht="15.75" hidden="false" customHeight="false" outlineLevel="0" collapsed="false">
      <c r="B47" s="81"/>
    </row>
    <row r="48" customFormat="false" ht="15.75" hidden="false" customHeight="false" outlineLevel="0" collapsed="false">
      <c r="B48" s="81"/>
    </row>
    <row r="50" customFormat="false" ht="15.75" hidden="false" customHeight="false" outlineLevel="0" collapsed="false">
      <c r="B50" s="81"/>
    </row>
    <row r="51" customFormat="false" ht="15.75" hidden="false" customHeight="false" outlineLevel="0" collapsed="false">
      <c r="B51" s="81"/>
    </row>
    <row r="52" customFormat="false" ht="15.75" hidden="false" customHeight="false" outlineLevel="0" collapsed="false">
      <c r="B52" s="81"/>
    </row>
    <row r="53" customFormat="false" ht="15.75" hidden="false" customHeight="false" outlineLevel="0" collapsed="false">
      <c r="B53" s="81"/>
    </row>
    <row r="54" customFormat="false" ht="15.75" hidden="false" customHeight="false" outlineLevel="0" collapsed="false">
      <c r="B54" s="81"/>
    </row>
    <row r="55" customFormat="false" ht="15.75" hidden="false" customHeight="false" outlineLevel="0" collapsed="false">
      <c r="B55" s="81"/>
    </row>
    <row r="56" customFormat="false" ht="15.75" hidden="false" customHeight="false" outlineLevel="0" collapsed="false">
      <c r="B56" s="81"/>
    </row>
    <row r="57" customFormat="false" ht="15.75" hidden="false" customHeight="false" outlineLevel="0" collapsed="false">
      <c r="B57" s="81"/>
    </row>
    <row r="59" customFormat="false" ht="15.75" hidden="false" customHeight="false" outlineLevel="0" collapsed="false">
      <c r="B59" s="81"/>
    </row>
    <row r="60" customFormat="false" ht="15.75" hidden="false" customHeight="false" outlineLevel="0" collapsed="false">
      <c r="B60" s="81"/>
    </row>
    <row r="61" customFormat="false" ht="15.75" hidden="false" customHeight="false" outlineLevel="0" collapsed="false">
      <c r="B61" s="81"/>
    </row>
    <row r="62" customFormat="false" ht="15.75" hidden="false" customHeight="false" outlineLevel="0" collapsed="false">
      <c r="B62" s="81"/>
    </row>
    <row r="63" customFormat="false" ht="15.75" hidden="false" customHeight="false" outlineLevel="0" collapsed="false">
      <c r="B63" s="81"/>
    </row>
    <row r="64" customFormat="false" ht="15.75" hidden="false" customHeight="false" outlineLevel="0" collapsed="false">
      <c r="B64" s="81"/>
    </row>
    <row r="65" customFormat="false" ht="15.75" hidden="false" customHeight="false" outlineLevel="0" collapsed="false">
      <c r="B65" s="81"/>
    </row>
    <row r="66" customFormat="false" ht="15.75" hidden="false" customHeight="false" outlineLevel="0" collapsed="false">
      <c r="B66" s="81"/>
    </row>
    <row r="67" customFormat="false" ht="15.75" hidden="false" customHeight="false" outlineLevel="0" collapsed="false">
      <c r="B67" s="81"/>
    </row>
    <row r="68" customFormat="false" ht="15.75" hidden="false" customHeight="false" outlineLevel="0" collapsed="false">
      <c r="B68" s="81"/>
    </row>
    <row r="69" customFormat="false" ht="15.75" hidden="false" customHeight="false" outlineLevel="0" collapsed="false">
      <c r="B69" s="81"/>
    </row>
    <row r="70" customFormat="false" ht="15.75" hidden="false" customHeight="false" outlineLevel="0" collapsed="false">
      <c r="B70" s="81"/>
    </row>
    <row r="71" customFormat="false" ht="15.75" hidden="false" customHeight="false" outlineLevel="0" collapsed="false">
      <c r="B71" s="81"/>
    </row>
    <row r="72" customFormat="false" ht="15.75" hidden="false" customHeight="false" outlineLevel="0" collapsed="false">
      <c r="B72" s="81"/>
    </row>
    <row r="73" customFormat="false" ht="15.75" hidden="false" customHeight="false" outlineLevel="0" collapsed="false">
      <c r="B73" s="81"/>
    </row>
    <row r="74" customFormat="false" ht="15.75" hidden="false" customHeight="false" outlineLevel="0" collapsed="false">
      <c r="B74" s="81"/>
    </row>
    <row r="75" customFormat="false" ht="15.75" hidden="false" customHeight="false" outlineLevel="0" collapsed="false">
      <c r="B75" s="81"/>
    </row>
    <row r="76" customFormat="false" ht="15.75" hidden="false" customHeight="false" outlineLevel="0" collapsed="false">
      <c r="B76" s="81"/>
    </row>
    <row r="77" customFormat="false" ht="15.75" hidden="false" customHeight="false" outlineLevel="0" collapsed="false">
      <c r="B77" s="81"/>
    </row>
    <row r="78" customFormat="false" ht="15.75" hidden="false" customHeight="false" outlineLevel="0" collapsed="false">
      <c r="B78" s="81"/>
    </row>
    <row r="79" customFormat="false" ht="15.75" hidden="false" customHeight="false" outlineLevel="0" collapsed="false">
      <c r="B79" s="81"/>
    </row>
    <row r="80" customFormat="false" ht="15.75" hidden="false" customHeight="false" outlineLevel="0" collapsed="false">
      <c r="B80" s="81"/>
    </row>
    <row r="81" customFormat="false" ht="15.75" hidden="false" customHeight="false" outlineLevel="0" collapsed="false">
      <c r="B81" s="81"/>
    </row>
    <row r="82" customFormat="false" ht="15.75" hidden="false" customHeight="false" outlineLevel="0" collapsed="false">
      <c r="B82" s="81"/>
    </row>
    <row r="83" customFormat="false" ht="15.75" hidden="false" customHeight="false" outlineLevel="0" collapsed="false">
      <c r="B83" s="81"/>
    </row>
    <row r="84" customFormat="false" ht="15.75" hidden="false" customHeight="false" outlineLevel="0" collapsed="false">
      <c r="B84" s="81"/>
    </row>
    <row r="85" customFormat="false" ht="15.75" hidden="false" customHeight="false" outlineLevel="0" collapsed="false">
      <c r="B85" s="81"/>
    </row>
    <row r="86" customFormat="false" ht="15.75" hidden="false" customHeight="false" outlineLevel="0" collapsed="false">
      <c r="B86" s="81"/>
    </row>
    <row r="87" customFormat="false" ht="15.75" hidden="false" customHeight="false" outlineLevel="0" collapsed="false">
      <c r="B87" s="81"/>
    </row>
    <row r="88" customFormat="false" ht="15.75" hidden="false" customHeight="false" outlineLevel="0" collapsed="false">
      <c r="B88" s="81"/>
    </row>
    <row r="89" customFormat="false" ht="15.75" hidden="false" customHeight="false" outlineLevel="0" collapsed="false">
      <c r="B89" s="81"/>
    </row>
    <row r="90" customFormat="false" ht="15.75" hidden="false" customHeight="false" outlineLevel="0" collapsed="false">
      <c r="B90" s="81"/>
    </row>
    <row r="91" customFormat="false" ht="15.75" hidden="false" customHeight="false" outlineLevel="0" collapsed="false">
      <c r="B91" s="81"/>
    </row>
    <row r="92" customFormat="false" ht="15.75" hidden="false" customHeight="false" outlineLevel="0" collapsed="false">
      <c r="B92" s="81"/>
    </row>
    <row r="93" customFormat="false" ht="15.75" hidden="false" customHeight="false" outlineLevel="0" collapsed="false">
      <c r="B93" s="81"/>
    </row>
    <row r="94" customFormat="false" ht="15.75" hidden="false" customHeight="false" outlineLevel="0" collapsed="false">
      <c r="B94" s="81"/>
    </row>
    <row r="95" customFormat="false" ht="15.75" hidden="false" customHeight="false" outlineLevel="0" collapsed="false">
      <c r="B95" s="81"/>
    </row>
    <row r="96" customFormat="false" ht="15.75" hidden="false" customHeight="false" outlineLevel="0" collapsed="false">
      <c r="B96" s="81"/>
    </row>
    <row r="97" customFormat="false" ht="15.75" hidden="false" customHeight="false" outlineLevel="0" collapsed="false">
      <c r="B97" s="81"/>
    </row>
    <row r="98" customFormat="false" ht="15.75" hidden="false" customHeight="false" outlineLevel="0" collapsed="false">
      <c r="B98" s="81"/>
    </row>
    <row r="99" customFormat="false" ht="15.75" hidden="false" customHeight="false" outlineLevel="0" collapsed="false">
      <c r="B99" s="81"/>
    </row>
    <row r="103" customFormat="false" ht="15.75" hidden="false" customHeight="false" outlineLevel="0" collapsed="false">
      <c r="B103" s="81"/>
    </row>
    <row r="104" customFormat="false" ht="15.75" hidden="false" customHeight="false" outlineLevel="0" collapsed="false">
      <c r="B104" s="81"/>
      <c r="G104" s="83"/>
    </row>
    <row r="105" customFormat="false" ht="15.75" hidden="false" customHeight="false" outlineLevel="0" collapsed="false">
      <c r="B105" s="81"/>
      <c r="G105" s="83"/>
      <c r="H105" s="83"/>
    </row>
    <row r="106" customFormat="false" ht="15.75" hidden="false" customHeight="false" outlineLevel="0" collapsed="false">
      <c r="B106" s="81"/>
    </row>
    <row r="107" customFormat="false" ht="15.75" hidden="false" customHeight="false" outlineLevel="0" collapsed="false">
      <c r="B107" s="81"/>
      <c r="G107" s="83"/>
    </row>
    <row r="108" customFormat="false" ht="15.75" hidden="false" customHeight="false" outlineLevel="0" collapsed="false">
      <c r="B108" s="81"/>
      <c r="G108" s="83"/>
    </row>
    <row r="109" customFormat="false" ht="15.75" hidden="false" customHeight="false" outlineLevel="0" collapsed="false">
      <c r="B109" s="81"/>
    </row>
    <row r="110" customFormat="false" ht="15.75" hidden="false" customHeight="false" outlineLevel="0" collapsed="false">
      <c r="B110" s="81"/>
    </row>
    <row r="111" customFormat="false" ht="15.75" hidden="false" customHeight="false" outlineLevel="0" collapsed="false">
      <c r="B111" s="81"/>
    </row>
    <row r="112" customFormat="false" ht="15.75" hidden="false" customHeight="false" outlineLevel="0" collapsed="false">
      <c r="B112" s="81"/>
    </row>
    <row r="113" customFormat="false" ht="15.75" hidden="false" customHeight="false" outlineLevel="0" collapsed="false">
      <c r="B113" s="81"/>
    </row>
    <row r="114" customFormat="false" ht="15.75" hidden="false" customHeight="false" outlineLevel="0" collapsed="false">
      <c r="B114" s="81"/>
    </row>
    <row r="115" customFormat="false" ht="15.75" hidden="false" customHeight="false" outlineLevel="0" collapsed="false">
      <c r="B115" s="81"/>
    </row>
    <row r="116" customFormat="false" ht="15.75" hidden="false" customHeight="false" outlineLevel="0" collapsed="false">
      <c r="B116" s="81"/>
      <c r="G116" s="83"/>
    </row>
    <row r="117" customFormat="false" ht="15.75" hidden="false" customHeight="false" outlineLevel="0" collapsed="false">
      <c r="B117" s="81"/>
      <c r="G117" s="83"/>
    </row>
    <row r="118" customFormat="false" ht="15.75" hidden="false" customHeight="false" outlineLevel="0" collapsed="false">
      <c r="B118" s="81"/>
    </row>
    <row r="119" customFormat="false" ht="15.75" hidden="false" customHeight="false" outlineLevel="0" collapsed="false">
      <c r="B119" s="81"/>
      <c r="G119" s="83"/>
    </row>
    <row r="120" customFormat="false" ht="15.75" hidden="false" customHeight="false" outlineLevel="0" collapsed="false">
      <c r="B120" s="81"/>
    </row>
    <row r="121" customFormat="false" ht="15.75" hidden="false" customHeight="false" outlineLevel="0" collapsed="false">
      <c r="B121" s="81"/>
    </row>
    <row r="122" customFormat="false" ht="15.75" hidden="false" customHeight="false" outlineLevel="0" collapsed="false">
      <c r="B122" s="81"/>
      <c r="G122" s="83"/>
    </row>
    <row r="123" customFormat="false" ht="15.75" hidden="false" customHeight="false" outlineLevel="0" collapsed="false">
      <c r="B123" s="81"/>
      <c r="G123" s="83"/>
    </row>
    <row r="124" customFormat="false" ht="15.75" hidden="false" customHeight="false" outlineLevel="0" collapsed="false">
      <c r="B124" s="81"/>
      <c r="F124" s="83"/>
      <c r="H124" s="83"/>
    </row>
    <row r="125" customFormat="false" ht="15.75" hidden="false" customHeight="false" outlineLevel="0" collapsed="false">
      <c r="B125" s="81"/>
    </row>
    <row r="126" customFormat="false" ht="15.75" hidden="false" customHeight="false" outlineLevel="0" collapsed="false">
      <c r="B126" s="81"/>
    </row>
    <row r="127" customFormat="false" ht="15.75" hidden="false" customHeight="false" outlineLevel="0" collapsed="false">
      <c r="B127" s="81"/>
      <c r="G127" s="83"/>
    </row>
    <row r="130" customFormat="false" ht="15.75" hidden="false" customHeight="false" outlineLevel="0" collapsed="false">
      <c r="B130" s="81"/>
      <c r="H130" s="83"/>
    </row>
    <row r="131" customFormat="false" ht="15.75" hidden="false" customHeight="false" outlineLevel="0" collapsed="false">
      <c r="B131" s="81"/>
    </row>
    <row r="132" customFormat="false" ht="15.75" hidden="false" customHeight="false" outlineLevel="0" collapsed="false">
      <c r="B132" s="81"/>
      <c r="H132" s="83"/>
    </row>
    <row r="133" customFormat="false" ht="15.75" hidden="false" customHeight="false" outlineLevel="0" collapsed="false">
      <c r="B133" s="81"/>
      <c r="F133" s="84"/>
    </row>
    <row r="134" customFormat="false" ht="15.75" hidden="false" customHeight="false" outlineLevel="0" collapsed="false">
      <c r="B134" s="81"/>
      <c r="F134" s="84"/>
    </row>
    <row r="135" customFormat="false" ht="15.75" hidden="false" customHeight="false" outlineLevel="0" collapsed="false">
      <c r="B135" s="81"/>
      <c r="G135" s="83"/>
      <c r="H135" s="83"/>
    </row>
    <row r="136" customFormat="false" ht="15.75" hidden="false" customHeight="false" outlineLevel="0" collapsed="false">
      <c r="B136" s="81"/>
      <c r="H136" s="83"/>
    </row>
    <row r="137" customFormat="false" ht="15.75" hidden="false" customHeight="false" outlineLevel="0" collapsed="false">
      <c r="B137" s="81"/>
      <c r="G137" s="83"/>
      <c r="H137" s="83"/>
    </row>
    <row r="138" customFormat="false" ht="15.75" hidden="false" customHeight="false" outlineLevel="0" collapsed="false">
      <c r="B138" s="81"/>
    </row>
    <row r="139" customFormat="false" ht="15.75" hidden="false" customHeight="false" outlineLevel="0" collapsed="false">
      <c r="B139" s="81"/>
    </row>
    <row r="140" customFormat="false" ht="15.75" hidden="false" customHeight="false" outlineLevel="0" collapsed="false">
      <c r="B140" s="81"/>
    </row>
    <row r="141" customFormat="false" ht="15.75" hidden="false" customHeight="false" outlineLevel="0" collapsed="false">
      <c r="B141" s="81"/>
      <c r="H141" s="83"/>
    </row>
    <row r="142" customFormat="false" ht="15.75" hidden="false" customHeight="false" outlineLevel="0" collapsed="false">
      <c r="B142" s="81"/>
    </row>
    <row r="143" customFormat="false" ht="15.75" hidden="false" customHeight="false" outlineLevel="0" collapsed="false">
      <c r="B143" s="81"/>
      <c r="G143" s="83"/>
      <c r="H143" s="83"/>
    </row>
    <row r="144" customFormat="false" ht="15.75" hidden="false" customHeight="false" outlineLevel="0" collapsed="false">
      <c r="B144" s="81"/>
    </row>
    <row r="145" customFormat="false" ht="15.75" hidden="false" customHeight="false" outlineLevel="0" collapsed="false">
      <c r="B145" s="81"/>
    </row>
    <row r="146" customFormat="false" ht="15.75" hidden="false" customHeight="false" outlineLevel="0" collapsed="false">
      <c r="B146" s="81"/>
    </row>
    <row r="147" customFormat="false" ht="15.75" hidden="false" customHeight="false" outlineLevel="0" collapsed="false">
      <c r="B147" s="81"/>
    </row>
    <row r="148" customFormat="false" ht="15.75" hidden="false" customHeight="false" outlineLevel="0" collapsed="false">
      <c r="B148" s="81"/>
    </row>
    <row r="149" customFormat="false" ht="15.75" hidden="false" customHeight="false" outlineLevel="0" collapsed="false">
      <c r="B149" s="81"/>
    </row>
    <row r="150" customFormat="false" ht="15.75" hidden="false" customHeight="false" outlineLevel="0" collapsed="false">
      <c r="B150" s="81"/>
    </row>
    <row r="151" customFormat="false" ht="15.75" hidden="false" customHeight="false" outlineLevel="0" collapsed="false">
      <c r="B151" s="81"/>
    </row>
    <row r="152" customFormat="false" ht="15.75" hidden="false" customHeight="false" outlineLevel="0" collapsed="false">
      <c r="B152" s="81"/>
    </row>
    <row r="153" customFormat="false" ht="15.75" hidden="false" customHeight="false" outlineLevel="0" collapsed="false">
      <c r="B153" s="81"/>
      <c r="F153" s="84"/>
    </row>
    <row r="154" customFormat="false" ht="15.75" hidden="false" customHeight="false" outlineLevel="0" collapsed="false">
      <c r="B154" s="81"/>
      <c r="F154" s="84"/>
    </row>
    <row r="155" customFormat="false" ht="15.75" hidden="false" customHeight="false" outlineLevel="0" collapsed="false">
      <c r="B155" s="81"/>
    </row>
    <row r="156" customFormat="false" ht="15.75" hidden="false" customHeight="false" outlineLevel="0" collapsed="false">
      <c r="B156" s="81"/>
    </row>
    <row r="157" customFormat="false" ht="15.75" hidden="false" customHeight="false" outlineLevel="0" collapsed="false">
      <c r="B157" s="81"/>
    </row>
    <row r="158" customFormat="false" ht="15.75" hidden="false" customHeight="false" outlineLevel="0" collapsed="false">
      <c r="B158" s="81"/>
    </row>
    <row r="159" customFormat="false" ht="15.75" hidden="false" customHeight="false" outlineLevel="0" collapsed="false">
      <c r="B159" s="81"/>
    </row>
    <row r="160" customFormat="false" ht="15.75" hidden="false" customHeight="false" outlineLevel="0" collapsed="false">
      <c r="B160" s="81"/>
    </row>
    <row r="161" customFormat="false" ht="15.75" hidden="false" customHeight="false" outlineLevel="0" collapsed="false">
      <c r="B161" s="81"/>
      <c r="H161" s="83"/>
    </row>
    <row r="162" customFormat="false" ht="15.75" hidden="false" customHeight="false" outlineLevel="0" collapsed="false">
      <c r="B162" s="81"/>
    </row>
    <row r="163" customFormat="false" ht="15.75" hidden="false" customHeight="false" outlineLevel="0" collapsed="false">
      <c r="B163" s="81"/>
    </row>
    <row r="164" customFormat="false" ht="15.75" hidden="false" customHeight="false" outlineLevel="0" collapsed="false">
      <c r="B164" s="81"/>
    </row>
    <row r="165" customFormat="false" ht="15.75" hidden="false" customHeight="false" outlineLevel="0" collapsed="false">
      <c r="B165" s="81"/>
    </row>
    <row r="166" customFormat="false" ht="15.75" hidden="false" customHeight="false" outlineLevel="0" collapsed="false">
      <c r="B166" s="81"/>
    </row>
    <row r="167" customFormat="false" ht="15.75" hidden="false" customHeight="false" outlineLevel="0" collapsed="false">
      <c r="B167" s="81"/>
      <c r="G167" s="83"/>
      <c r="H167" s="83"/>
    </row>
    <row r="168" customFormat="false" ht="15.75" hidden="false" customHeight="false" outlineLevel="0" collapsed="false">
      <c r="B168" s="81"/>
    </row>
    <row r="169" customFormat="false" ht="15.75" hidden="false" customHeight="false" outlineLevel="0" collapsed="false">
      <c r="B169" s="81"/>
    </row>
    <row r="170" customFormat="false" ht="15.75" hidden="false" customHeight="false" outlineLevel="0" collapsed="false">
      <c r="B170" s="81"/>
    </row>
    <row r="171" customFormat="false" ht="15.75" hidden="false" customHeight="false" outlineLevel="0" collapsed="false">
      <c r="B171" s="81"/>
      <c r="F171" s="83"/>
    </row>
    <row r="172" customFormat="false" ht="15.75" hidden="false" customHeight="false" outlineLevel="0" collapsed="false">
      <c r="B172" s="81"/>
    </row>
    <row r="173" customFormat="false" ht="15.75" hidden="false" customHeight="false" outlineLevel="0" collapsed="false">
      <c r="B173" s="81"/>
    </row>
    <row r="174" customFormat="false" ht="15.75" hidden="false" customHeight="false" outlineLevel="0" collapsed="false">
      <c r="B174" s="81"/>
      <c r="F174" s="83"/>
    </row>
    <row r="175" customFormat="false" ht="15.75" hidden="false" customHeight="false" outlineLevel="0" collapsed="false">
      <c r="B175" s="81"/>
      <c r="G175" s="83"/>
    </row>
    <row r="176" customFormat="false" ht="15.75" hidden="false" customHeight="false" outlineLevel="0" collapsed="false">
      <c r="B176" s="81"/>
      <c r="F176" s="83"/>
    </row>
    <row r="177" customFormat="false" ht="15.75" hidden="false" customHeight="false" outlineLevel="0" collapsed="false">
      <c r="B177" s="81"/>
      <c r="G177" s="83"/>
    </row>
    <row r="178" customFormat="false" ht="15.75" hidden="false" customHeight="false" outlineLevel="0" collapsed="false">
      <c r="B178" s="81"/>
      <c r="H178" s="83"/>
    </row>
    <row r="179" customFormat="false" ht="15.75" hidden="false" customHeight="false" outlineLevel="0" collapsed="false">
      <c r="B179" s="81"/>
    </row>
    <row r="180" customFormat="false" ht="15.75" hidden="false" customHeight="false" outlineLevel="0" collapsed="false">
      <c r="B180" s="81"/>
      <c r="G180" s="83"/>
    </row>
    <row r="181" customFormat="false" ht="15.75" hidden="false" customHeight="false" outlineLevel="0" collapsed="false">
      <c r="B181" s="81"/>
    </row>
    <row r="182" customFormat="false" ht="15.75" hidden="false" customHeight="false" outlineLevel="0" collapsed="false">
      <c r="B182" s="81"/>
    </row>
    <row r="183" customFormat="false" ht="15.75" hidden="false" customHeight="false" outlineLevel="0" collapsed="false">
      <c r="B183" s="81"/>
      <c r="G183" s="84"/>
    </row>
    <row r="184" customFormat="false" ht="15.75" hidden="false" customHeight="false" outlineLevel="0" collapsed="false">
      <c r="G184" s="8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8" t="s">
        <v>299</v>
      </c>
      <c r="B1" s="8" t="s">
        <v>533</v>
      </c>
      <c r="C1" s="8" t="s">
        <v>534</v>
      </c>
      <c r="D1" s="8" t="s">
        <v>304</v>
      </c>
      <c r="E1" s="8" t="s">
        <v>350</v>
      </c>
      <c r="F1" s="8" t="s">
        <v>535</v>
      </c>
      <c r="G1" s="8" t="s">
        <v>408</v>
      </c>
      <c r="H1" s="8" t="s">
        <v>356</v>
      </c>
      <c r="I1" s="8" t="s">
        <v>536</v>
      </c>
      <c r="J1" s="8" t="s">
        <v>537</v>
      </c>
      <c r="K1" s="8" t="s">
        <v>538</v>
      </c>
      <c r="L1" s="8" t="s">
        <v>539</v>
      </c>
      <c r="M1" s="8" t="s">
        <v>540</v>
      </c>
      <c r="N1" s="8" t="s">
        <v>541</v>
      </c>
      <c r="O1" s="8" t="s">
        <v>500</v>
      </c>
      <c r="P1" s="8" t="s">
        <v>542</v>
      </c>
      <c r="Q1" s="8" t="s">
        <v>502</v>
      </c>
      <c r="R1" s="8" t="s">
        <v>503</v>
      </c>
      <c r="S1" s="8" t="s">
        <v>543</v>
      </c>
      <c r="T1" s="8" t="s">
        <v>544</v>
      </c>
    </row>
    <row r="2" customFormat="false" ht="15.75" hidden="false" customHeight="false" outlineLevel="0" collapsed="false">
      <c r="A2" s="8" t="n">
        <v>1</v>
      </c>
      <c r="B2" s="8" t="s">
        <v>328</v>
      </c>
      <c r="C2" s="8" t="s">
        <v>545</v>
      </c>
      <c r="D2" s="8" t="s">
        <v>546</v>
      </c>
      <c r="F2" s="8" t="s">
        <v>547</v>
      </c>
      <c r="H2" s="8" t="n">
        <v>1</v>
      </c>
      <c r="I2" s="8" t="s">
        <v>548</v>
      </c>
      <c r="J2" s="8" t="s">
        <v>549</v>
      </c>
      <c r="K2" s="8" t="n">
        <v>40</v>
      </c>
      <c r="L2" s="8" t="s">
        <v>550</v>
      </c>
      <c r="M2" s="8" t="n">
        <v>0</v>
      </c>
      <c r="N2" s="8" t="s">
        <v>551</v>
      </c>
      <c r="O2" s="8" t="s">
        <v>551</v>
      </c>
      <c r="P2" s="41" t="n">
        <v>0.05</v>
      </c>
      <c r="Q2" s="8" t="s">
        <v>552</v>
      </c>
      <c r="R2" s="8" t="s">
        <v>553</v>
      </c>
      <c r="S2" s="80" t="n">
        <v>46029</v>
      </c>
    </row>
    <row r="3" customFormat="false" ht="15.75" hidden="false" customHeight="false" outlineLevel="0" collapsed="false">
      <c r="A3" s="8" t="n">
        <v>2</v>
      </c>
      <c r="B3" s="8" t="s">
        <v>57</v>
      </c>
      <c r="C3" s="8" t="s">
        <v>554</v>
      </c>
      <c r="D3" s="8" t="s">
        <v>272</v>
      </c>
      <c r="F3" s="8" t="s">
        <v>555</v>
      </c>
      <c r="H3" s="8" t="n">
        <v>1</v>
      </c>
      <c r="I3" s="8" t="s">
        <v>548</v>
      </c>
      <c r="J3" s="8" t="s">
        <v>549</v>
      </c>
      <c r="K3" s="8" t="n">
        <v>40</v>
      </c>
      <c r="L3" s="8" t="s">
        <v>550</v>
      </c>
      <c r="M3" s="8" t="n">
        <v>0</v>
      </c>
      <c r="N3" s="8" t="s">
        <v>551</v>
      </c>
      <c r="O3" s="8" t="s">
        <v>551</v>
      </c>
      <c r="P3" s="41" t="n">
        <v>0.05</v>
      </c>
      <c r="Q3" s="8" t="s">
        <v>552</v>
      </c>
      <c r="R3" s="8" t="s">
        <v>553</v>
      </c>
      <c r="S3" s="80" t="n">
        <v>46029</v>
      </c>
    </row>
    <row r="4" customFormat="false" ht="15.75" hidden="false" customHeight="false" outlineLevel="0" collapsed="false">
      <c r="A4" s="8" t="n">
        <v>3</v>
      </c>
      <c r="B4" s="8" t="s">
        <v>449</v>
      </c>
      <c r="C4" s="8" t="s">
        <v>556</v>
      </c>
      <c r="D4" s="8" t="s">
        <v>148</v>
      </c>
      <c r="F4" s="8" t="s">
        <v>555</v>
      </c>
      <c r="H4" s="8" t="n">
        <v>1</v>
      </c>
      <c r="I4" s="8" t="s">
        <v>548</v>
      </c>
      <c r="J4" s="8" t="s">
        <v>549</v>
      </c>
      <c r="K4" s="8" t="n">
        <v>40</v>
      </c>
      <c r="L4" s="8" t="s">
        <v>550</v>
      </c>
      <c r="M4" s="8" t="n">
        <v>0</v>
      </c>
      <c r="N4" s="8" t="s">
        <v>551</v>
      </c>
      <c r="O4" s="8" t="s">
        <v>551</v>
      </c>
      <c r="P4" s="41" t="n">
        <v>0.05</v>
      </c>
      <c r="Q4" s="8" t="s">
        <v>552</v>
      </c>
      <c r="R4" s="8" t="s">
        <v>553</v>
      </c>
      <c r="S4" s="80" t="n">
        <v>46029</v>
      </c>
    </row>
    <row r="5" customFormat="false" ht="15.75" hidden="false" customHeight="false" outlineLevel="0" collapsed="false">
      <c r="A5" s="8" t="n">
        <v>4</v>
      </c>
      <c r="B5" s="8" t="s">
        <v>532</v>
      </c>
      <c r="C5" s="8" t="s">
        <v>557</v>
      </c>
      <c r="D5" s="8" t="s">
        <v>202</v>
      </c>
      <c r="F5" s="8" t="s">
        <v>555</v>
      </c>
      <c r="H5" s="8" t="n">
        <v>1</v>
      </c>
      <c r="I5" s="8" t="s">
        <v>548</v>
      </c>
      <c r="J5" s="8" t="s">
        <v>264</v>
      </c>
      <c r="K5" s="8" t="n">
        <v>40</v>
      </c>
      <c r="L5" s="8" t="s">
        <v>558</v>
      </c>
      <c r="M5" s="8" t="n">
        <v>0</v>
      </c>
      <c r="N5" s="8" t="s">
        <v>559</v>
      </c>
      <c r="O5" s="8" t="s">
        <v>559</v>
      </c>
      <c r="P5" s="41" t="n">
        <v>0.05</v>
      </c>
      <c r="Q5" s="8" t="s">
        <v>560</v>
      </c>
      <c r="R5" s="8" t="s">
        <v>561</v>
      </c>
      <c r="S5" s="80" t="n">
        <v>46029</v>
      </c>
    </row>
    <row r="6" customFormat="false" ht="15.75" hidden="false" customHeight="false" outlineLevel="0" collapsed="false">
      <c r="N6" s="83"/>
      <c r="O6" s="83"/>
      <c r="P6" s="41"/>
      <c r="S6" s="80"/>
    </row>
    <row r="7" customFormat="false" ht="15.75" hidden="false" customHeight="false" outlineLevel="0" collapsed="false">
      <c r="N7" s="84"/>
      <c r="O7" s="84"/>
      <c r="P7" s="41"/>
      <c r="S7" s="80"/>
    </row>
    <row r="8" customFormat="false" ht="15.75" hidden="false" customHeight="false" outlineLevel="0" collapsed="false">
      <c r="P8" s="41"/>
      <c r="S8" s="80"/>
    </row>
    <row r="9" customFormat="false" ht="15.75" hidden="false" customHeight="false" outlineLevel="0" collapsed="false">
      <c r="P9" s="41"/>
      <c r="R9" s="83"/>
      <c r="S9" s="80"/>
    </row>
    <row r="10" customFormat="false" ht="15.75" hidden="false" customHeight="false" outlineLevel="0" collapsed="false">
      <c r="P10" s="41"/>
      <c r="S10" s="80"/>
    </row>
    <row r="11" customFormat="false" ht="15.75" hidden="false" customHeight="false" outlineLevel="0" collapsed="false">
      <c r="N11" s="83"/>
      <c r="O11" s="83"/>
      <c r="P11" s="41"/>
      <c r="S11" s="80"/>
    </row>
    <row r="12" customFormat="false" ht="15.75" hidden="false" customHeight="false" outlineLevel="0" collapsed="false">
      <c r="N12" s="83"/>
      <c r="O12" s="83"/>
      <c r="P12" s="41"/>
      <c r="S12" s="80"/>
    </row>
    <row r="13" customFormat="false" ht="15.75" hidden="false" customHeight="false" outlineLevel="0" collapsed="false">
      <c r="N13" s="83"/>
      <c r="O13" s="83"/>
      <c r="P13" s="41"/>
      <c r="S13" s="80"/>
    </row>
    <row r="14" customFormat="false" ht="15.75" hidden="false" customHeight="false" outlineLevel="0" collapsed="false">
      <c r="P14" s="39"/>
      <c r="S14" s="85"/>
    </row>
    <row r="15" customFormat="false" ht="15.75" hidden="false" customHeight="false" outlineLevel="0" collapsed="false">
      <c r="P15" s="39"/>
      <c r="S15" s="85"/>
    </row>
    <row r="16" customFormat="false" ht="15.75" hidden="false" customHeight="false" outlineLevel="0" collapsed="false">
      <c r="P16" s="39"/>
      <c r="S16" s="85"/>
    </row>
    <row r="17" customFormat="false" ht="15.75" hidden="false" customHeight="false" outlineLevel="0" collapsed="false">
      <c r="P17" s="39"/>
      <c r="S17" s="85"/>
    </row>
    <row r="18" customFormat="false" ht="15.75" hidden="false" customHeight="false" outlineLevel="0" collapsed="false">
      <c r="P18" s="39"/>
      <c r="S18" s="85"/>
    </row>
    <row r="19" customFormat="false" ht="15.75" hidden="false" customHeight="false" outlineLevel="0" collapsed="false">
      <c r="P19" s="39"/>
      <c r="S19" s="85"/>
    </row>
    <row r="20" customFormat="false" ht="15.75" hidden="false" customHeight="false" outlineLevel="0" collapsed="false">
      <c r="P20" s="39"/>
      <c r="S20" s="85"/>
    </row>
    <row r="21" customFormat="false" ht="15.75" hidden="false" customHeight="false" outlineLevel="0" collapsed="false">
      <c r="P21" s="39"/>
      <c r="S21" s="85"/>
    </row>
    <row r="22" customFormat="false" ht="15.75" hidden="false" customHeight="false" outlineLevel="0" collapsed="false">
      <c r="P22" s="39"/>
      <c r="S22" s="85"/>
    </row>
    <row r="23" customFormat="false" ht="15.75" hidden="false" customHeight="false" outlineLevel="0" collapsed="false">
      <c r="P23" s="39"/>
      <c r="S23" s="85"/>
    </row>
    <row r="24" customFormat="false" ht="15.75" hidden="false" customHeight="false" outlineLevel="0" collapsed="false">
      <c r="P24" s="39"/>
      <c r="S24" s="85"/>
    </row>
    <row r="25" customFormat="false" ht="15.75" hidden="false" customHeight="false" outlineLevel="0" collapsed="false">
      <c r="P25" s="39"/>
      <c r="S25" s="85"/>
    </row>
    <row r="26" customFormat="false" ht="15.75" hidden="false" customHeight="false" outlineLevel="0" collapsed="false">
      <c r="P26" s="39"/>
      <c r="S26" s="85"/>
    </row>
    <row r="27" customFormat="false" ht="15.75" hidden="false" customHeight="false" outlineLevel="0" collapsed="false">
      <c r="L27" s="86"/>
      <c r="N27" s="86"/>
      <c r="O27" s="86"/>
      <c r="P27" s="39"/>
      <c r="S27" s="85"/>
    </row>
    <row r="28" customFormat="false" ht="15.75" hidden="false" customHeight="false" outlineLevel="0" collapsed="false">
      <c r="P28" s="39"/>
      <c r="S28" s="85"/>
    </row>
    <row r="29" customFormat="false" ht="15.75" hidden="false" customHeight="false" outlineLevel="0" collapsed="false">
      <c r="P29" s="39"/>
      <c r="S29" s="85"/>
    </row>
    <row r="30" customFormat="false" ht="15.75" hidden="false" customHeight="false" outlineLevel="0" collapsed="false">
      <c r="P30" s="39"/>
      <c r="Q30" s="87"/>
      <c r="S30" s="85"/>
    </row>
    <row r="31" customFormat="false" ht="15.75" hidden="false" customHeight="false" outlineLevel="0" collapsed="false">
      <c r="P31" s="39"/>
      <c r="Q31" s="87"/>
      <c r="S31" s="85"/>
    </row>
    <row r="32" customFormat="false" ht="15.75" hidden="false" customHeight="false" outlineLevel="0" collapsed="false">
      <c r="P32" s="39"/>
      <c r="Q32" s="87"/>
      <c r="S32" s="85"/>
    </row>
    <row r="33" customFormat="false" ht="15.75" hidden="false" customHeight="false" outlineLevel="0" collapsed="false">
      <c r="P33" s="39"/>
      <c r="S33" s="85"/>
    </row>
    <row r="34" customFormat="false" ht="15.75" hidden="false" customHeight="false" outlineLevel="0" collapsed="false">
      <c r="P34" s="39"/>
      <c r="Q34" s="86"/>
      <c r="S34" s="85"/>
    </row>
    <row r="35" customFormat="false" ht="15.75" hidden="false" customHeight="false" outlineLevel="0" collapsed="false">
      <c r="P35" s="39"/>
      <c r="S35" s="85"/>
    </row>
    <row r="36" customFormat="false" ht="15.75" hidden="false" customHeight="false" outlineLevel="0" collapsed="false">
      <c r="P36" s="39"/>
      <c r="S36" s="85"/>
    </row>
    <row r="37" customFormat="false" ht="15.75" hidden="false" customHeight="false" outlineLevel="0" collapsed="false">
      <c r="P37" s="39"/>
      <c r="S37" s="85"/>
    </row>
    <row r="38" customFormat="false" ht="15.75" hidden="false" customHeight="false" outlineLevel="0" collapsed="false">
      <c r="P38" s="39"/>
      <c r="S38" s="85"/>
    </row>
    <row r="39" customFormat="false" ht="15.75" hidden="false" customHeight="false" outlineLevel="0" collapsed="false">
      <c r="P39" s="39"/>
      <c r="Q39" s="86"/>
      <c r="S39" s="85"/>
    </row>
    <row r="40" customFormat="false" ht="15.75" hidden="false" customHeight="false" outlineLevel="0" collapsed="false">
      <c r="P40" s="39"/>
      <c r="Q40" s="87"/>
      <c r="S40" s="85"/>
    </row>
    <row r="41" customFormat="false" ht="15.75" hidden="false" customHeight="false" outlineLevel="0" collapsed="false">
      <c r="P41" s="39"/>
      <c r="S41" s="85"/>
    </row>
    <row r="42" customFormat="false" ht="15.75" hidden="false" customHeight="false" outlineLevel="0" collapsed="false">
      <c r="P42" s="39"/>
      <c r="R42" s="87"/>
      <c r="S42" s="85"/>
    </row>
    <row r="43" customFormat="false" ht="15.75" hidden="false" customHeight="false" outlineLevel="0" collapsed="false">
      <c r="P43" s="39"/>
      <c r="R43" s="87"/>
      <c r="S43" s="85"/>
    </row>
    <row r="44" customFormat="false" ht="15.75" hidden="false" customHeight="false" outlineLevel="0" collapsed="false">
      <c r="P44" s="39"/>
      <c r="S44" s="85"/>
    </row>
    <row r="45" customFormat="false" ht="15.75" hidden="false" customHeight="false" outlineLevel="0" collapsed="false">
      <c r="P45" s="39"/>
      <c r="S45" s="85"/>
    </row>
    <row r="46" customFormat="false" ht="15.75" hidden="false" customHeight="false" outlineLevel="0" collapsed="false">
      <c r="P46" s="39"/>
      <c r="S46" s="85"/>
    </row>
    <row r="47" customFormat="false" ht="15.75" hidden="false" customHeight="false" outlineLevel="0" collapsed="false">
      <c r="P47" s="39"/>
      <c r="S47" s="85"/>
    </row>
    <row r="48" customFormat="false" ht="15.75" hidden="false" customHeight="false" outlineLevel="0" collapsed="false">
      <c r="P48" s="39"/>
      <c r="Q48" s="86"/>
      <c r="S48" s="85"/>
    </row>
    <row r="49" customFormat="false" ht="15.75" hidden="false" customHeight="false" outlineLevel="0" collapsed="false">
      <c r="P49" s="39"/>
      <c r="S49" s="85"/>
    </row>
    <row r="50" customFormat="false" ht="15.75" hidden="false" customHeight="false" outlineLevel="0" collapsed="false">
      <c r="P50" s="39"/>
      <c r="Q50" s="87"/>
      <c r="S50" s="85"/>
    </row>
    <row r="51" customFormat="false" ht="15.75" hidden="false" customHeight="false" outlineLevel="0" collapsed="false">
      <c r="P51" s="39"/>
      <c r="S51" s="85"/>
    </row>
    <row r="52" customFormat="false" ht="15.75" hidden="false" customHeight="false" outlineLevel="0" collapsed="false">
      <c r="N52" s="87"/>
      <c r="O52" s="87"/>
      <c r="P52" s="39"/>
      <c r="R52" s="86"/>
      <c r="S52" s="85"/>
    </row>
    <row r="53" customFormat="false" ht="15.75" hidden="false" customHeight="false" outlineLevel="0" collapsed="false">
      <c r="J53" s="88"/>
      <c r="P53" s="39"/>
      <c r="S53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8" t="s">
        <v>299</v>
      </c>
      <c r="B1" s="8" t="s">
        <v>533</v>
      </c>
      <c r="C1" s="8" t="s">
        <v>534</v>
      </c>
      <c r="D1" s="8" t="s">
        <v>304</v>
      </c>
      <c r="E1" s="8" t="s">
        <v>350</v>
      </c>
      <c r="F1" s="8" t="s">
        <v>535</v>
      </c>
      <c r="G1" s="8" t="s">
        <v>408</v>
      </c>
      <c r="H1" s="8" t="s">
        <v>356</v>
      </c>
      <c r="I1" s="8" t="s">
        <v>536</v>
      </c>
      <c r="J1" s="8" t="s">
        <v>537</v>
      </c>
      <c r="K1" s="8" t="s">
        <v>538</v>
      </c>
      <c r="L1" s="8" t="s">
        <v>539</v>
      </c>
      <c r="M1" s="8" t="s">
        <v>540</v>
      </c>
      <c r="N1" s="8" t="s">
        <v>541</v>
      </c>
      <c r="O1" s="8" t="s">
        <v>500</v>
      </c>
      <c r="P1" s="8" t="s">
        <v>542</v>
      </c>
      <c r="Q1" s="8" t="s">
        <v>502</v>
      </c>
      <c r="R1" s="8" t="s">
        <v>503</v>
      </c>
      <c r="S1" s="8" t="s">
        <v>543</v>
      </c>
      <c r="T1" s="8" t="s">
        <v>544</v>
      </c>
    </row>
    <row r="2" customFormat="false" ht="15.75" hidden="false" customHeight="false" outlineLevel="0" collapsed="false">
      <c r="P2" s="41"/>
      <c r="S2" s="80"/>
    </row>
    <row r="3" customFormat="false" ht="15.75" hidden="false" customHeight="false" outlineLevel="0" collapsed="false">
      <c r="P3" s="41"/>
      <c r="S3" s="80"/>
    </row>
    <row r="4" customFormat="false" ht="15.75" hidden="false" customHeight="false" outlineLevel="0" collapsed="false">
      <c r="P4" s="41"/>
      <c r="Q4" s="83"/>
      <c r="S4" s="80"/>
    </row>
    <row r="5" customFormat="false" ht="15.75" hidden="false" customHeight="false" outlineLevel="0" collapsed="false">
      <c r="P5" s="41"/>
      <c r="Q5" s="83"/>
      <c r="S5" s="80"/>
    </row>
    <row r="6" customFormat="false" ht="15.75" hidden="false" customHeight="false" outlineLevel="0" collapsed="false">
      <c r="P6" s="41"/>
      <c r="S6" s="80"/>
    </row>
    <row r="7" customFormat="false" ht="15.75" hidden="false" customHeight="false" outlineLevel="0" collapsed="false">
      <c r="P7" s="41"/>
      <c r="S7" s="80"/>
    </row>
    <row r="8" customFormat="false" ht="15.75" hidden="false" customHeight="false" outlineLevel="0" collapsed="false">
      <c r="P8" s="41"/>
      <c r="S8" s="80"/>
    </row>
    <row r="9" customFormat="false" ht="15.75" hidden="false" customHeight="false" outlineLevel="0" collapsed="false">
      <c r="P9" s="41"/>
      <c r="S9" s="80"/>
    </row>
    <row r="10" customFormat="false" ht="15.75" hidden="false" customHeight="false" outlineLevel="0" collapsed="false">
      <c r="P10" s="41"/>
      <c r="S10" s="80"/>
    </row>
    <row r="11" customFormat="false" ht="15.75" hidden="false" customHeight="false" outlineLevel="0" collapsed="false">
      <c r="P11" s="41"/>
      <c r="S11" s="80"/>
    </row>
    <row r="12" customFormat="false" ht="15.75" hidden="false" customHeight="false" outlineLevel="0" collapsed="false">
      <c r="P12" s="41"/>
      <c r="S12" s="80"/>
    </row>
    <row r="13" customFormat="false" ht="15.75" hidden="false" customHeight="false" outlineLevel="0" collapsed="false">
      <c r="P13" s="41"/>
      <c r="S13" s="80"/>
    </row>
    <row r="14" customFormat="false" ht="15.75" hidden="false" customHeight="false" outlineLevel="0" collapsed="false">
      <c r="P14" s="41"/>
      <c r="Q14" s="84"/>
      <c r="S14" s="80"/>
    </row>
    <row r="15" customFormat="false" ht="15.75" hidden="false" customHeight="false" outlineLevel="0" collapsed="false">
      <c r="P15" s="41"/>
      <c r="S15" s="80"/>
    </row>
    <row r="16" customFormat="false" ht="15.75" hidden="false" customHeight="false" outlineLevel="0" collapsed="false">
      <c r="P16" s="41"/>
      <c r="S16" s="80"/>
    </row>
    <row r="17" customFormat="false" ht="15.75" hidden="false" customHeight="false" outlineLevel="0" collapsed="false">
      <c r="P17" s="41"/>
      <c r="Q17" s="83"/>
      <c r="S17" s="80"/>
    </row>
    <row r="18" customFormat="false" ht="15.75" hidden="false" customHeight="false" outlineLevel="0" collapsed="false">
      <c r="P18" s="39"/>
      <c r="S18" s="85"/>
    </row>
    <row r="19" customFormat="false" ht="15.75" hidden="false" customHeight="false" outlineLevel="0" collapsed="false">
      <c r="P19" s="39"/>
      <c r="S19" s="8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5" min="5" style="0" width="22.24"/>
  </cols>
  <sheetData>
    <row r="1" customFormat="false" ht="15.75" hidden="false" customHeight="false" outlineLevel="0" collapsed="false">
      <c r="A1" s="31" t="s">
        <v>562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customFormat="false" ht="15.75" hidden="false" customHeight="false" outlineLevel="0" collapsed="false">
      <c r="A2" s="31" t="s">
        <v>563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customFormat="false" ht="15.75" hidden="false" customHeight="false" outlineLevel="0" collapsed="false">
      <c r="A3" s="31" t="s">
        <v>564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customFormat="false" ht="15.75" hidden="false" customHeight="false" outlineLevel="0" collapsed="false">
      <c r="A4" s="31"/>
      <c r="B4" s="31" t="s">
        <v>565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customFormat="false" ht="15.75" hidden="false" customHeight="false" outlineLevel="0" collapsed="false">
      <c r="A5" s="31" t="s">
        <v>566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customFormat="false" ht="15.75" hidden="false" customHeight="false" outlineLevel="0" collapsed="false">
      <c r="A6" s="31"/>
      <c r="B6" s="31" t="s">
        <v>567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customFormat="false" ht="15.75" hidden="false" customHeight="false" outlineLevel="0" collapsed="false">
      <c r="A7" s="31"/>
      <c r="B7" s="31" t="s">
        <v>568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customFormat="false" ht="15.75" hidden="false" customHeight="false" outlineLevel="0" collapsed="false">
      <c r="A8" s="31"/>
      <c r="B8" s="31" t="s">
        <v>569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</row>
    <row r="9" customFormat="false" ht="15.75" hidden="false" customHeight="false" outlineLevel="0" collapsed="false">
      <c r="A9" s="31" t="s">
        <v>570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</row>
    <row r="10" customFormat="false" ht="15.75" hidden="false" customHeight="false" outlineLevel="0" collapsed="false">
      <c r="A10" s="89" t="s">
        <v>571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</row>
    <row r="11" customFormat="false" ht="15.75" hidden="false" customHeight="false" outlineLevel="0" collapsed="false">
      <c r="A11" s="31" t="s">
        <v>572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</row>
    <row r="12" customFormat="false" ht="15.75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</row>
    <row r="13" customFormat="false" ht="15.75" hidden="false" customHeight="false" outlineLevel="0" collapsed="false">
      <c r="A13" s="31" t="s">
        <v>573</v>
      </c>
      <c r="B13" s="31" t="s">
        <v>574</v>
      </c>
      <c r="C13" s="31" t="s">
        <v>575</v>
      </c>
      <c r="D13" s="31" t="s">
        <v>576</v>
      </c>
      <c r="E13" s="31" t="s">
        <v>577</v>
      </c>
      <c r="F13" s="31" t="s">
        <v>578</v>
      </c>
      <c r="G13" s="31" t="s">
        <v>579</v>
      </c>
      <c r="H13" s="31" t="s">
        <v>580</v>
      </c>
      <c r="I13" s="31" t="s">
        <v>581</v>
      </c>
      <c r="J13" s="31" t="s">
        <v>582</v>
      </c>
      <c r="K13" s="31" t="s">
        <v>583</v>
      </c>
      <c r="L13" s="31" t="s">
        <v>584</v>
      </c>
      <c r="M13" s="31" t="s">
        <v>585</v>
      </c>
      <c r="N13" s="31" t="s">
        <v>586</v>
      </c>
      <c r="O13" s="31" t="s">
        <v>587</v>
      </c>
      <c r="P13" s="31" t="s">
        <v>588</v>
      </c>
      <c r="Q13" s="31" t="s">
        <v>589</v>
      </c>
      <c r="R13" s="31" t="s">
        <v>590</v>
      </c>
    </row>
    <row r="14" customFormat="false" ht="15.75" hidden="false" customHeight="false" outlineLevel="0" collapsed="false">
      <c r="A14" s="31" t="s">
        <v>591</v>
      </c>
      <c r="B14" s="31" t="s">
        <v>592</v>
      </c>
      <c r="C14" s="31" t="s">
        <v>593</v>
      </c>
      <c r="D14" s="31" t="s">
        <v>416</v>
      </c>
      <c r="E14" s="31" t="s">
        <v>594</v>
      </c>
      <c r="F14" s="13" t="n">
        <v>1</v>
      </c>
      <c r="G14" s="13" t="n">
        <v>12.29</v>
      </c>
      <c r="H14" s="13" t="n">
        <v>12.9</v>
      </c>
      <c r="I14" s="13" t="n">
        <v>9.93</v>
      </c>
      <c r="J14" s="13" t="n">
        <v>10.43</v>
      </c>
      <c r="K14" s="90" t="n">
        <v>0.36</v>
      </c>
      <c r="L14" s="13" t="n">
        <v>7.87</v>
      </c>
      <c r="M14" s="13" t="n">
        <v>7.87</v>
      </c>
      <c r="N14" s="40" t="n">
        <v>0.05</v>
      </c>
      <c r="O14" s="13" t="n">
        <v>8.26</v>
      </c>
      <c r="P14" s="13" t="n">
        <v>0</v>
      </c>
      <c r="Q14" s="31"/>
      <c r="R14" s="31" t="s">
        <v>595</v>
      </c>
    </row>
    <row r="15" customFormat="false" ht="15.75" hidden="false" customHeight="false" outlineLevel="0" collapsed="false">
      <c r="A15" s="31" t="s">
        <v>596</v>
      </c>
      <c r="B15" s="31" t="s">
        <v>597</v>
      </c>
      <c r="C15" s="31" t="s">
        <v>593</v>
      </c>
      <c r="D15" s="31" t="s">
        <v>416</v>
      </c>
      <c r="E15" s="31" t="s">
        <v>598</v>
      </c>
      <c r="F15" s="13" t="n">
        <v>1</v>
      </c>
      <c r="G15" s="13" t="n">
        <v>14.19</v>
      </c>
      <c r="H15" s="13" t="n">
        <v>14.9</v>
      </c>
      <c r="I15" s="13" t="n">
        <v>10.92</v>
      </c>
      <c r="J15" s="13" t="n">
        <v>11.47</v>
      </c>
      <c r="K15" s="90" t="n">
        <v>0.36</v>
      </c>
      <c r="L15" s="13" t="n">
        <v>9.08</v>
      </c>
      <c r="M15" s="13" t="n">
        <v>9.08</v>
      </c>
      <c r="N15" s="40" t="n">
        <v>0.05</v>
      </c>
      <c r="O15" s="13" t="n">
        <v>9.53</v>
      </c>
      <c r="P15" s="13" t="n">
        <v>0</v>
      </c>
      <c r="Q15" s="31"/>
      <c r="R15" s="31" t="s">
        <v>595</v>
      </c>
    </row>
    <row r="16" customFormat="false" ht="15.75" hidden="false" customHeight="false" outlineLevel="0" collapsed="false">
      <c r="A16" s="31" t="s">
        <v>599</v>
      </c>
      <c r="B16" s="31" t="s">
        <v>600</v>
      </c>
      <c r="C16" s="31" t="s">
        <v>593</v>
      </c>
      <c r="D16" s="31" t="s">
        <v>416</v>
      </c>
      <c r="E16" s="31" t="s">
        <v>601</v>
      </c>
      <c r="F16" s="13" t="n">
        <v>1</v>
      </c>
      <c r="G16" s="13" t="n">
        <v>17.05</v>
      </c>
      <c r="H16" s="13" t="n">
        <v>17.9</v>
      </c>
      <c r="I16" s="13" t="n">
        <v>13.78</v>
      </c>
      <c r="J16" s="13" t="n">
        <v>14.47</v>
      </c>
      <c r="K16" s="90" t="n">
        <v>0.36</v>
      </c>
      <c r="L16" s="13" t="n">
        <v>10.91</v>
      </c>
      <c r="M16" s="13" t="n">
        <v>10.91</v>
      </c>
      <c r="N16" s="40" t="n">
        <v>0.05</v>
      </c>
      <c r="O16" s="13" t="n">
        <v>11.46</v>
      </c>
      <c r="P16" s="13" t="n">
        <v>0</v>
      </c>
      <c r="Q16" s="31"/>
      <c r="R16" s="31" t="s">
        <v>595</v>
      </c>
    </row>
    <row r="17" customFormat="false" ht="15.75" hidden="false" customHeight="false" outlineLevel="0" collapsed="false">
      <c r="A17" s="31" t="s">
        <v>602</v>
      </c>
      <c r="B17" s="31" t="s">
        <v>603</v>
      </c>
      <c r="C17" s="31" t="s">
        <v>593</v>
      </c>
      <c r="D17" s="31" t="s">
        <v>416</v>
      </c>
      <c r="E17" s="31" t="s">
        <v>604</v>
      </c>
      <c r="F17" s="13" t="n">
        <v>1</v>
      </c>
      <c r="G17" s="13" t="n">
        <v>14.19</v>
      </c>
      <c r="H17" s="13" t="n">
        <v>14.9</v>
      </c>
      <c r="I17" s="13" t="n">
        <v>11.92</v>
      </c>
      <c r="J17" s="13" t="n">
        <v>12.52</v>
      </c>
      <c r="K17" s="90" t="n">
        <v>0.36</v>
      </c>
      <c r="L17" s="13" t="n">
        <v>9.08</v>
      </c>
      <c r="M17" s="13" t="n">
        <v>9.08</v>
      </c>
      <c r="N17" s="40" t="n">
        <v>0.05</v>
      </c>
      <c r="O17" s="13" t="n">
        <v>9.53</v>
      </c>
      <c r="P17" s="13" t="n">
        <v>0</v>
      </c>
      <c r="Q17" s="31"/>
      <c r="R17" s="31" t="s">
        <v>605</v>
      </c>
    </row>
    <row r="18" customFormat="false" ht="15.75" hidden="false" customHeight="false" outlineLevel="0" collapsed="false">
      <c r="A18" s="31" t="s">
        <v>606</v>
      </c>
      <c r="B18" s="31" t="s">
        <v>97</v>
      </c>
      <c r="C18" s="31" t="s">
        <v>593</v>
      </c>
      <c r="D18" s="31" t="s">
        <v>416</v>
      </c>
      <c r="E18" s="31" t="s">
        <v>607</v>
      </c>
      <c r="F18" s="13" t="n">
        <v>1</v>
      </c>
      <c r="G18" s="13" t="n">
        <v>8.48</v>
      </c>
      <c r="H18" s="13" t="n">
        <v>8.9</v>
      </c>
      <c r="I18" s="13" t="n">
        <v>6.85</v>
      </c>
      <c r="J18" s="13" t="n">
        <v>7.19</v>
      </c>
      <c r="K18" s="90" t="n">
        <v>0.36</v>
      </c>
      <c r="L18" s="13" t="n">
        <v>5.43</v>
      </c>
      <c r="M18" s="13" t="n">
        <v>5.43</v>
      </c>
      <c r="N18" s="40" t="n">
        <v>0.05</v>
      </c>
      <c r="O18" s="13" t="n">
        <v>5.7</v>
      </c>
      <c r="P18" s="13" t="n">
        <v>0</v>
      </c>
      <c r="Q18" s="31"/>
      <c r="R18" s="31" t="s">
        <v>595</v>
      </c>
    </row>
    <row r="19" customFormat="false" ht="15.75" hidden="false" customHeight="false" outlineLevel="0" collapsed="false">
      <c r="A19" s="31" t="s">
        <v>608</v>
      </c>
      <c r="B19" s="31" t="s">
        <v>609</v>
      </c>
      <c r="C19" s="31" t="s">
        <v>593</v>
      </c>
      <c r="D19" s="31" t="s">
        <v>416</v>
      </c>
      <c r="E19" s="31" t="s">
        <v>610</v>
      </c>
      <c r="F19" s="13" t="n">
        <v>1</v>
      </c>
      <c r="G19" s="13" t="n">
        <v>14.19</v>
      </c>
      <c r="H19" s="13" t="n">
        <v>14.9</v>
      </c>
      <c r="I19" s="13" t="n">
        <v>11.92</v>
      </c>
      <c r="J19" s="13" t="n">
        <v>12.52</v>
      </c>
      <c r="K19" s="90" t="n">
        <v>0.36</v>
      </c>
      <c r="L19" s="13" t="n">
        <v>9.08</v>
      </c>
      <c r="M19" s="13" t="n">
        <v>9.08</v>
      </c>
      <c r="N19" s="40" t="n">
        <v>0.05</v>
      </c>
      <c r="O19" s="13" t="n">
        <v>9.53</v>
      </c>
      <c r="P19" s="13" t="n">
        <v>0</v>
      </c>
      <c r="Q19" s="31"/>
      <c r="R19" s="31" t="s">
        <v>605</v>
      </c>
    </row>
    <row r="20" customFormat="false" ht="15.75" hidden="false" customHeight="false" outlineLevel="0" collapsed="false">
      <c r="A20" s="31" t="s">
        <v>611</v>
      </c>
      <c r="B20" s="31" t="s">
        <v>340</v>
      </c>
      <c r="C20" s="31" t="s">
        <v>593</v>
      </c>
      <c r="D20" s="31" t="s">
        <v>416</v>
      </c>
      <c r="E20" s="31" t="s">
        <v>342</v>
      </c>
      <c r="F20" s="13" t="n">
        <v>1</v>
      </c>
      <c r="G20" s="13" t="n">
        <v>14.19</v>
      </c>
      <c r="H20" s="13" t="n">
        <v>14.9</v>
      </c>
      <c r="I20" s="13" t="n">
        <v>10.67</v>
      </c>
      <c r="J20" s="13" t="n">
        <v>11.2</v>
      </c>
      <c r="K20" s="90" t="n">
        <v>0.36</v>
      </c>
      <c r="L20" s="13" t="n">
        <v>9.08</v>
      </c>
      <c r="M20" s="13" t="n">
        <v>9.08</v>
      </c>
      <c r="N20" s="40" t="n">
        <v>0.05</v>
      </c>
      <c r="O20" s="13" t="n">
        <v>9.53</v>
      </c>
      <c r="P20" s="13" t="n">
        <v>0</v>
      </c>
      <c r="Q20" s="31"/>
      <c r="R20" s="31" t="s">
        <v>595</v>
      </c>
    </row>
    <row r="21" customFormat="false" ht="15.75" hidden="false" customHeight="false" outlineLevel="0" collapsed="false">
      <c r="A21" s="31" t="s">
        <v>612</v>
      </c>
      <c r="B21" s="31" t="s">
        <v>100</v>
      </c>
      <c r="C21" s="31" t="s">
        <v>593</v>
      </c>
      <c r="D21" s="31" t="s">
        <v>416</v>
      </c>
      <c r="E21" s="31" t="s">
        <v>213</v>
      </c>
      <c r="F21" s="13" t="n">
        <v>1</v>
      </c>
      <c r="G21" s="13" t="n">
        <v>17.05</v>
      </c>
      <c r="H21" s="13" t="n">
        <v>17.9</v>
      </c>
      <c r="I21" s="13" t="n">
        <v>13.32</v>
      </c>
      <c r="J21" s="13" t="n">
        <v>13.99</v>
      </c>
      <c r="K21" s="90" t="n">
        <v>0.36</v>
      </c>
      <c r="L21" s="13" t="n">
        <v>10.91</v>
      </c>
      <c r="M21" s="13" t="n">
        <v>10.91</v>
      </c>
      <c r="N21" s="40" t="n">
        <v>0.05</v>
      </c>
      <c r="O21" s="13" t="n">
        <v>11.46</v>
      </c>
      <c r="P21" s="13" t="n">
        <v>0</v>
      </c>
      <c r="Q21" s="31"/>
      <c r="R21" s="31" t="s">
        <v>595</v>
      </c>
    </row>
    <row r="22" customFormat="false" ht="15.75" hidden="false" customHeight="false" outlineLevel="0" collapsed="false">
      <c r="A22" s="31" t="s">
        <v>613</v>
      </c>
      <c r="B22" s="31" t="s">
        <v>614</v>
      </c>
      <c r="C22" s="31" t="s">
        <v>593</v>
      </c>
      <c r="D22" s="31" t="s">
        <v>416</v>
      </c>
      <c r="E22" s="31" t="s">
        <v>615</v>
      </c>
      <c r="F22" s="13" t="n">
        <v>1</v>
      </c>
      <c r="G22" s="13" t="n">
        <v>10.38</v>
      </c>
      <c r="H22" s="13" t="n">
        <v>10.9</v>
      </c>
      <c r="I22" s="13" t="n">
        <v>7.99</v>
      </c>
      <c r="J22" s="13" t="n">
        <v>8.39</v>
      </c>
      <c r="K22" s="90" t="n">
        <v>0.36</v>
      </c>
      <c r="L22" s="13" t="n">
        <v>6.64</v>
      </c>
      <c r="M22" s="13" t="n">
        <v>6.64</v>
      </c>
      <c r="N22" s="40" t="n">
        <v>0.05</v>
      </c>
      <c r="O22" s="13" t="n">
        <v>6.97</v>
      </c>
      <c r="P22" s="13" t="n">
        <v>0</v>
      </c>
      <c r="Q22" s="31"/>
      <c r="R22" s="31" t="s">
        <v>595</v>
      </c>
    </row>
    <row r="23" customFormat="false" ht="15.75" hidden="false" customHeight="false" outlineLevel="0" collapsed="false">
      <c r="A23" s="31" t="s">
        <v>613</v>
      </c>
      <c r="B23" s="31" t="s">
        <v>614</v>
      </c>
      <c r="C23" s="31" t="s">
        <v>593</v>
      </c>
      <c r="D23" s="31" t="s">
        <v>416</v>
      </c>
      <c r="E23" s="31" t="s">
        <v>615</v>
      </c>
      <c r="F23" s="13" t="n">
        <v>1</v>
      </c>
      <c r="G23" s="13" t="n">
        <v>10.38</v>
      </c>
      <c r="H23" s="13" t="n">
        <v>10.9</v>
      </c>
      <c r="I23" s="13" t="n">
        <v>8.72</v>
      </c>
      <c r="J23" s="13" t="n">
        <v>9.16</v>
      </c>
      <c r="K23" s="90" t="n">
        <v>0.36</v>
      </c>
      <c r="L23" s="13" t="n">
        <v>6.64</v>
      </c>
      <c r="M23" s="13" t="n">
        <v>6.64</v>
      </c>
      <c r="N23" s="40" t="n">
        <v>0.05</v>
      </c>
      <c r="O23" s="13" t="n">
        <v>6.97</v>
      </c>
      <c r="P23" s="13" t="n">
        <v>0</v>
      </c>
      <c r="Q23" s="31"/>
      <c r="R23" s="31" t="s">
        <v>605</v>
      </c>
    </row>
    <row r="24" customFormat="false" ht="15.75" hidden="false" customHeight="false" outlineLevel="0" collapsed="false">
      <c r="A24" s="31" t="s">
        <v>616</v>
      </c>
      <c r="B24" s="31" t="s">
        <v>370</v>
      </c>
      <c r="C24" s="31" t="s">
        <v>593</v>
      </c>
      <c r="D24" s="31" t="s">
        <v>416</v>
      </c>
      <c r="E24" s="31" t="s">
        <v>215</v>
      </c>
      <c r="F24" s="13" t="n">
        <v>7</v>
      </c>
      <c r="G24" s="13" t="n">
        <v>14.19</v>
      </c>
      <c r="H24" s="13" t="n">
        <v>14.9</v>
      </c>
      <c r="I24" s="13" t="n">
        <v>11.22</v>
      </c>
      <c r="J24" s="13" t="n">
        <v>11.78</v>
      </c>
      <c r="K24" s="90" t="n">
        <v>0.36</v>
      </c>
      <c r="L24" s="13" t="n">
        <v>9.08</v>
      </c>
      <c r="M24" s="13" t="n">
        <v>63.56</v>
      </c>
      <c r="N24" s="40" t="n">
        <v>0.05</v>
      </c>
      <c r="O24" s="13" t="n">
        <v>66.74</v>
      </c>
      <c r="P24" s="13" t="n">
        <v>0</v>
      </c>
      <c r="Q24" s="31"/>
      <c r="R24" s="31" t="s">
        <v>595</v>
      </c>
    </row>
    <row r="25" customFormat="false" ht="15.75" hidden="false" customHeight="false" outlineLevel="0" collapsed="false">
      <c r="A25" s="31" t="s">
        <v>617</v>
      </c>
      <c r="B25" s="31" t="s">
        <v>331</v>
      </c>
      <c r="C25" s="31" t="s">
        <v>593</v>
      </c>
      <c r="D25" s="31" t="s">
        <v>416</v>
      </c>
      <c r="E25" s="31" t="s">
        <v>155</v>
      </c>
      <c r="F25" s="13" t="n">
        <v>1</v>
      </c>
      <c r="G25" s="13" t="n">
        <v>17.05</v>
      </c>
      <c r="H25" s="13" t="n">
        <v>17.9</v>
      </c>
      <c r="I25" s="13" t="n">
        <v>12.71</v>
      </c>
      <c r="J25" s="13" t="n">
        <v>13.35</v>
      </c>
      <c r="K25" s="90" t="n">
        <v>0.36</v>
      </c>
      <c r="L25" s="13" t="n">
        <v>10.91</v>
      </c>
      <c r="M25" s="13" t="n">
        <v>10.91</v>
      </c>
      <c r="N25" s="40" t="n">
        <v>0.05</v>
      </c>
      <c r="O25" s="13" t="n">
        <v>11.46</v>
      </c>
      <c r="P25" s="13" t="n">
        <v>0</v>
      </c>
      <c r="Q25" s="31"/>
      <c r="R25" s="31" t="s">
        <v>595</v>
      </c>
    </row>
    <row r="26" customFormat="false" ht="15.75" hidden="false" customHeight="false" outlineLevel="0" collapsed="false">
      <c r="A26" s="31" t="s">
        <v>617</v>
      </c>
      <c r="B26" s="31" t="s">
        <v>331</v>
      </c>
      <c r="C26" s="31" t="s">
        <v>593</v>
      </c>
      <c r="D26" s="31" t="s">
        <v>416</v>
      </c>
      <c r="E26" s="31" t="s">
        <v>155</v>
      </c>
      <c r="F26" s="13" t="n">
        <v>2</v>
      </c>
      <c r="G26" s="13" t="n">
        <v>17.05</v>
      </c>
      <c r="H26" s="13" t="n">
        <v>17.9</v>
      </c>
      <c r="I26" s="13" t="n">
        <v>13.78</v>
      </c>
      <c r="J26" s="13" t="n">
        <v>14.47</v>
      </c>
      <c r="K26" s="90" t="n">
        <v>0.36</v>
      </c>
      <c r="L26" s="13" t="n">
        <v>10.91</v>
      </c>
      <c r="M26" s="13" t="n">
        <v>21.82</v>
      </c>
      <c r="N26" s="40" t="n">
        <v>0.05</v>
      </c>
      <c r="O26" s="13" t="n">
        <v>22.91</v>
      </c>
      <c r="P26" s="13" t="n">
        <v>0</v>
      </c>
      <c r="Q26" s="31"/>
      <c r="R26" s="31" t="s">
        <v>595</v>
      </c>
    </row>
    <row r="27" customFormat="false" ht="15.75" hidden="false" customHeight="false" outlineLevel="0" collapsed="false">
      <c r="A27" s="31" t="s">
        <v>617</v>
      </c>
      <c r="B27" s="31" t="s">
        <v>331</v>
      </c>
      <c r="C27" s="31" t="s">
        <v>593</v>
      </c>
      <c r="D27" s="31" t="s">
        <v>416</v>
      </c>
      <c r="E27" s="31" t="s">
        <v>155</v>
      </c>
      <c r="F27" s="13" t="n">
        <v>1</v>
      </c>
      <c r="G27" s="13" t="n">
        <v>17.05</v>
      </c>
      <c r="H27" s="13" t="n">
        <v>17.9</v>
      </c>
      <c r="I27" s="13" t="n">
        <v>8.91</v>
      </c>
      <c r="J27" s="13" t="n">
        <v>9.36</v>
      </c>
      <c r="K27" s="31" t="s">
        <v>618</v>
      </c>
      <c r="L27" s="13" t="n">
        <v>6.04</v>
      </c>
      <c r="M27" s="13" t="n">
        <v>6.04</v>
      </c>
      <c r="N27" s="40" t="n">
        <v>0.05</v>
      </c>
      <c r="O27" s="13" t="n">
        <v>6.34</v>
      </c>
      <c r="P27" s="13" t="n">
        <v>1</v>
      </c>
      <c r="Q27" s="31"/>
      <c r="R27" s="31" t="s">
        <v>595</v>
      </c>
    </row>
    <row r="28" customFormat="false" ht="15.75" hidden="false" customHeight="false" outlineLevel="0" collapsed="false">
      <c r="A28" s="31" t="s">
        <v>617</v>
      </c>
      <c r="B28" s="31" t="s">
        <v>331</v>
      </c>
      <c r="C28" s="13" t="s">
        <v>593</v>
      </c>
      <c r="D28" s="31" t="s">
        <v>416</v>
      </c>
      <c r="E28" s="31" t="s">
        <v>155</v>
      </c>
      <c r="F28" s="13" t="n">
        <v>1</v>
      </c>
      <c r="G28" s="13" t="n">
        <v>17.05</v>
      </c>
      <c r="H28" s="13" t="n">
        <v>17.9</v>
      </c>
      <c r="I28" s="13" t="n">
        <v>9.41</v>
      </c>
      <c r="J28" s="13" t="n">
        <v>9.88</v>
      </c>
      <c r="K28" s="31" t="s">
        <v>618</v>
      </c>
      <c r="L28" s="13" t="n">
        <v>6.04</v>
      </c>
      <c r="M28" s="13" t="n">
        <v>6.04</v>
      </c>
      <c r="N28" s="40" t="n">
        <v>0.05</v>
      </c>
      <c r="O28" s="13" t="n">
        <v>6.34</v>
      </c>
      <c r="P28" s="13" t="n">
        <v>1</v>
      </c>
      <c r="Q28" s="31"/>
      <c r="R28" s="31" t="s">
        <v>595</v>
      </c>
    </row>
    <row r="29" customFormat="false" ht="15.75" hidden="false" customHeight="false" outlineLevel="0" collapsed="false">
      <c r="A29" s="31" t="s">
        <v>617</v>
      </c>
      <c r="B29" s="31" t="s">
        <v>331</v>
      </c>
      <c r="C29" s="31" t="s">
        <v>593</v>
      </c>
      <c r="D29" s="31" t="s">
        <v>416</v>
      </c>
      <c r="E29" s="31" t="s">
        <v>155</v>
      </c>
      <c r="F29" s="13" t="n">
        <v>13</v>
      </c>
      <c r="G29" s="13" t="n">
        <v>17.05</v>
      </c>
      <c r="H29" s="13" t="n">
        <v>17.9</v>
      </c>
      <c r="I29" s="13" t="n">
        <v>9.43</v>
      </c>
      <c r="J29" s="13" t="n">
        <v>9.9</v>
      </c>
      <c r="K29" s="31" t="s">
        <v>618</v>
      </c>
      <c r="L29" s="13" t="n">
        <v>6.04</v>
      </c>
      <c r="M29" s="13" t="n">
        <v>78.52</v>
      </c>
      <c r="N29" s="40" t="n">
        <v>0.05</v>
      </c>
      <c r="O29" s="13" t="n">
        <v>82.45</v>
      </c>
      <c r="P29" s="13" t="n">
        <v>1</v>
      </c>
      <c r="Q29" s="31"/>
      <c r="R29" s="31" t="s">
        <v>595</v>
      </c>
    </row>
    <row r="30" customFormat="false" ht="15.75" hidden="false" customHeight="false" outlineLevel="0" collapsed="false">
      <c r="A30" s="31" t="s">
        <v>617</v>
      </c>
      <c r="B30" s="31" t="s">
        <v>331</v>
      </c>
      <c r="C30" s="31" t="s">
        <v>593</v>
      </c>
      <c r="D30" s="31" t="s">
        <v>416</v>
      </c>
      <c r="E30" s="31" t="s">
        <v>155</v>
      </c>
      <c r="F30" s="13" t="n">
        <v>44</v>
      </c>
      <c r="G30" s="13" t="n">
        <v>17.05</v>
      </c>
      <c r="H30" s="13" t="n">
        <v>17.9</v>
      </c>
      <c r="I30" s="13" t="n">
        <v>9.9</v>
      </c>
      <c r="J30" s="13" t="n">
        <v>10.4</v>
      </c>
      <c r="K30" s="31" t="s">
        <v>618</v>
      </c>
      <c r="L30" s="13" t="n">
        <v>6.04</v>
      </c>
      <c r="M30" s="13" t="n">
        <v>265.76</v>
      </c>
      <c r="N30" s="40" t="n">
        <v>0.05</v>
      </c>
      <c r="O30" s="13" t="n">
        <v>279.05</v>
      </c>
      <c r="P30" s="13" t="n">
        <v>1</v>
      </c>
      <c r="Q30" s="31"/>
      <c r="R30" s="31" t="s">
        <v>595</v>
      </c>
    </row>
    <row r="31" customFormat="false" ht="15.75" hidden="false" customHeight="false" outlineLevel="0" collapsed="false">
      <c r="A31" s="31" t="s">
        <v>617</v>
      </c>
      <c r="B31" s="31" t="s">
        <v>331</v>
      </c>
      <c r="C31" s="31" t="s">
        <v>593</v>
      </c>
      <c r="D31" s="31" t="s">
        <v>416</v>
      </c>
      <c r="E31" s="31" t="s">
        <v>155</v>
      </c>
      <c r="F31" s="13" t="n">
        <v>1</v>
      </c>
      <c r="G31" s="13" t="n">
        <v>17.05</v>
      </c>
      <c r="H31" s="13" t="n">
        <v>17.9</v>
      </c>
      <c r="I31" s="13" t="n">
        <v>13.78</v>
      </c>
      <c r="J31" s="13" t="n">
        <v>14.47</v>
      </c>
      <c r="K31" s="31" t="s">
        <v>618</v>
      </c>
      <c r="L31" s="13" t="n">
        <v>6.04</v>
      </c>
      <c r="M31" s="13" t="n">
        <v>6.04</v>
      </c>
      <c r="N31" s="40" t="n">
        <v>0.05</v>
      </c>
      <c r="O31" s="13" t="n">
        <v>6.34</v>
      </c>
      <c r="P31" s="13" t="n">
        <v>1</v>
      </c>
      <c r="Q31" s="31"/>
      <c r="R31" s="31" t="s">
        <v>595</v>
      </c>
    </row>
    <row r="32" customFormat="false" ht="15.75" hidden="false" customHeight="false" outlineLevel="0" collapsed="false">
      <c r="A32" s="31" t="s">
        <v>619</v>
      </c>
      <c r="B32" s="31" t="s">
        <v>620</v>
      </c>
      <c r="C32" s="31" t="s">
        <v>593</v>
      </c>
      <c r="D32" s="31" t="s">
        <v>416</v>
      </c>
      <c r="E32" s="31" t="s">
        <v>336</v>
      </c>
      <c r="F32" s="13" t="n">
        <v>1</v>
      </c>
      <c r="G32" s="13" t="n">
        <v>17.05</v>
      </c>
      <c r="H32" s="13" t="n">
        <v>17.9</v>
      </c>
      <c r="I32" s="13" t="n">
        <v>14.32</v>
      </c>
      <c r="J32" s="13" t="n">
        <v>15.04</v>
      </c>
      <c r="K32" s="90" t="n">
        <v>0.36</v>
      </c>
      <c r="L32" s="13" t="n">
        <v>10.91</v>
      </c>
      <c r="M32" s="13" t="n">
        <v>10.91</v>
      </c>
      <c r="N32" s="40" t="n">
        <v>0.05</v>
      </c>
      <c r="O32" s="13" t="n">
        <v>11.46</v>
      </c>
      <c r="P32" s="13" t="n">
        <v>0</v>
      </c>
      <c r="Q32" s="31"/>
      <c r="R32" s="31" t="s">
        <v>605</v>
      </c>
    </row>
    <row r="33" customFormat="false" ht="15.75" hidden="false" customHeight="false" outlineLevel="0" collapsed="false">
      <c r="A33" s="31" t="s">
        <v>621</v>
      </c>
      <c r="B33" s="31" t="s">
        <v>622</v>
      </c>
      <c r="C33" s="31" t="s">
        <v>593</v>
      </c>
      <c r="D33" s="31" t="s">
        <v>416</v>
      </c>
      <c r="E33" s="31" t="s">
        <v>546</v>
      </c>
      <c r="F33" s="13" t="n">
        <v>1</v>
      </c>
      <c r="G33" s="13" t="n">
        <v>18.95</v>
      </c>
      <c r="H33" s="13" t="n">
        <v>19.9</v>
      </c>
      <c r="I33" s="13" t="n">
        <v>15.32</v>
      </c>
      <c r="J33" s="13" t="n">
        <v>16.09</v>
      </c>
      <c r="K33" s="90" t="n">
        <v>0.36</v>
      </c>
      <c r="L33" s="13" t="n">
        <v>12.13</v>
      </c>
      <c r="M33" s="13" t="n">
        <v>12.13</v>
      </c>
      <c r="N33" s="40" t="n">
        <v>0.05</v>
      </c>
      <c r="O33" s="13" t="n">
        <v>12.74</v>
      </c>
      <c r="P33" s="13" t="n">
        <v>0</v>
      </c>
      <c r="Q33" s="31"/>
      <c r="R33" s="31" t="s">
        <v>595</v>
      </c>
    </row>
    <row r="34" customFormat="false" ht="15.75" hidden="false" customHeight="false" outlineLevel="0" collapsed="false">
      <c r="A34" s="31" t="s">
        <v>623</v>
      </c>
      <c r="B34" s="31" t="s">
        <v>331</v>
      </c>
      <c r="C34" s="31" t="s">
        <v>593</v>
      </c>
      <c r="D34" s="31" t="s">
        <v>416</v>
      </c>
      <c r="E34" s="31" t="s">
        <v>282</v>
      </c>
      <c r="F34" s="13" t="n">
        <v>2</v>
      </c>
      <c r="G34" s="13" t="n">
        <v>17.05</v>
      </c>
      <c r="H34" s="13" t="n">
        <v>17.9</v>
      </c>
      <c r="I34" s="13" t="n">
        <v>13.12</v>
      </c>
      <c r="J34" s="13" t="n">
        <v>13.78</v>
      </c>
      <c r="K34" s="90" t="n">
        <v>0.36</v>
      </c>
      <c r="L34" s="13" t="n">
        <v>10.91</v>
      </c>
      <c r="M34" s="13" t="n">
        <v>21.82</v>
      </c>
      <c r="N34" s="40" t="n">
        <v>0.05</v>
      </c>
      <c r="O34" s="13" t="n">
        <v>22.91</v>
      </c>
      <c r="P34" s="13" t="n">
        <v>0</v>
      </c>
      <c r="Q34" s="31"/>
      <c r="R34" s="31" t="s">
        <v>595</v>
      </c>
    </row>
    <row r="35" customFormat="false" ht="15.75" hidden="false" customHeight="false" outlineLevel="0" collapsed="false">
      <c r="A35" s="31" t="s">
        <v>623</v>
      </c>
      <c r="B35" s="31" t="s">
        <v>331</v>
      </c>
      <c r="C35" s="31" t="s">
        <v>593</v>
      </c>
      <c r="D35" s="31" t="s">
        <v>416</v>
      </c>
      <c r="E35" s="31" t="s">
        <v>282</v>
      </c>
      <c r="F35" s="13" t="n">
        <v>2</v>
      </c>
      <c r="G35" s="13" t="n">
        <v>17.05</v>
      </c>
      <c r="H35" s="13" t="n">
        <v>17.9</v>
      </c>
      <c r="I35" s="13" t="n">
        <v>13.78</v>
      </c>
      <c r="J35" s="13" t="n">
        <v>14.47</v>
      </c>
      <c r="K35" s="90" t="n">
        <v>0.36</v>
      </c>
      <c r="L35" s="13" t="n">
        <v>10.91</v>
      </c>
      <c r="M35" s="13" t="n">
        <v>21.82</v>
      </c>
      <c r="N35" s="40" t="n">
        <v>0.05</v>
      </c>
      <c r="O35" s="13" t="n">
        <v>22.91</v>
      </c>
      <c r="P35" s="13" t="n">
        <v>0</v>
      </c>
      <c r="Q35" s="31"/>
      <c r="R35" s="31" t="s">
        <v>595</v>
      </c>
    </row>
    <row r="36" customFormat="false" ht="15.75" hidden="false" customHeight="false" outlineLevel="0" collapsed="false">
      <c r="A36" s="31" t="s">
        <v>624</v>
      </c>
      <c r="B36" s="31" t="s">
        <v>625</v>
      </c>
      <c r="C36" s="31" t="s">
        <v>593</v>
      </c>
      <c r="D36" s="31" t="s">
        <v>416</v>
      </c>
      <c r="E36" s="31" t="s">
        <v>319</v>
      </c>
      <c r="F36" s="13" t="n">
        <v>1</v>
      </c>
      <c r="G36" s="13" t="n">
        <v>14.19</v>
      </c>
      <c r="H36" s="13" t="n">
        <v>14.9</v>
      </c>
      <c r="I36" s="13" t="n">
        <v>10.6</v>
      </c>
      <c r="J36" s="13" t="n">
        <v>11.13</v>
      </c>
      <c r="K36" s="90" t="n">
        <v>0.36</v>
      </c>
      <c r="L36" s="13" t="n">
        <v>9.08</v>
      </c>
      <c r="M36" s="13" t="n">
        <v>9.08</v>
      </c>
      <c r="N36" s="40" t="n">
        <v>0.05</v>
      </c>
      <c r="O36" s="13" t="n">
        <v>9.53</v>
      </c>
      <c r="P36" s="13" t="n">
        <v>0</v>
      </c>
      <c r="Q36" s="31"/>
      <c r="R36" s="31" t="s">
        <v>595</v>
      </c>
    </row>
    <row r="37" customFormat="false" ht="15.75" hidden="false" customHeight="false" outlineLevel="0" collapsed="false">
      <c r="A37" s="31" t="s">
        <v>626</v>
      </c>
      <c r="B37" s="31" t="s">
        <v>627</v>
      </c>
      <c r="C37" s="31" t="s">
        <v>593</v>
      </c>
      <c r="D37" s="31" t="s">
        <v>416</v>
      </c>
      <c r="E37" s="31" t="s">
        <v>188</v>
      </c>
      <c r="F37" s="13" t="n">
        <v>1</v>
      </c>
      <c r="G37" s="13" t="n">
        <v>14.19</v>
      </c>
      <c r="H37" s="13" t="n">
        <v>14.9</v>
      </c>
      <c r="I37" s="13" t="n">
        <v>10.6</v>
      </c>
      <c r="J37" s="13" t="n">
        <v>11.13</v>
      </c>
      <c r="K37" s="90" t="n">
        <v>0.36</v>
      </c>
      <c r="L37" s="13" t="n">
        <v>9.08</v>
      </c>
      <c r="M37" s="13" t="n">
        <v>9.08</v>
      </c>
      <c r="N37" s="40" t="n">
        <v>0.05</v>
      </c>
      <c r="O37" s="13" t="n">
        <v>9.53</v>
      </c>
      <c r="P37" s="13" t="n">
        <v>0</v>
      </c>
      <c r="Q37" s="31"/>
      <c r="R37" s="31" t="s">
        <v>595</v>
      </c>
    </row>
    <row r="38" customFormat="false" ht="15.75" hidden="false" customHeight="false" outlineLevel="0" collapsed="false">
      <c r="A38" s="31" t="s">
        <v>626</v>
      </c>
      <c r="B38" s="31" t="s">
        <v>627</v>
      </c>
      <c r="C38" s="31" t="s">
        <v>593</v>
      </c>
      <c r="D38" s="31" t="s">
        <v>416</v>
      </c>
      <c r="E38" s="31" t="s">
        <v>188</v>
      </c>
      <c r="F38" s="13" t="n">
        <v>2</v>
      </c>
      <c r="G38" s="13" t="n">
        <v>14.19</v>
      </c>
      <c r="H38" s="13" t="n">
        <v>14.9</v>
      </c>
      <c r="I38" s="13" t="n">
        <v>11.47</v>
      </c>
      <c r="J38" s="13" t="n">
        <v>12.04</v>
      </c>
      <c r="K38" s="90" t="n">
        <v>0.36</v>
      </c>
      <c r="L38" s="13" t="n">
        <v>9.08</v>
      </c>
      <c r="M38" s="13" t="n">
        <v>18.16</v>
      </c>
      <c r="N38" s="40" t="n">
        <v>0.05</v>
      </c>
      <c r="O38" s="13" t="n">
        <v>19.07</v>
      </c>
      <c r="P38" s="13" t="n">
        <v>0</v>
      </c>
      <c r="Q38" s="31"/>
      <c r="R38" s="31" t="s">
        <v>595</v>
      </c>
    </row>
    <row r="39" customFormat="false" ht="15.75" hidden="false" customHeight="false" outlineLevel="0" collapsed="false">
      <c r="A39" s="31" t="s">
        <v>628</v>
      </c>
      <c r="B39" s="31" t="s">
        <v>629</v>
      </c>
      <c r="C39" s="31" t="s">
        <v>593</v>
      </c>
      <c r="D39" s="31" t="s">
        <v>416</v>
      </c>
      <c r="E39" s="31" t="s">
        <v>375</v>
      </c>
      <c r="F39" s="13" t="n">
        <v>1</v>
      </c>
      <c r="G39" s="13" t="n">
        <v>14.19</v>
      </c>
      <c r="H39" s="13" t="n">
        <v>14.9</v>
      </c>
      <c r="I39" s="13" t="n">
        <v>10.68</v>
      </c>
      <c r="J39" s="13" t="n">
        <v>11.21</v>
      </c>
      <c r="K39" s="90" t="n">
        <v>0.36</v>
      </c>
      <c r="L39" s="13" t="n">
        <v>9.08</v>
      </c>
      <c r="M39" s="13" t="n">
        <v>9.08</v>
      </c>
      <c r="N39" s="40" t="n">
        <v>0.05</v>
      </c>
      <c r="O39" s="13" t="n">
        <v>9.53</v>
      </c>
      <c r="P39" s="13" t="n">
        <v>0</v>
      </c>
      <c r="Q39" s="31" t="s">
        <v>630</v>
      </c>
      <c r="R39" s="31" t="s">
        <v>595</v>
      </c>
    </row>
    <row r="40" customFormat="false" ht="15.75" hidden="false" customHeight="false" outlineLevel="0" collapsed="false">
      <c r="A40" s="31" t="s">
        <v>631</v>
      </c>
      <c r="B40" s="31" t="s">
        <v>632</v>
      </c>
      <c r="C40" s="31" t="s">
        <v>593</v>
      </c>
      <c r="D40" s="31" t="s">
        <v>416</v>
      </c>
      <c r="E40" s="31" t="s">
        <v>162</v>
      </c>
      <c r="F40" s="13" t="n">
        <v>1</v>
      </c>
      <c r="G40" s="13" t="n">
        <v>21.81</v>
      </c>
      <c r="H40" s="13" t="n">
        <v>22.9</v>
      </c>
      <c r="I40" s="13" t="n">
        <v>16.79</v>
      </c>
      <c r="J40" s="13" t="n">
        <v>17.63</v>
      </c>
      <c r="K40" s="90" t="n">
        <v>0.36</v>
      </c>
      <c r="L40" s="13" t="n">
        <v>13.96</v>
      </c>
      <c r="M40" s="13" t="n">
        <v>13.96</v>
      </c>
      <c r="N40" s="40" t="n">
        <v>0.05</v>
      </c>
      <c r="O40" s="13" t="n">
        <v>14.66</v>
      </c>
      <c r="P40" s="13" t="n">
        <v>0</v>
      </c>
      <c r="Q40" s="31"/>
      <c r="R40" s="31" t="s">
        <v>595</v>
      </c>
    </row>
    <row r="41" customFormat="false" ht="15.75" hidden="false" customHeight="false" outlineLevel="0" collapsed="false">
      <c r="A41" s="31" t="s">
        <v>631</v>
      </c>
      <c r="B41" s="31" t="s">
        <v>632</v>
      </c>
      <c r="C41" s="31" t="s">
        <v>593</v>
      </c>
      <c r="D41" s="31" t="s">
        <v>416</v>
      </c>
      <c r="E41" s="31" t="s">
        <v>162</v>
      </c>
      <c r="F41" s="13" t="n">
        <v>1</v>
      </c>
      <c r="G41" s="13" t="n">
        <v>21.81</v>
      </c>
      <c r="H41" s="13" t="n">
        <v>22.9</v>
      </c>
      <c r="I41" s="13" t="n">
        <v>17.63</v>
      </c>
      <c r="J41" s="13" t="n">
        <v>18.51</v>
      </c>
      <c r="K41" s="90" t="n">
        <v>0.36</v>
      </c>
      <c r="L41" s="13" t="n">
        <v>13.96</v>
      </c>
      <c r="M41" s="13" t="n">
        <v>13.96</v>
      </c>
      <c r="N41" s="40" t="n">
        <v>0.05</v>
      </c>
      <c r="O41" s="13" t="n">
        <v>14.66</v>
      </c>
      <c r="P41" s="13" t="n">
        <v>0</v>
      </c>
      <c r="Q41" s="31"/>
      <c r="R41" s="31" t="s">
        <v>595</v>
      </c>
    </row>
    <row r="42" customFormat="false" ht="15.75" hidden="false" customHeight="false" outlineLevel="0" collapsed="false">
      <c r="A42" s="31" t="s">
        <v>631</v>
      </c>
      <c r="B42" s="31" t="s">
        <v>632</v>
      </c>
      <c r="C42" s="31" t="s">
        <v>593</v>
      </c>
      <c r="D42" s="31" t="s">
        <v>416</v>
      </c>
      <c r="E42" s="31" t="s">
        <v>162</v>
      </c>
      <c r="F42" s="13" t="n">
        <v>12</v>
      </c>
      <c r="G42" s="13" t="n">
        <v>21.81</v>
      </c>
      <c r="H42" s="13" t="n">
        <v>22.9</v>
      </c>
      <c r="I42" s="13" t="n">
        <v>9.43</v>
      </c>
      <c r="J42" s="13" t="n">
        <v>9.9</v>
      </c>
      <c r="K42" s="31" t="s">
        <v>618</v>
      </c>
      <c r="L42" s="13" t="n">
        <v>6.04</v>
      </c>
      <c r="M42" s="13" t="n">
        <v>72.48</v>
      </c>
      <c r="N42" s="40" t="n">
        <v>0.05</v>
      </c>
      <c r="O42" s="13" t="n">
        <v>76.1</v>
      </c>
      <c r="P42" s="13" t="n">
        <v>1</v>
      </c>
      <c r="Q42" s="31"/>
      <c r="R42" s="31" t="s">
        <v>595</v>
      </c>
    </row>
    <row r="43" customFormat="false" ht="15.75" hidden="false" customHeight="false" outlineLevel="0" collapsed="false">
      <c r="A43" s="31" t="s">
        <v>631</v>
      </c>
      <c r="B43" s="31" t="s">
        <v>632</v>
      </c>
      <c r="C43" s="31" t="s">
        <v>593</v>
      </c>
      <c r="D43" s="31" t="s">
        <v>416</v>
      </c>
      <c r="E43" s="31" t="s">
        <v>162</v>
      </c>
      <c r="F43" s="13" t="n">
        <v>39</v>
      </c>
      <c r="G43" s="13" t="n">
        <v>21.81</v>
      </c>
      <c r="H43" s="13" t="n">
        <v>22.9</v>
      </c>
      <c r="I43" s="13" t="n">
        <v>9.9</v>
      </c>
      <c r="J43" s="13" t="n">
        <v>10.4</v>
      </c>
      <c r="K43" s="31" t="s">
        <v>618</v>
      </c>
      <c r="L43" s="13" t="n">
        <v>6.04</v>
      </c>
      <c r="M43" s="13" t="n">
        <v>235.56</v>
      </c>
      <c r="N43" s="40" t="n">
        <v>0.05</v>
      </c>
      <c r="O43" s="13" t="n">
        <v>247.34</v>
      </c>
      <c r="P43" s="13" t="n">
        <v>1</v>
      </c>
      <c r="Q43" s="31"/>
      <c r="R43" s="31" t="s">
        <v>595</v>
      </c>
    </row>
    <row r="44" customFormat="false" ht="15.75" hidden="false" customHeight="false" outlineLevel="0" collapsed="false">
      <c r="A44" s="31" t="s">
        <v>633</v>
      </c>
      <c r="B44" s="31" t="s">
        <v>634</v>
      </c>
      <c r="C44" s="31" t="s">
        <v>593</v>
      </c>
      <c r="D44" s="31" t="s">
        <v>416</v>
      </c>
      <c r="E44" s="31" t="s">
        <v>152</v>
      </c>
      <c r="F44" s="13" t="n">
        <v>1</v>
      </c>
      <c r="G44" s="13" t="n">
        <v>18.95</v>
      </c>
      <c r="H44" s="13" t="n">
        <v>19.9</v>
      </c>
      <c r="I44" s="13" t="n">
        <v>15.02</v>
      </c>
      <c r="J44" s="13" t="n">
        <v>15.77</v>
      </c>
      <c r="K44" s="90" t="n">
        <v>0.36</v>
      </c>
      <c r="L44" s="13" t="n">
        <v>12.13</v>
      </c>
      <c r="M44" s="13" t="n">
        <v>12.13</v>
      </c>
      <c r="N44" s="40" t="n">
        <v>0.05</v>
      </c>
      <c r="O44" s="13" t="n">
        <v>12.74</v>
      </c>
      <c r="P44" s="13" t="n">
        <v>0</v>
      </c>
      <c r="Q44" s="31"/>
      <c r="R44" s="31" t="s">
        <v>595</v>
      </c>
    </row>
    <row r="45" customFormat="false" ht="15.75" hidden="false" customHeight="false" outlineLevel="0" collapsed="false">
      <c r="A45" s="31" t="s">
        <v>633</v>
      </c>
      <c r="B45" s="31" t="s">
        <v>634</v>
      </c>
      <c r="C45" s="31" t="s">
        <v>593</v>
      </c>
      <c r="D45" s="31" t="s">
        <v>416</v>
      </c>
      <c r="E45" s="31" t="s">
        <v>152</v>
      </c>
      <c r="F45" s="13" t="n">
        <v>3</v>
      </c>
      <c r="G45" s="13" t="n">
        <v>18.95</v>
      </c>
      <c r="H45" s="13" t="n">
        <v>19.9</v>
      </c>
      <c r="I45" s="13" t="n">
        <v>15.32</v>
      </c>
      <c r="J45" s="13" t="n">
        <v>16.09</v>
      </c>
      <c r="K45" s="90" t="n">
        <v>0.36</v>
      </c>
      <c r="L45" s="13" t="n">
        <v>12.13</v>
      </c>
      <c r="M45" s="13" t="n">
        <v>36.39</v>
      </c>
      <c r="N45" s="40" t="n">
        <v>0.05</v>
      </c>
      <c r="O45" s="13" t="n">
        <v>38.21</v>
      </c>
      <c r="P45" s="13" t="n">
        <v>0</v>
      </c>
      <c r="Q45" s="31"/>
      <c r="R45" s="31" t="s">
        <v>595</v>
      </c>
    </row>
    <row r="46" customFormat="false" ht="15.75" hidden="false" customHeight="false" outlineLevel="0" collapsed="false">
      <c r="A46" s="31" t="s">
        <v>633</v>
      </c>
      <c r="B46" s="31" t="s">
        <v>634</v>
      </c>
      <c r="C46" s="31" t="s">
        <v>593</v>
      </c>
      <c r="D46" s="31" t="s">
        <v>416</v>
      </c>
      <c r="E46" s="31" t="s">
        <v>152</v>
      </c>
      <c r="F46" s="13" t="n">
        <v>7</v>
      </c>
      <c r="G46" s="13" t="n">
        <v>18.95</v>
      </c>
      <c r="H46" s="13" t="n">
        <v>19.9</v>
      </c>
      <c r="I46" s="13" t="n">
        <v>9.43</v>
      </c>
      <c r="J46" s="13" t="n">
        <v>9.9</v>
      </c>
      <c r="K46" s="31" t="s">
        <v>618</v>
      </c>
      <c r="L46" s="13" t="n">
        <v>6.04</v>
      </c>
      <c r="M46" s="13" t="n">
        <v>42.28</v>
      </c>
      <c r="N46" s="40" t="n">
        <v>0.05</v>
      </c>
      <c r="O46" s="13" t="n">
        <v>44.39</v>
      </c>
      <c r="P46" s="13" t="n">
        <v>1</v>
      </c>
      <c r="Q46" s="31"/>
      <c r="R46" s="31" t="s">
        <v>595</v>
      </c>
    </row>
    <row r="47" customFormat="false" ht="15.75" hidden="false" customHeight="false" outlineLevel="0" collapsed="false">
      <c r="A47" s="31" t="s">
        <v>633</v>
      </c>
      <c r="B47" s="31" t="s">
        <v>634</v>
      </c>
      <c r="C47" s="31" t="s">
        <v>593</v>
      </c>
      <c r="D47" s="31" t="s">
        <v>416</v>
      </c>
      <c r="E47" s="31" t="s">
        <v>152</v>
      </c>
      <c r="F47" s="13" t="n">
        <v>34</v>
      </c>
      <c r="G47" s="13" t="n">
        <v>18.95</v>
      </c>
      <c r="H47" s="13" t="n">
        <v>19.9</v>
      </c>
      <c r="I47" s="13" t="n">
        <v>9.9</v>
      </c>
      <c r="J47" s="13" t="n">
        <v>10.4</v>
      </c>
      <c r="K47" s="31" t="s">
        <v>618</v>
      </c>
      <c r="L47" s="13" t="n">
        <v>6.04</v>
      </c>
      <c r="M47" s="13" t="n">
        <v>205.36</v>
      </c>
      <c r="N47" s="40" t="n">
        <v>0.05</v>
      </c>
      <c r="O47" s="13" t="n">
        <v>215.63</v>
      </c>
      <c r="P47" s="13" t="n">
        <v>1</v>
      </c>
      <c r="Q47" s="31"/>
      <c r="R47" s="31" t="s">
        <v>595</v>
      </c>
    </row>
    <row r="48" customFormat="false" ht="15.75" hidden="false" customHeight="false" outlineLevel="0" collapsed="false">
      <c r="A48" s="31" t="s">
        <v>635</v>
      </c>
      <c r="B48" s="31" t="s">
        <v>592</v>
      </c>
      <c r="C48" s="31" t="s">
        <v>593</v>
      </c>
      <c r="D48" s="31" t="s">
        <v>416</v>
      </c>
      <c r="E48" s="31" t="s">
        <v>229</v>
      </c>
      <c r="F48" s="13" t="n">
        <v>1</v>
      </c>
      <c r="G48" s="13" t="n">
        <v>12.29</v>
      </c>
      <c r="H48" s="13" t="n">
        <v>12.9</v>
      </c>
      <c r="I48" s="13" t="n">
        <v>9.93</v>
      </c>
      <c r="J48" s="13" t="n">
        <v>10.43</v>
      </c>
      <c r="K48" s="90" t="n">
        <v>0.36</v>
      </c>
      <c r="L48" s="13" t="n">
        <v>7.87</v>
      </c>
      <c r="M48" s="13" t="n">
        <v>7.87</v>
      </c>
      <c r="N48" s="40" t="n">
        <v>0.05</v>
      </c>
      <c r="O48" s="13" t="n">
        <v>8.26</v>
      </c>
      <c r="P48" s="13" t="n">
        <v>0</v>
      </c>
      <c r="Q48" s="31"/>
      <c r="R48" s="31" t="s">
        <v>595</v>
      </c>
    </row>
    <row r="49" customFormat="false" ht="15.75" hidden="false" customHeight="false" outlineLevel="0" collapsed="false">
      <c r="A49" s="31" t="s">
        <v>636</v>
      </c>
      <c r="B49" s="31" t="s">
        <v>634</v>
      </c>
      <c r="C49" s="31" t="s">
        <v>593</v>
      </c>
      <c r="D49" s="31" t="s">
        <v>416</v>
      </c>
      <c r="E49" s="31" t="s">
        <v>158</v>
      </c>
      <c r="F49" s="13" t="n">
        <v>2</v>
      </c>
      <c r="G49" s="13" t="n">
        <v>18.95</v>
      </c>
      <c r="H49" s="13" t="n">
        <v>19.9</v>
      </c>
      <c r="I49" s="13" t="n">
        <v>14.13</v>
      </c>
      <c r="J49" s="13" t="n">
        <v>14.84</v>
      </c>
      <c r="K49" s="90" t="n">
        <v>0.36</v>
      </c>
      <c r="L49" s="13" t="n">
        <v>12.13</v>
      </c>
      <c r="M49" s="13" t="n">
        <v>24.26</v>
      </c>
      <c r="N49" s="40" t="n">
        <v>0.05</v>
      </c>
      <c r="O49" s="13" t="n">
        <v>25.47</v>
      </c>
      <c r="P49" s="13" t="n">
        <v>0</v>
      </c>
      <c r="Q49" s="31"/>
      <c r="R49" s="31" t="s">
        <v>595</v>
      </c>
    </row>
    <row r="50" customFormat="false" ht="15.75" hidden="false" customHeight="false" outlineLevel="0" collapsed="false">
      <c r="A50" s="31" t="s">
        <v>636</v>
      </c>
      <c r="B50" s="31" t="s">
        <v>634</v>
      </c>
      <c r="C50" s="31" t="s">
        <v>593</v>
      </c>
      <c r="D50" s="31" t="s">
        <v>416</v>
      </c>
      <c r="E50" s="31" t="s">
        <v>158</v>
      </c>
      <c r="F50" s="13" t="n">
        <v>1</v>
      </c>
      <c r="G50" s="13" t="n">
        <v>18.95</v>
      </c>
      <c r="H50" s="13" t="n">
        <v>19.9</v>
      </c>
      <c r="I50" s="13" t="n">
        <v>14.43</v>
      </c>
      <c r="J50" s="13" t="n">
        <v>15.15</v>
      </c>
      <c r="K50" s="90" t="n">
        <v>0.36</v>
      </c>
      <c r="L50" s="13" t="n">
        <v>12.13</v>
      </c>
      <c r="M50" s="13" t="n">
        <v>12.13</v>
      </c>
      <c r="N50" s="40" t="n">
        <v>0.05</v>
      </c>
      <c r="O50" s="13" t="n">
        <v>12.74</v>
      </c>
      <c r="P50" s="13" t="n">
        <v>0</v>
      </c>
      <c r="Q50" s="31"/>
      <c r="R50" s="31" t="s">
        <v>595</v>
      </c>
    </row>
    <row r="51" customFormat="false" ht="15.75" hidden="false" customHeight="false" outlineLevel="0" collapsed="false">
      <c r="A51" s="31" t="s">
        <v>637</v>
      </c>
      <c r="B51" s="31" t="s">
        <v>86</v>
      </c>
      <c r="C51" s="31" t="s">
        <v>593</v>
      </c>
      <c r="D51" s="31" t="s">
        <v>416</v>
      </c>
      <c r="E51" s="31" t="s">
        <v>148</v>
      </c>
      <c r="F51" s="13" t="n">
        <v>1</v>
      </c>
      <c r="G51" s="13" t="n">
        <v>18.95</v>
      </c>
      <c r="H51" s="13" t="n">
        <v>19.9</v>
      </c>
      <c r="I51" s="13" t="n">
        <v>14.13</v>
      </c>
      <c r="J51" s="13" t="n">
        <v>14.84</v>
      </c>
      <c r="K51" s="90" t="n">
        <v>0.36</v>
      </c>
      <c r="L51" s="13" t="n">
        <v>12.13</v>
      </c>
      <c r="M51" s="13" t="n">
        <v>12.13</v>
      </c>
      <c r="N51" s="40" t="n">
        <v>0.05</v>
      </c>
      <c r="O51" s="13" t="n">
        <v>12.74</v>
      </c>
      <c r="P51" s="13" t="n">
        <v>0</v>
      </c>
      <c r="Q51" s="31"/>
      <c r="R51" s="31" t="s">
        <v>595</v>
      </c>
    </row>
    <row r="52" customFormat="false" ht="15.75" hidden="false" customHeight="false" outlineLevel="0" collapsed="false">
      <c r="A52" s="31" t="s">
        <v>637</v>
      </c>
      <c r="B52" s="31" t="s">
        <v>86</v>
      </c>
      <c r="C52" s="31" t="s">
        <v>593</v>
      </c>
      <c r="D52" s="31" t="s">
        <v>416</v>
      </c>
      <c r="E52" s="31" t="s">
        <v>148</v>
      </c>
      <c r="F52" s="13" t="n">
        <v>1</v>
      </c>
      <c r="G52" s="13" t="n">
        <v>18.95</v>
      </c>
      <c r="H52" s="13" t="n">
        <v>19.9</v>
      </c>
      <c r="I52" s="13" t="n">
        <v>15.32</v>
      </c>
      <c r="J52" s="13" t="n">
        <v>16.09</v>
      </c>
      <c r="K52" s="90" t="n">
        <v>0.36</v>
      </c>
      <c r="L52" s="13" t="n">
        <v>12.13</v>
      </c>
      <c r="M52" s="13" t="n">
        <v>12.13</v>
      </c>
      <c r="N52" s="40" t="n">
        <v>0.05</v>
      </c>
      <c r="O52" s="13" t="n">
        <v>12.74</v>
      </c>
      <c r="P52" s="13" t="n">
        <v>0</v>
      </c>
      <c r="Q52" s="31"/>
      <c r="R52" s="31" t="s">
        <v>595</v>
      </c>
    </row>
    <row r="53" customFormat="false" ht="15.75" hidden="false" customHeight="false" outlineLevel="0" collapsed="false">
      <c r="A53" s="31"/>
      <c r="B53" s="31"/>
      <c r="C53" s="31"/>
      <c r="D53" s="31"/>
      <c r="E53" s="31"/>
      <c r="F53" s="13" t="n">
        <v>195</v>
      </c>
      <c r="G53" s="13"/>
      <c r="H53" s="13"/>
      <c r="I53" s="13"/>
      <c r="J53" s="13"/>
      <c r="K53" s="90"/>
      <c r="L53" s="13"/>
      <c r="M53" s="13" t="n">
        <v>1356.13</v>
      </c>
      <c r="N53" s="40"/>
      <c r="O53" s="13" t="n">
        <v>1423.93</v>
      </c>
      <c r="P53" s="13"/>
      <c r="Q53" s="31"/>
      <c r="R53" s="31"/>
    </row>
    <row r="54" customFormat="false" ht="15.75" hidden="false" customHeight="false" outlineLevel="0" collapsed="false">
      <c r="A54" s="31"/>
      <c r="B54" s="31"/>
      <c r="C54" s="31"/>
      <c r="D54" s="31"/>
      <c r="E54" s="31"/>
      <c r="F54" s="13"/>
      <c r="G54" s="13"/>
      <c r="H54" s="13"/>
      <c r="I54" s="13"/>
      <c r="J54" s="13"/>
      <c r="K54" s="31"/>
      <c r="L54" s="13"/>
      <c r="M54" s="13"/>
      <c r="N54" s="40"/>
      <c r="O54" s="13"/>
      <c r="P54" s="13"/>
      <c r="Q54" s="31"/>
      <c r="R54" s="31"/>
    </row>
    <row r="55" customFormat="false" ht="15.75" hidden="false" customHeight="false" outlineLevel="0" collapsed="false">
      <c r="A55" s="31"/>
      <c r="B55" s="31"/>
      <c r="C55" s="31"/>
      <c r="D55" s="31"/>
      <c r="E55" s="31"/>
      <c r="F55" s="13"/>
      <c r="G55" s="31"/>
      <c r="H55" s="31"/>
      <c r="I55" s="31"/>
      <c r="J55" s="31"/>
      <c r="K55" s="90"/>
      <c r="L55" s="31"/>
      <c r="M55" s="13"/>
      <c r="N55" s="40"/>
      <c r="O55" s="13"/>
      <c r="P55" s="31"/>
      <c r="Q55" s="31"/>
      <c r="R55" s="31"/>
    </row>
    <row r="56" customFormat="false" ht="15.75" hidden="false" customHeight="false" outlineLevel="0" collapsed="false">
      <c r="N56" s="41"/>
    </row>
    <row r="57" customFormat="false" ht="15.75" hidden="false" customHeight="false" outlineLevel="0" collapsed="false">
      <c r="K57" s="42"/>
      <c r="N57" s="41"/>
    </row>
    <row r="58" customFormat="false" ht="15.75" hidden="false" customHeight="false" outlineLevel="0" collapsed="false">
      <c r="K58" s="42"/>
      <c r="N58" s="41"/>
    </row>
    <row r="59" customFormat="false" ht="15.75" hidden="false" customHeight="false" outlineLevel="0" collapsed="false">
      <c r="K59" s="42"/>
      <c r="N59" s="41"/>
    </row>
    <row r="60" customFormat="false" ht="15.75" hidden="false" customHeight="false" outlineLevel="0" collapsed="false">
      <c r="K60" s="42"/>
      <c r="N60" s="41"/>
    </row>
    <row r="61" customFormat="false" ht="15.75" hidden="false" customHeight="false" outlineLevel="0" collapsed="false">
      <c r="N61" s="41"/>
    </row>
    <row r="62" customFormat="false" ht="15.75" hidden="false" customHeight="false" outlineLevel="0" collapsed="false">
      <c r="N62" s="39"/>
    </row>
  </sheetData>
  <hyperlinks>
    <hyperlink ref="A10" r:id="rId1" display="https://ebookpoint.pl/eps/fv/3ufy37g2xxjj82hwby5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31" t="s">
        <v>638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customFormat="false" ht="15.75" hidden="false" customHeight="false" outlineLevel="0" collapsed="false">
      <c r="A2" s="31" t="s">
        <v>639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.75" hidden="false" customHeight="false" outlineLevel="0" collapsed="false">
      <c r="A3" s="31" t="s">
        <v>564</v>
      </c>
      <c r="B3" s="31"/>
      <c r="C3" s="31"/>
      <c r="D3" s="31"/>
      <c r="E3" s="31"/>
      <c r="F3" s="13"/>
      <c r="G3" s="31"/>
      <c r="H3" s="31"/>
      <c r="I3" s="31"/>
      <c r="J3" s="31"/>
      <c r="K3" s="13"/>
      <c r="L3" s="31"/>
    </row>
    <row r="4" customFormat="false" ht="15.75" hidden="false" customHeight="false" outlineLevel="0" collapsed="false">
      <c r="A4" s="31"/>
      <c r="B4" s="31" t="s">
        <v>640</v>
      </c>
      <c r="C4" s="31"/>
      <c r="D4" s="31"/>
      <c r="E4" s="31"/>
      <c r="F4" s="31"/>
      <c r="G4" s="31"/>
      <c r="H4" s="31"/>
      <c r="I4" s="31"/>
      <c r="J4" s="31"/>
      <c r="K4" s="31"/>
      <c r="L4" s="31"/>
    </row>
    <row r="5" customFormat="false" ht="15.75" hidden="false" customHeight="false" outlineLevel="0" collapsed="false">
      <c r="A5" s="31" t="s">
        <v>566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customFormat="false" ht="15.75" hidden="false" customHeight="false" outlineLevel="0" collapsed="false">
      <c r="A6" s="31"/>
      <c r="B6" s="31" t="s">
        <v>567</v>
      </c>
      <c r="C6" s="31"/>
      <c r="D6" s="31"/>
      <c r="E6" s="31"/>
      <c r="F6" s="31"/>
      <c r="G6" s="31"/>
      <c r="H6" s="31"/>
      <c r="I6" s="31"/>
      <c r="J6" s="31"/>
      <c r="K6" s="31"/>
      <c r="L6" s="31"/>
    </row>
    <row r="7" customFormat="false" ht="15.75" hidden="false" customHeight="false" outlineLevel="0" collapsed="false">
      <c r="A7" s="31"/>
      <c r="B7" s="31" t="s">
        <v>568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customFormat="false" ht="15.75" hidden="false" customHeight="false" outlineLevel="0" collapsed="false">
      <c r="A8" s="31"/>
      <c r="B8" s="31" t="s">
        <v>569</v>
      </c>
      <c r="C8" s="31"/>
      <c r="D8" s="31"/>
      <c r="E8" s="31"/>
      <c r="F8" s="31"/>
      <c r="G8" s="31"/>
      <c r="H8" s="31"/>
      <c r="I8" s="31"/>
      <c r="J8" s="31"/>
      <c r="K8" s="31"/>
      <c r="L8" s="31"/>
    </row>
    <row r="9" customFormat="false" ht="15.75" hidden="false" customHeight="false" outlineLevel="0" collapsed="false">
      <c r="A9" s="31" t="s">
        <v>570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customFormat="false" ht="15.75" hidden="false" customHeight="false" outlineLevel="0" collapsed="false">
      <c r="A10" s="89" t="s">
        <v>641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customFormat="false" ht="15.75" hidden="false" customHeight="false" outlineLevel="0" collapsed="false">
      <c r="A11" s="31" t="s">
        <v>572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customFormat="false" ht="15.75" hidden="false" customHeight="fals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customFormat="false" ht="15.75" hidden="false" customHeight="false" outlineLevel="0" collapsed="false">
      <c r="A13" s="31" t="s">
        <v>573</v>
      </c>
      <c r="B13" s="31" t="s">
        <v>574</v>
      </c>
      <c r="C13" s="31" t="s">
        <v>575</v>
      </c>
      <c r="D13" s="31" t="s">
        <v>576</v>
      </c>
      <c r="E13" s="31" t="s">
        <v>577</v>
      </c>
      <c r="F13" s="31" t="s">
        <v>578</v>
      </c>
      <c r="G13" s="31" t="s">
        <v>579</v>
      </c>
      <c r="H13" s="31" t="s">
        <v>581</v>
      </c>
      <c r="I13" s="31" t="s">
        <v>642</v>
      </c>
      <c r="J13" s="31" t="s">
        <v>584</v>
      </c>
      <c r="K13" s="31" t="s">
        <v>585</v>
      </c>
      <c r="L13" s="31" t="s">
        <v>586</v>
      </c>
    </row>
    <row r="14" customFormat="false" ht="15.75" hidden="false" customHeight="false" outlineLevel="0" collapsed="false">
      <c r="A14" s="31" t="s">
        <v>643</v>
      </c>
      <c r="B14" s="31" t="s">
        <v>644</v>
      </c>
      <c r="C14" s="31" t="s">
        <v>593</v>
      </c>
      <c r="D14" s="31" t="s">
        <v>416</v>
      </c>
      <c r="E14" s="31" t="s">
        <v>546</v>
      </c>
      <c r="F14" s="13" t="n">
        <v>1</v>
      </c>
      <c r="G14" s="13" t="n">
        <v>18.95</v>
      </c>
      <c r="H14" s="13" t="n">
        <v>18.95</v>
      </c>
      <c r="I14" s="90" t="n">
        <v>0.36</v>
      </c>
      <c r="J14" s="13" t="n">
        <v>12.13</v>
      </c>
      <c r="K14" s="13" t="n">
        <v>12.13</v>
      </c>
      <c r="L14" s="40" t="n">
        <v>0.05</v>
      </c>
    </row>
    <row r="15" customFormat="false" ht="15.75" hidden="false" customHeight="false" outlineLevel="0" collapsed="false">
      <c r="A15" s="31" t="s">
        <v>645</v>
      </c>
      <c r="B15" s="31" t="s">
        <v>646</v>
      </c>
      <c r="C15" s="31" t="s">
        <v>593</v>
      </c>
      <c r="D15" s="31" t="s">
        <v>416</v>
      </c>
      <c r="E15" s="31" t="s">
        <v>294</v>
      </c>
      <c r="F15" s="13" t="n">
        <v>1</v>
      </c>
      <c r="G15" s="13" t="n">
        <v>17.05</v>
      </c>
      <c r="H15" s="13" t="n">
        <v>17.05</v>
      </c>
      <c r="I15" s="90" t="n">
        <v>0.36</v>
      </c>
      <c r="J15" s="13" t="n">
        <v>10.91</v>
      </c>
      <c r="K15" s="13" t="n">
        <v>10.91</v>
      </c>
      <c r="L15" s="40" t="n">
        <v>0.05</v>
      </c>
    </row>
    <row r="16" customFormat="false" ht="15.75" hidden="false" customHeight="false" outlineLevel="0" collapsed="false">
      <c r="A16" s="31"/>
      <c r="B16" s="31"/>
      <c r="C16" s="31"/>
      <c r="D16" s="31"/>
      <c r="E16" s="31"/>
      <c r="F16" s="13" t="n">
        <v>2</v>
      </c>
      <c r="G16" s="13"/>
      <c r="H16" s="13"/>
      <c r="I16" s="90"/>
      <c r="J16" s="13"/>
      <c r="K16" s="13" t="n">
        <v>23.04</v>
      </c>
      <c r="L16" s="40"/>
    </row>
    <row r="17" customFormat="false" ht="15.75" hidden="false" customHeight="false" outlineLevel="0" collapsed="false">
      <c r="A17" s="31"/>
      <c r="B17" s="31"/>
      <c r="C17" s="31"/>
      <c r="D17" s="31"/>
      <c r="E17" s="31"/>
      <c r="F17" s="13"/>
      <c r="G17" s="31"/>
      <c r="H17" s="31"/>
      <c r="I17" s="90"/>
      <c r="J17" s="31"/>
      <c r="K17" s="13"/>
      <c r="L17" s="40"/>
    </row>
    <row r="18" customFormat="false" ht="15.75" hidden="false" customHeight="false" outlineLevel="0" collapsed="false">
      <c r="I18" s="38"/>
      <c r="L18" s="39"/>
    </row>
  </sheetData>
  <hyperlinks>
    <hyperlink ref="A10" r:id="rId1" display="https://ebookpoint.pl/eps/fv/gffjrqnqcshg8r2zed2b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8" t="s">
        <v>647</v>
      </c>
      <c r="B1" s="8" t="s">
        <v>648</v>
      </c>
      <c r="C1" s="8" t="s">
        <v>304</v>
      </c>
      <c r="D1" s="8" t="s">
        <v>649</v>
      </c>
      <c r="E1" s="8" t="s">
        <v>650</v>
      </c>
      <c r="F1" s="8" t="s">
        <v>651</v>
      </c>
      <c r="G1" s="8" t="s">
        <v>652</v>
      </c>
      <c r="H1" s="8" t="s">
        <v>653</v>
      </c>
      <c r="I1" s="8" t="s">
        <v>654</v>
      </c>
      <c r="J1" s="8" t="s">
        <v>655</v>
      </c>
      <c r="K1" s="8" t="s">
        <v>656</v>
      </c>
      <c r="L1" s="8" t="s">
        <v>657</v>
      </c>
      <c r="M1" s="8" t="s">
        <v>658</v>
      </c>
      <c r="N1" s="8" t="s">
        <v>659</v>
      </c>
      <c r="O1" s="8" t="s">
        <v>660</v>
      </c>
      <c r="P1" s="8" t="s">
        <v>303</v>
      </c>
      <c r="Q1" s="8" t="s">
        <v>661</v>
      </c>
    </row>
    <row r="2" customFormat="false" ht="15.75" hidden="false" customHeight="false" outlineLevel="0" collapsed="false">
      <c r="A2" s="8" t="s">
        <v>662</v>
      </c>
      <c r="B2" s="8" t="s">
        <v>56</v>
      </c>
      <c r="C2" s="8" t="n">
        <v>9788365156037</v>
      </c>
      <c r="D2" s="8" t="s">
        <v>663</v>
      </c>
      <c r="E2" s="8" t="s">
        <v>664</v>
      </c>
      <c r="F2" s="8" t="s">
        <v>665</v>
      </c>
      <c r="G2" s="8" t="n">
        <v>1</v>
      </c>
      <c r="H2" s="8" t="n">
        <v>0.92</v>
      </c>
      <c r="I2" s="8" t="s">
        <v>666</v>
      </c>
      <c r="J2" s="8" t="n">
        <v>0.92</v>
      </c>
      <c r="K2" s="8" t="n">
        <v>2.72</v>
      </c>
      <c r="L2" s="8" t="n">
        <v>1.25</v>
      </c>
      <c r="M2" s="8" t="n">
        <v>1.25</v>
      </c>
      <c r="N2" s="8" t="n">
        <v>5</v>
      </c>
      <c r="O2" s="8" t="s">
        <v>667</v>
      </c>
      <c r="Q2" s="8" t="s">
        <v>668</v>
      </c>
    </row>
    <row r="3" customFormat="false" ht="15.75" hidden="false" customHeight="false" outlineLevel="0" collapsed="false">
      <c r="A3" s="8" t="s">
        <v>669</v>
      </c>
      <c r="B3" s="8" t="s">
        <v>69</v>
      </c>
      <c r="C3" s="8" t="n">
        <v>9788365156112</v>
      </c>
      <c r="D3" s="8" t="s">
        <v>663</v>
      </c>
      <c r="E3" s="8" t="s">
        <v>664</v>
      </c>
      <c r="F3" s="8" t="s">
        <v>665</v>
      </c>
      <c r="G3" s="8" t="n">
        <v>2</v>
      </c>
      <c r="H3" s="8" t="n">
        <v>0.92</v>
      </c>
      <c r="I3" s="8" t="s">
        <v>666</v>
      </c>
      <c r="J3" s="8" t="n">
        <v>0.92</v>
      </c>
      <c r="K3" s="8" t="n">
        <v>3.41</v>
      </c>
      <c r="L3" s="8" t="n">
        <v>1.56</v>
      </c>
      <c r="M3" s="8" t="n">
        <v>3.12</v>
      </c>
      <c r="N3" s="8" t="n">
        <v>5</v>
      </c>
      <c r="O3" s="8" t="s">
        <v>667</v>
      </c>
      <c r="Q3" s="8" t="s">
        <v>670</v>
      </c>
    </row>
    <row r="4" customFormat="false" ht="15.75" hidden="false" customHeight="false" outlineLevel="0" collapsed="false">
      <c r="A4" s="8" t="s">
        <v>326</v>
      </c>
      <c r="B4" s="8" t="s">
        <v>52</v>
      </c>
      <c r="C4" s="8" t="n">
        <v>9788365156228</v>
      </c>
      <c r="D4" s="8" t="s">
        <v>663</v>
      </c>
      <c r="E4" s="8" t="s">
        <v>664</v>
      </c>
      <c r="F4" s="8" t="s">
        <v>665</v>
      </c>
      <c r="G4" s="8" t="n">
        <v>1</v>
      </c>
      <c r="H4" s="8" t="n">
        <v>0.92</v>
      </c>
      <c r="I4" s="8" t="s">
        <v>666</v>
      </c>
      <c r="J4" s="8" t="n">
        <v>0.92</v>
      </c>
      <c r="K4" s="8" t="n">
        <v>3.73</v>
      </c>
      <c r="L4" s="8" t="n">
        <v>1.71</v>
      </c>
      <c r="M4" s="8" t="n">
        <v>1.71</v>
      </c>
      <c r="N4" s="8" t="n">
        <v>5</v>
      </c>
      <c r="O4" s="8" t="s">
        <v>667</v>
      </c>
      <c r="Q4" s="8" t="s">
        <v>671</v>
      </c>
    </row>
    <row r="5" customFormat="false" ht="15.75" hidden="false" customHeight="false" outlineLevel="0" collapsed="false">
      <c r="A5" s="8" t="s">
        <v>341</v>
      </c>
      <c r="B5" s="8" t="s">
        <v>340</v>
      </c>
      <c r="C5" s="8" t="n">
        <v>9788365156235</v>
      </c>
      <c r="D5" s="8" t="s">
        <v>663</v>
      </c>
      <c r="E5" s="8" t="s">
        <v>664</v>
      </c>
      <c r="F5" s="8" t="s">
        <v>665</v>
      </c>
      <c r="G5" s="8" t="n">
        <v>1</v>
      </c>
      <c r="H5" s="8" t="n">
        <v>0.92</v>
      </c>
      <c r="I5" s="8" t="s">
        <v>666</v>
      </c>
      <c r="J5" s="8" t="n">
        <v>0.92</v>
      </c>
      <c r="K5" s="8" t="n">
        <v>3.33</v>
      </c>
      <c r="L5" s="8" t="n">
        <v>1.53</v>
      </c>
      <c r="M5" s="8" t="n">
        <v>1.53</v>
      </c>
      <c r="N5" s="8" t="n">
        <v>5</v>
      </c>
      <c r="O5" s="8" t="s">
        <v>667</v>
      </c>
      <c r="Q5" s="8" t="s">
        <v>672</v>
      </c>
    </row>
    <row r="6" customFormat="false" ht="15.75" hidden="false" customHeight="false" outlineLevel="0" collapsed="false">
      <c r="A6" s="8" t="s">
        <v>318</v>
      </c>
      <c r="B6" s="8" t="s">
        <v>317</v>
      </c>
      <c r="C6" s="8" t="n">
        <v>9788365156242</v>
      </c>
      <c r="D6" s="8" t="s">
        <v>663</v>
      </c>
      <c r="E6" s="8" t="s">
        <v>664</v>
      </c>
      <c r="F6" s="8" t="s">
        <v>665</v>
      </c>
      <c r="G6" s="8" t="n">
        <v>1</v>
      </c>
      <c r="H6" s="8" t="n">
        <v>0.92</v>
      </c>
      <c r="I6" s="8" t="s">
        <v>666</v>
      </c>
      <c r="J6" s="8" t="n">
        <v>0.92</v>
      </c>
      <c r="K6" s="8" t="n">
        <v>3</v>
      </c>
      <c r="L6" s="8" t="n">
        <v>1.37</v>
      </c>
      <c r="M6" s="8" t="n">
        <v>1.37</v>
      </c>
      <c r="N6" s="8" t="n">
        <v>5</v>
      </c>
      <c r="O6" s="8" t="s">
        <v>667</v>
      </c>
      <c r="Q6" s="8" t="s">
        <v>673</v>
      </c>
    </row>
    <row r="7" customFormat="false" ht="15.75" hidden="false" customHeight="false" outlineLevel="0" collapsed="false">
      <c r="A7" s="8" t="s">
        <v>674</v>
      </c>
      <c r="B7" s="8" t="s">
        <v>364</v>
      </c>
      <c r="C7" s="8" t="n">
        <v>9788365156280</v>
      </c>
      <c r="D7" s="8" t="s">
        <v>663</v>
      </c>
      <c r="E7" s="8" t="s">
        <v>664</v>
      </c>
      <c r="F7" s="8" t="s">
        <v>665</v>
      </c>
      <c r="G7" s="8" t="n">
        <v>2</v>
      </c>
      <c r="H7" s="8" t="n">
        <v>0.92</v>
      </c>
      <c r="I7" s="8" t="s">
        <v>666</v>
      </c>
      <c r="J7" s="8" t="n">
        <v>0.92</v>
      </c>
      <c r="K7" s="8" t="n">
        <v>3.37</v>
      </c>
      <c r="L7" s="8" t="n">
        <v>1.55</v>
      </c>
      <c r="M7" s="8" t="n">
        <v>3.09</v>
      </c>
      <c r="N7" s="8" t="n">
        <v>5</v>
      </c>
      <c r="O7" s="8" t="s">
        <v>667</v>
      </c>
      <c r="Q7" s="8" t="s">
        <v>675</v>
      </c>
    </row>
    <row r="8" customFormat="false" ht="15.75" hidden="false" customHeight="false" outlineLevel="0" collapsed="false">
      <c r="A8" s="8" t="s">
        <v>676</v>
      </c>
      <c r="B8" s="8" t="s">
        <v>677</v>
      </c>
      <c r="C8" s="8" t="n">
        <v>9788365156310</v>
      </c>
      <c r="D8" s="8" t="s">
        <v>663</v>
      </c>
      <c r="E8" s="8" t="s">
        <v>664</v>
      </c>
      <c r="F8" s="8" t="s">
        <v>665</v>
      </c>
      <c r="G8" s="8" t="n">
        <v>1</v>
      </c>
      <c r="H8" s="8" t="n">
        <v>0.92</v>
      </c>
      <c r="I8" s="8" t="s">
        <v>666</v>
      </c>
      <c r="J8" s="8" t="n">
        <v>0.92</v>
      </c>
      <c r="K8" s="8" t="n">
        <v>4.5</v>
      </c>
      <c r="L8" s="8" t="n">
        <v>2.07</v>
      </c>
      <c r="M8" s="8" t="n">
        <v>2.07</v>
      </c>
      <c r="N8" s="8" t="n">
        <v>5</v>
      </c>
      <c r="O8" s="8" t="s">
        <v>667</v>
      </c>
      <c r="Q8" s="8" t="s">
        <v>678</v>
      </c>
    </row>
    <row r="9" customFormat="false" ht="15.75" hidden="false" customHeight="false" outlineLevel="0" collapsed="false">
      <c r="A9" s="8" t="s">
        <v>679</v>
      </c>
      <c r="B9" s="8" t="s">
        <v>680</v>
      </c>
      <c r="C9" s="8" t="n">
        <v>9788365156365</v>
      </c>
      <c r="D9" s="8" t="s">
        <v>663</v>
      </c>
      <c r="E9" s="8" t="s">
        <v>664</v>
      </c>
      <c r="F9" s="8" t="s">
        <v>665</v>
      </c>
      <c r="G9" s="8" t="n">
        <v>1</v>
      </c>
      <c r="H9" s="8" t="n">
        <v>0.92</v>
      </c>
      <c r="I9" s="8" t="s">
        <v>666</v>
      </c>
      <c r="J9" s="8" t="n">
        <v>0.92</v>
      </c>
      <c r="K9" s="8" t="n">
        <v>4.25</v>
      </c>
      <c r="L9" s="8" t="n">
        <v>1.95</v>
      </c>
      <c r="M9" s="8" t="n">
        <v>1.95</v>
      </c>
      <c r="N9" s="8" t="n">
        <v>5</v>
      </c>
      <c r="O9" s="8" t="s">
        <v>667</v>
      </c>
      <c r="Q9" s="8" t="s">
        <v>681</v>
      </c>
    </row>
    <row r="10" customFormat="false" ht="15.75" hidden="false" customHeight="false" outlineLevel="0" collapsed="false">
      <c r="A10" s="8" t="s">
        <v>682</v>
      </c>
      <c r="B10" s="8" t="s">
        <v>47</v>
      </c>
      <c r="C10" s="8" t="n">
        <v>9788365156402</v>
      </c>
      <c r="D10" s="8" t="s">
        <v>663</v>
      </c>
      <c r="E10" s="8" t="s">
        <v>664</v>
      </c>
      <c r="F10" s="8" t="s">
        <v>665</v>
      </c>
      <c r="G10" s="8" t="n">
        <v>1</v>
      </c>
      <c r="H10" s="8" t="n">
        <v>0.92</v>
      </c>
      <c r="I10" s="8" t="s">
        <v>666</v>
      </c>
      <c r="J10" s="8" t="n">
        <v>0.92</v>
      </c>
      <c r="K10" s="8" t="n">
        <v>7.86</v>
      </c>
      <c r="L10" s="8" t="n">
        <v>3.6</v>
      </c>
      <c r="M10" s="8" t="n">
        <v>3.6</v>
      </c>
      <c r="N10" s="8" t="n">
        <v>5</v>
      </c>
      <c r="O10" s="8" t="s">
        <v>667</v>
      </c>
      <c r="Q10" s="8" t="s">
        <v>683</v>
      </c>
    </row>
    <row r="11" customFormat="false" ht="15.75" hidden="false" customHeight="false" outlineLevel="0" collapsed="false">
      <c r="A11" s="8" t="s">
        <v>682</v>
      </c>
      <c r="B11" s="8" t="s">
        <v>47</v>
      </c>
      <c r="C11" s="8" t="n">
        <v>9788365156402</v>
      </c>
      <c r="D11" s="8" t="s">
        <v>663</v>
      </c>
      <c r="E11" s="8" t="s">
        <v>664</v>
      </c>
      <c r="F11" s="8" t="s">
        <v>665</v>
      </c>
      <c r="G11" s="8" t="n">
        <v>1</v>
      </c>
      <c r="H11" s="8" t="n">
        <v>0.92</v>
      </c>
      <c r="I11" s="8" t="s">
        <v>666</v>
      </c>
      <c r="J11" s="8" t="n">
        <v>0.92</v>
      </c>
      <c r="K11" s="8" t="n">
        <v>7.84</v>
      </c>
      <c r="L11" s="8" t="n">
        <v>3.59</v>
      </c>
      <c r="M11" s="8" t="n">
        <v>3.59</v>
      </c>
      <c r="N11" s="8" t="n">
        <v>5</v>
      </c>
      <c r="O11" s="8" t="s">
        <v>667</v>
      </c>
      <c r="Q11" s="8" t="s">
        <v>668</v>
      </c>
    </row>
    <row r="12" customFormat="false" ht="15.75" hidden="false" customHeight="false" outlineLevel="0" collapsed="false">
      <c r="A12" s="8" t="s">
        <v>684</v>
      </c>
      <c r="B12" s="8" t="s">
        <v>370</v>
      </c>
      <c r="C12" s="8" t="n">
        <v>9788365156419</v>
      </c>
      <c r="D12" s="8" t="s">
        <v>663</v>
      </c>
      <c r="E12" s="8" t="s">
        <v>664</v>
      </c>
      <c r="F12" s="8" t="s">
        <v>665</v>
      </c>
      <c r="G12" s="8" t="n">
        <v>2</v>
      </c>
      <c r="H12" s="8" t="n">
        <v>0.92</v>
      </c>
      <c r="I12" s="8" t="s">
        <v>666</v>
      </c>
      <c r="J12" s="8" t="n">
        <v>0.92</v>
      </c>
      <c r="K12" s="8" t="n">
        <v>2.72</v>
      </c>
      <c r="L12" s="8" t="n">
        <v>1.25</v>
      </c>
      <c r="M12" s="8" t="n">
        <v>2.5</v>
      </c>
      <c r="N12" s="8" t="n">
        <v>5</v>
      </c>
      <c r="O12" s="8" t="s">
        <v>667</v>
      </c>
      <c r="Q12" s="8" t="s">
        <v>685</v>
      </c>
    </row>
    <row r="13" customFormat="false" ht="15.75" hidden="false" customHeight="false" outlineLevel="0" collapsed="false">
      <c r="A13" s="8" t="s">
        <v>669</v>
      </c>
      <c r="B13" s="8" t="s">
        <v>92</v>
      </c>
      <c r="C13" s="8" t="n">
        <v>9788365156433</v>
      </c>
      <c r="D13" s="8" t="s">
        <v>663</v>
      </c>
      <c r="E13" s="8" t="s">
        <v>664</v>
      </c>
      <c r="F13" s="8" t="s">
        <v>665</v>
      </c>
      <c r="G13" s="8" t="n">
        <v>1</v>
      </c>
      <c r="H13" s="8" t="n">
        <v>0.92</v>
      </c>
      <c r="I13" s="8" t="s">
        <v>666</v>
      </c>
      <c r="J13" s="8" t="n">
        <v>0.92</v>
      </c>
      <c r="K13" s="8" t="n">
        <v>3.53</v>
      </c>
      <c r="L13" s="8" t="n">
        <v>1.62</v>
      </c>
      <c r="M13" s="8" t="n">
        <v>1.62</v>
      </c>
      <c r="N13" s="8" t="n">
        <v>5</v>
      </c>
      <c r="O13" s="8" t="s">
        <v>667</v>
      </c>
      <c r="Q13" s="8" t="s">
        <v>686</v>
      </c>
    </row>
    <row r="14" customFormat="false" ht="15.75" hidden="false" customHeight="false" outlineLevel="0" collapsed="false">
      <c r="A14" s="8" t="s">
        <v>338</v>
      </c>
      <c r="B14" s="8" t="s">
        <v>59</v>
      </c>
      <c r="C14" s="8" t="n">
        <v>9788365156471</v>
      </c>
      <c r="D14" s="8" t="s">
        <v>663</v>
      </c>
      <c r="E14" s="8" t="s">
        <v>664</v>
      </c>
      <c r="F14" s="8" t="s">
        <v>665</v>
      </c>
      <c r="G14" s="8" t="n">
        <v>1</v>
      </c>
      <c r="H14" s="8" t="n">
        <v>0.92</v>
      </c>
      <c r="I14" s="8" t="s">
        <v>666</v>
      </c>
      <c r="J14" s="8" t="n">
        <v>0.92</v>
      </c>
      <c r="K14" s="8" t="n">
        <v>5.49</v>
      </c>
      <c r="L14" s="8" t="n">
        <v>2.52</v>
      </c>
      <c r="M14" s="8" t="n">
        <v>2.52</v>
      </c>
      <c r="N14" s="8" t="n">
        <v>5</v>
      </c>
      <c r="O14" s="8" t="s">
        <v>667</v>
      </c>
      <c r="Q14" s="8" t="s">
        <v>687</v>
      </c>
    </row>
    <row r="15" customFormat="false" ht="15.75" hidden="false" customHeight="false" outlineLevel="0" collapsed="false">
      <c r="A15" s="8" t="s">
        <v>321</v>
      </c>
      <c r="B15" s="8" t="s">
        <v>105</v>
      </c>
      <c r="C15" s="8" t="n">
        <v>9788365156501</v>
      </c>
      <c r="D15" s="8" t="s">
        <v>663</v>
      </c>
      <c r="E15" s="8" t="s">
        <v>664</v>
      </c>
      <c r="F15" s="8" t="s">
        <v>665</v>
      </c>
      <c r="G15" s="8" t="n">
        <v>1</v>
      </c>
      <c r="H15" s="8" t="n">
        <v>0.92</v>
      </c>
      <c r="I15" s="8" t="s">
        <v>666</v>
      </c>
      <c r="J15" s="8" t="n">
        <v>0.92</v>
      </c>
      <c r="K15" s="8" t="n">
        <v>4.78</v>
      </c>
      <c r="L15" s="8" t="n">
        <v>2.19</v>
      </c>
      <c r="M15" s="8" t="n">
        <v>2.19</v>
      </c>
      <c r="N15" s="8" t="n">
        <v>5</v>
      </c>
      <c r="O15" s="8" t="s">
        <v>667</v>
      </c>
      <c r="Q15" s="8" t="s">
        <v>688</v>
      </c>
    </row>
    <row r="16" customFormat="false" ht="15.75" hidden="false" customHeight="false" outlineLevel="0" collapsed="false">
      <c r="A16" s="8" t="s">
        <v>682</v>
      </c>
      <c r="B16" s="8" t="s">
        <v>57</v>
      </c>
      <c r="C16" s="8" t="n">
        <v>9788365156563</v>
      </c>
      <c r="D16" s="8" t="s">
        <v>663</v>
      </c>
      <c r="E16" s="8" t="s">
        <v>664</v>
      </c>
      <c r="F16" s="8" t="s">
        <v>665</v>
      </c>
      <c r="G16" s="8" t="n">
        <v>1</v>
      </c>
      <c r="H16" s="8" t="n">
        <v>0.92</v>
      </c>
      <c r="I16" s="8" t="s">
        <v>666</v>
      </c>
      <c r="J16" s="8" t="n">
        <v>0.92</v>
      </c>
      <c r="K16" s="8" t="n">
        <v>5.16</v>
      </c>
      <c r="L16" s="8" t="n">
        <v>2.37</v>
      </c>
      <c r="M16" s="8" t="n">
        <v>2.37</v>
      </c>
      <c r="N16" s="8" t="n">
        <v>5</v>
      </c>
      <c r="O16" s="8" t="s">
        <v>667</v>
      </c>
      <c r="Q16" s="8" t="s">
        <v>689</v>
      </c>
    </row>
    <row r="17" customFormat="false" ht="15.75" hidden="false" customHeight="false" outlineLevel="0" collapsed="false">
      <c r="A17" s="8" t="s">
        <v>690</v>
      </c>
      <c r="B17" s="8" t="s">
        <v>61</v>
      </c>
      <c r="C17" s="8" t="n">
        <v>9788365156822</v>
      </c>
      <c r="D17" s="8" t="s">
        <v>663</v>
      </c>
      <c r="E17" s="8" t="s">
        <v>664</v>
      </c>
      <c r="F17" s="8" t="s">
        <v>665</v>
      </c>
      <c r="G17" s="8" t="n">
        <v>7</v>
      </c>
      <c r="H17" s="8" t="n">
        <v>0.92</v>
      </c>
      <c r="I17" s="8" t="s">
        <v>666</v>
      </c>
      <c r="J17" s="8" t="n">
        <v>0.92</v>
      </c>
      <c r="K17" s="8" t="n">
        <v>5.24</v>
      </c>
      <c r="L17" s="8" t="n">
        <v>2.4</v>
      </c>
      <c r="M17" s="8" t="n">
        <v>16.82</v>
      </c>
      <c r="N17" s="8" t="n">
        <v>5</v>
      </c>
      <c r="O17" s="8" t="s">
        <v>667</v>
      </c>
      <c r="Q17" s="8" t="s">
        <v>691</v>
      </c>
    </row>
    <row r="18" customFormat="false" ht="15.75" hidden="false" customHeight="false" outlineLevel="0" collapsed="false">
      <c r="A18" s="8" t="s">
        <v>330</v>
      </c>
      <c r="B18" s="8" t="s">
        <v>86</v>
      </c>
      <c r="C18" s="8" t="n">
        <v>9788365156860</v>
      </c>
      <c r="D18" s="8" t="s">
        <v>663</v>
      </c>
      <c r="E18" s="8" t="s">
        <v>664</v>
      </c>
      <c r="F18" s="8" t="s">
        <v>665</v>
      </c>
      <c r="G18" s="8" t="n">
        <v>3</v>
      </c>
      <c r="H18" s="8" t="n">
        <v>0.92</v>
      </c>
      <c r="I18" s="8" t="s">
        <v>666</v>
      </c>
      <c r="J18" s="8" t="n">
        <v>0.92</v>
      </c>
      <c r="K18" s="8" t="n">
        <v>6.09</v>
      </c>
      <c r="L18" s="8" t="n">
        <v>2.79</v>
      </c>
      <c r="M18" s="8" t="n">
        <v>8.38</v>
      </c>
      <c r="N18" s="8" t="n">
        <v>5</v>
      </c>
      <c r="O18" s="8" t="s">
        <v>667</v>
      </c>
      <c r="Q18" s="8" t="s">
        <v>692</v>
      </c>
    </row>
    <row r="19" customFormat="false" ht="15.75" hidden="false" customHeight="false" outlineLevel="0" collapsed="false">
      <c r="A19" s="8" t="s">
        <v>693</v>
      </c>
      <c r="B19" s="8" t="s">
        <v>376</v>
      </c>
      <c r="C19" s="8" t="n">
        <v>9788393463053</v>
      </c>
      <c r="D19" s="8" t="s">
        <v>663</v>
      </c>
      <c r="E19" s="8" t="s">
        <v>664</v>
      </c>
      <c r="F19" s="8" t="s">
        <v>665</v>
      </c>
      <c r="G19" s="8" t="n">
        <v>1</v>
      </c>
      <c r="H19" s="8" t="n">
        <v>0.92</v>
      </c>
      <c r="I19" s="8" t="s">
        <v>666</v>
      </c>
      <c r="J19" s="8" t="n">
        <v>0.92</v>
      </c>
      <c r="K19" s="8" t="n">
        <v>2.84</v>
      </c>
      <c r="L19" s="8" t="n">
        <v>1.3</v>
      </c>
      <c r="M19" s="8" t="n">
        <v>1.3</v>
      </c>
      <c r="N19" s="8" t="n">
        <v>5</v>
      </c>
      <c r="O19" s="8" t="s">
        <v>667</v>
      </c>
      <c r="Q19" s="8" t="s">
        <v>688</v>
      </c>
    </row>
    <row r="20" customFormat="false" ht="15.75" hidden="false" customHeight="false" outlineLevel="0" collapsed="false">
      <c r="A20" s="8" t="s">
        <v>694</v>
      </c>
      <c r="B20" s="8" t="s">
        <v>94</v>
      </c>
      <c r="C20" s="8" t="n">
        <v>9788393463060</v>
      </c>
      <c r="D20" s="8" t="s">
        <v>663</v>
      </c>
      <c r="E20" s="8" t="s">
        <v>664</v>
      </c>
      <c r="F20" s="8" t="s">
        <v>665</v>
      </c>
      <c r="G20" s="8" t="n">
        <v>1</v>
      </c>
      <c r="H20" s="8" t="n">
        <v>0.92</v>
      </c>
      <c r="I20" s="8" t="s">
        <v>666</v>
      </c>
      <c r="J20" s="8" t="n">
        <v>0.92</v>
      </c>
      <c r="K20" s="8" t="n">
        <v>3.34</v>
      </c>
      <c r="L20" s="8" t="n">
        <v>1.53</v>
      </c>
      <c r="M20" s="8" t="n">
        <v>1.53</v>
      </c>
      <c r="N20" s="8" t="n">
        <v>5</v>
      </c>
      <c r="O20" s="8" t="s">
        <v>667</v>
      </c>
      <c r="Q20" s="8" t="s">
        <v>695</v>
      </c>
    </row>
    <row r="21" customFormat="false" ht="15.75" hidden="false" customHeight="false" outlineLevel="0" collapsed="false">
      <c r="L21" s="84"/>
      <c r="M21" s="8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8" t="s">
        <v>647</v>
      </c>
      <c r="B1" s="8" t="s">
        <v>696</v>
      </c>
      <c r="C1" s="8" t="s">
        <v>304</v>
      </c>
      <c r="D1" s="8" t="s">
        <v>649</v>
      </c>
      <c r="E1" s="8" t="s">
        <v>650</v>
      </c>
      <c r="F1" s="8" t="s">
        <v>651</v>
      </c>
      <c r="G1" s="8" t="s">
        <v>652</v>
      </c>
      <c r="H1" s="8" t="s">
        <v>653</v>
      </c>
      <c r="I1" s="8" t="s">
        <v>654</v>
      </c>
      <c r="J1" s="8" t="s">
        <v>655</v>
      </c>
      <c r="K1" s="8" t="s">
        <v>656</v>
      </c>
      <c r="L1" s="8" t="s">
        <v>657</v>
      </c>
      <c r="M1" s="8" t="s">
        <v>658</v>
      </c>
      <c r="N1" s="8" t="s">
        <v>659</v>
      </c>
      <c r="O1" s="8" t="s">
        <v>660</v>
      </c>
      <c r="P1" s="8" t="s">
        <v>303</v>
      </c>
      <c r="Q1" s="8" t="s">
        <v>661</v>
      </c>
    </row>
    <row r="2" customFormat="false" ht="15.75" hidden="false" customHeight="false" outlineLevel="0" collapsed="false">
      <c r="A2" s="8" t="s">
        <v>694</v>
      </c>
      <c r="B2" s="8" t="s">
        <v>94</v>
      </c>
      <c r="C2" s="8" t="n">
        <v>9788365156136</v>
      </c>
      <c r="D2" s="8" t="s">
        <v>663</v>
      </c>
      <c r="E2" s="8" t="s">
        <v>664</v>
      </c>
      <c r="F2" s="8" t="s">
        <v>665</v>
      </c>
      <c r="G2" s="8" t="n">
        <v>30</v>
      </c>
      <c r="H2" s="8" t="n">
        <v>0.92</v>
      </c>
      <c r="I2" s="8" t="s">
        <v>666</v>
      </c>
      <c r="J2" s="8" t="n">
        <v>0.92</v>
      </c>
      <c r="K2" s="8" t="n">
        <v>2.82</v>
      </c>
      <c r="L2" s="8" t="n">
        <v>1.29</v>
      </c>
      <c r="M2" s="8" t="n">
        <v>38.78</v>
      </c>
      <c r="N2" s="8" t="n">
        <v>5</v>
      </c>
      <c r="O2" s="8" t="s">
        <v>667</v>
      </c>
      <c r="Q2" s="8" t="s">
        <v>697</v>
      </c>
    </row>
    <row r="3" customFormat="false" ht="15.75" hidden="false" customHeight="false" outlineLevel="0" collapsed="false">
      <c r="A3" s="8" t="s">
        <v>326</v>
      </c>
      <c r="B3" s="8" t="s">
        <v>371</v>
      </c>
      <c r="C3" s="8" t="n">
        <v>9788365156327</v>
      </c>
      <c r="D3" s="8" t="s">
        <v>663</v>
      </c>
      <c r="E3" s="8" t="s">
        <v>664</v>
      </c>
      <c r="F3" s="8" t="s">
        <v>665</v>
      </c>
      <c r="G3" s="8" t="n">
        <v>16</v>
      </c>
      <c r="H3" s="8" t="n">
        <v>0.92</v>
      </c>
      <c r="I3" s="8" t="s">
        <v>666</v>
      </c>
      <c r="J3" s="8" t="n">
        <v>0.92</v>
      </c>
      <c r="K3" s="8" t="n">
        <v>2.17</v>
      </c>
      <c r="L3" s="8" t="n">
        <v>0.99</v>
      </c>
      <c r="M3" s="8" t="n">
        <v>15.89</v>
      </c>
      <c r="N3" s="8" t="n">
        <v>5</v>
      </c>
      <c r="O3" s="8" t="s">
        <v>667</v>
      </c>
      <c r="Q3" s="8" t="s">
        <v>698</v>
      </c>
    </row>
    <row r="4" customFormat="false" ht="15.75" hidden="false" customHeight="false" outlineLevel="0" collapsed="false">
      <c r="A4" s="8" t="s">
        <v>699</v>
      </c>
      <c r="B4" s="8" t="s">
        <v>116</v>
      </c>
      <c r="C4" s="8" t="n">
        <v>9788365156334</v>
      </c>
      <c r="D4" s="8" t="s">
        <v>663</v>
      </c>
      <c r="E4" s="8" t="s">
        <v>664</v>
      </c>
      <c r="F4" s="8" t="s">
        <v>665</v>
      </c>
      <c r="G4" s="8" t="n">
        <v>13</v>
      </c>
      <c r="H4" s="8" t="n">
        <v>0.92</v>
      </c>
      <c r="I4" s="8" t="s">
        <v>666</v>
      </c>
      <c r="J4" s="8" t="n">
        <v>0.92</v>
      </c>
      <c r="K4" s="8" t="n">
        <v>2.67</v>
      </c>
      <c r="L4" s="8" t="n">
        <v>1.23</v>
      </c>
      <c r="M4" s="8" t="n">
        <v>15.94</v>
      </c>
      <c r="N4" s="8" t="n">
        <v>5</v>
      </c>
      <c r="O4" s="8" t="s">
        <v>667</v>
      </c>
      <c r="Q4" s="8" t="s">
        <v>700</v>
      </c>
    </row>
    <row r="5" customFormat="false" ht="15.75" hidden="false" customHeight="false" outlineLevel="0" collapsed="false">
      <c r="A5" s="8" t="s">
        <v>693</v>
      </c>
      <c r="B5" s="8" t="s">
        <v>376</v>
      </c>
      <c r="C5" s="8" t="n">
        <v>9788365156358</v>
      </c>
      <c r="D5" s="8" t="s">
        <v>663</v>
      </c>
      <c r="E5" s="8" t="s">
        <v>664</v>
      </c>
      <c r="F5" s="8" t="s">
        <v>665</v>
      </c>
      <c r="G5" s="8" t="n">
        <v>17</v>
      </c>
      <c r="H5" s="8" t="n">
        <v>0.92</v>
      </c>
      <c r="I5" s="8" t="s">
        <v>666</v>
      </c>
      <c r="J5" s="8" t="n">
        <v>0.92</v>
      </c>
      <c r="K5" s="8" t="n">
        <v>2.67</v>
      </c>
      <c r="L5" s="8" t="n">
        <v>1.23</v>
      </c>
      <c r="M5" s="8" t="n">
        <v>20.83</v>
      </c>
      <c r="N5" s="8" t="n">
        <v>5</v>
      </c>
      <c r="O5" s="8" t="s">
        <v>667</v>
      </c>
      <c r="Q5" s="8" t="s">
        <v>701</v>
      </c>
    </row>
    <row r="6" customFormat="false" ht="15.75" hidden="false" customHeight="false" outlineLevel="0" collapsed="false">
      <c r="A6" s="8" t="s">
        <v>702</v>
      </c>
      <c r="B6" s="8" t="s">
        <v>368</v>
      </c>
      <c r="C6" s="8" t="n">
        <v>9788365156457</v>
      </c>
      <c r="D6" s="8" t="s">
        <v>663</v>
      </c>
      <c r="E6" s="8" t="s">
        <v>664</v>
      </c>
      <c r="F6" s="8" t="s">
        <v>665</v>
      </c>
      <c r="G6" s="8" t="n">
        <v>35</v>
      </c>
      <c r="H6" s="8" t="n">
        <v>0.92</v>
      </c>
      <c r="I6" s="8" t="s">
        <v>666</v>
      </c>
      <c r="J6" s="8" t="n">
        <v>0.92</v>
      </c>
      <c r="K6" s="8" t="n">
        <v>2.22</v>
      </c>
      <c r="L6" s="8" t="n">
        <v>1.02</v>
      </c>
      <c r="M6" s="8" t="n">
        <v>35.56</v>
      </c>
      <c r="N6" s="8" t="n">
        <v>5</v>
      </c>
      <c r="O6" s="8" t="s">
        <v>667</v>
      </c>
      <c r="Q6" s="8" t="s">
        <v>703</v>
      </c>
    </row>
    <row r="7" customFormat="false" ht="15.75" hidden="false" customHeight="false" outlineLevel="0" collapsed="false">
      <c r="A7" s="8" t="s">
        <v>326</v>
      </c>
      <c r="B7" s="8" t="s">
        <v>114</v>
      </c>
      <c r="C7" s="8" t="n">
        <v>9788365156495</v>
      </c>
      <c r="D7" s="8" t="s">
        <v>663</v>
      </c>
      <c r="E7" s="8" t="s">
        <v>664</v>
      </c>
      <c r="F7" s="8" t="s">
        <v>665</v>
      </c>
      <c r="G7" s="8" t="n">
        <v>5</v>
      </c>
      <c r="H7" s="8" t="n">
        <v>0.92</v>
      </c>
      <c r="I7" s="8" t="s">
        <v>666</v>
      </c>
      <c r="J7" s="8" t="n">
        <v>0.92</v>
      </c>
      <c r="K7" s="8" t="n">
        <v>5.83</v>
      </c>
      <c r="L7" s="8" t="n">
        <v>2.67</v>
      </c>
      <c r="M7" s="8" t="n">
        <v>13.35</v>
      </c>
      <c r="N7" s="8" t="n">
        <v>5</v>
      </c>
      <c r="O7" s="8" t="s">
        <v>667</v>
      </c>
      <c r="Q7" s="8" t="s">
        <v>704</v>
      </c>
    </row>
    <row r="8" customFormat="false" ht="15.75" hidden="false" customHeight="false" outlineLevel="0" collapsed="false">
      <c r="A8" s="8" t="s">
        <v>338</v>
      </c>
      <c r="B8" s="8" t="s">
        <v>59</v>
      </c>
      <c r="C8" s="8" t="n">
        <v>9788365156570</v>
      </c>
      <c r="D8" s="8" t="s">
        <v>663</v>
      </c>
      <c r="E8" s="8" t="s">
        <v>664</v>
      </c>
      <c r="F8" s="8" t="s">
        <v>665</v>
      </c>
      <c r="G8" s="8" t="n">
        <v>20</v>
      </c>
      <c r="H8" s="8" t="n">
        <v>0.92</v>
      </c>
      <c r="I8" s="8" t="s">
        <v>666</v>
      </c>
      <c r="J8" s="8" t="n">
        <v>0.92</v>
      </c>
      <c r="K8" s="8" t="n">
        <v>5.11</v>
      </c>
      <c r="L8" s="8" t="n">
        <v>2.34</v>
      </c>
      <c r="M8" s="8" t="n">
        <v>46.83</v>
      </c>
      <c r="N8" s="8" t="n">
        <v>5</v>
      </c>
      <c r="O8" s="8" t="s">
        <v>667</v>
      </c>
      <c r="Q8" s="8" t="s">
        <v>705</v>
      </c>
    </row>
    <row r="9" customFormat="false" ht="15.75" hidden="false" customHeight="false" outlineLevel="0" collapsed="false">
      <c r="A9" s="8" t="s">
        <v>329</v>
      </c>
      <c r="B9" s="8" t="s">
        <v>328</v>
      </c>
      <c r="C9" s="8" t="n">
        <v>9788365156624</v>
      </c>
      <c r="D9" s="8" t="s">
        <v>663</v>
      </c>
      <c r="E9" s="8" t="s">
        <v>664</v>
      </c>
      <c r="F9" s="8" t="s">
        <v>665</v>
      </c>
      <c r="G9" s="8" t="n">
        <v>2</v>
      </c>
      <c r="H9" s="8" t="n">
        <v>0.92</v>
      </c>
      <c r="I9" s="8" t="s">
        <v>666</v>
      </c>
      <c r="J9" s="8" t="n">
        <v>0.92</v>
      </c>
      <c r="K9" s="8" t="n">
        <v>4.42</v>
      </c>
      <c r="L9" s="8" t="n">
        <v>2.03</v>
      </c>
      <c r="M9" s="8" t="n">
        <v>4.06</v>
      </c>
      <c r="N9" s="8" t="n">
        <v>5</v>
      </c>
      <c r="O9" s="8" t="s">
        <v>667</v>
      </c>
      <c r="Q9" s="8" t="s">
        <v>706</v>
      </c>
    </row>
    <row r="10" customFormat="false" ht="15.75" hidden="false" customHeight="false" outlineLevel="0" collapsed="false">
      <c r="A10" s="8" t="s">
        <v>332</v>
      </c>
      <c r="B10" s="8" t="s">
        <v>331</v>
      </c>
      <c r="C10" s="8" t="n">
        <v>9788365156648</v>
      </c>
      <c r="D10" s="8" t="s">
        <v>663</v>
      </c>
      <c r="E10" s="8" t="s">
        <v>664</v>
      </c>
      <c r="F10" s="8" t="s">
        <v>665</v>
      </c>
      <c r="G10" s="8" t="n">
        <v>18</v>
      </c>
      <c r="H10" s="8" t="n">
        <v>0.92</v>
      </c>
      <c r="I10" s="8" t="s">
        <v>666</v>
      </c>
      <c r="J10" s="8" t="n">
        <v>0.92</v>
      </c>
      <c r="K10" s="8" t="n">
        <v>3.52</v>
      </c>
      <c r="L10" s="8" t="n">
        <v>1.61</v>
      </c>
      <c r="M10" s="8" t="n">
        <v>29.05</v>
      </c>
      <c r="N10" s="8" t="n">
        <v>5</v>
      </c>
      <c r="O10" s="8" t="s">
        <v>667</v>
      </c>
      <c r="Q10" s="8" t="s">
        <v>707</v>
      </c>
    </row>
    <row r="11" customFormat="false" ht="15.75" hidden="false" customHeight="false" outlineLevel="0" collapsed="false">
      <c r="A11" s="8" t="s">
        <v>708</v>
      </c>
      <c r="B11" s="8" t="s">
        <v>108</v>
      </c>
      <c r="C11" s="8" t="n">
        <v>9788365156686</v>
      </c>
      <c r="D11" s="8" t="s">
        <v>663</v>
      </c>
      <c r="E11" s="8" t="s">
        <v>664</v>
      </c>
      <c r="F11" s="8" t="s">
        <v>665</v>
      </c>
      <c r="G11" s="8" t="n">
        <v>27</v>
      </c>
      <c r="H11" s="8" t="n">
        <v>0.92</v>
      </c>
      <c r="I11" s="8" t="s">
        <v>666</v>
      </c>
      <c r="J11" s="8" t="n">
        <v>0.92</v>
      </c>
      <c r="K11" s="8" t="n">
        <v>3.02</v>
      </c>
      <c r="L11" s="8" t="n">
        <v>1.38</v>
      </c>
      <c r="M11" s="8" t="n">
        <v>37.34</v>
      </c>
      <c r="N11" s="8" t="n">
        <v>5</v>
      </c>
      <c r="O11" s="8" t="s">
        <v>667</v>
      </c>
      <c r="Q11" s="8" t="s">
        <v>709</v>
      </c>
    </row>
    <row r="12" customFormat="false" ht="15.75" hidden="false" customHeight="false" outlineLevel="0" collapsed="false">
      <c r="A12" s="8" t="s">
        <v>348</v>
      </c>
      <c r="B12" s="8" t="s">
        <v>347</v>
      </c>
      <c r="C12" s="8" t="n">
        <v>9788365156709</v>
      </c>
      <c r="D12" s="8" t="s">
        <v>663</v>
      </c>
      <c r="E12" s="8" t="s">
        <v>664</v>
      </c>
      <c r="F12" s="8" t="s">
        <v>665</v>
      </c>
      <c r="G12" s="8" t="n">
        <v>32</v>
      </c>
      <c r="H12" s="8" t="n">
        <v>0.92</v>
      </c>
      <c r="I12" s="8" t="s">
        <v>666</v>
      </c>
      <c r="J12" s="8" t="n">
        <v>0.92</v>
      </c>
      <c r="K12" s="8" t="n">
        <v>2.06</v>
      </c>
      <c r="L12" s="8" t="n">
        <v>0.94</v>
      </c>
      <c r="M12" s="8" t="n">
        <v>30.16</v>
      </c>
      <c r="N12" s="8" t="n">
        <v>5</v>
      </c>
      <c r="O12" s="8" t="s">
        <v>667</v>
      </c>
      <c r="Q12" s="8" t="s">
        <v>710</v>
      </c>
    </row>
    <row r="13" customFormat="false" ht="15.75" hidden="false" customHeight="false" outlineLevel="0" collapsed="false">
      <c r="A13" s="8" t="s">
        <v>318</v>
      </c>
      <c r="B13" s="8" t="s">
        <v>317</v>
      </c>
      <c r="C13" s="8" t="n">
        <v>9788365156716</v>
      </c>
      <c r="D13" s="8" t="s">
        <v>663</v>
      </c>
      <c r="E13" s="8" t="s">
        <v>664</v>
      </c>
      <c r="F13" s="8" t="s">
        <v>665</v>
      </c>
      <c r="G13" s="8" t="n">
        <v>42</v>
      </c>
      <c r="H13" s="8" t="n">
        <v>0.92</v>
      </c>
      <c r="I13" s="8" t="s">
        <v>666</v>
      </c>
      <c r="J13" s="8" t="n">
        <v>0.92</v>
      </c>
      <c r="K13" s="8" t="n">
        <v>2.98</v>
      </c>
      <c r="L13" s="8" t="n">
        <v>1.37</v>
      </c>
      <c r="M13" s="8" t="n">
        <v>57.45</v>
      </c>
      <c r="N13" s="8" t="n">
        <v>5</v>
      </c>
      <c r="O13" s="8" t="s">
        <v>667</v>
      </c>
      <c r="Q13" s="8" t="s">
        <v>703</v>
      </c>
    </row>
    <row r="14" customFormat="false" ht="15.75" hidden="false" customHeight="false" outlineLevel="0" collapsed="false">
      <c r="A14" s="8" t="s">
        <v>321</v>
      </c>
      <c r="B14" s="8" t="s">
        <v>100</v>
      </c>
      <c r="C14" s="8" t="n">
        <v>9788365156723</v>
      </c>
      <c r="D14" s="8" t="s">
        <v>663</v>
      </c>
      <c r="E14" s="8" t="s">
        <v>664</v>
      </c>
      <c r="F14" s="8" t="s">
        <v>665</v>
      </c>
      <c r="G14" s="8" t="n">
        <v>21</v>
      </c>
      <c r="H14" s="8" t="n">
        <v>0.92</v>
      </c>
      <c r="I14" s="8" t="s">
        <v>666</v>
      </c>
      <c r="J14" s="8" t="n">
        <v>0.92</v>
      </c>
      <c r="K14" s="8" t="n">
        <v>4.17</v>
      </c>
      <c r="L14" s="8" t="n">
        <v>1.91</v>
      </c>
      <c r="M14" s="8" t="n">
        <v>40.12</v>
      </c>
      <c r="N14" s="8" t="n">
        <v>5</v>
      </c>
      <c r="O14" s="8" t="s">
        <v>667</v>
      </c>
      <c r="Q14" s="8" t="s">
        <v>703</v>
      </c>
    </row>
    <row r="15" customFormat="false" ht="15.75" hidden="false" customHeight="false" outlineLevel="0" collapsed="false">
      <c r="A15" s="8" t="s">
        <v>682</v>
      </c>
      <c r="B15" s="8" t="s">
        <v>47</v>
      </c>
      <c r="C15" s="8" t="n">
        <v>9788365156730</v>
      </c>
      <c r="D15" s="8" t="s">
        <v>663</v>
      </c>
      <c r="E15" s="8" t="s">
        <v>664</v>
      </c>
      <c r="F15" s="8" t="s">
        <v>665</v>
      </c>
      <c r="G15" s="8" t="n">
        <v>15</v>
      </c>
      <c r="H15" s="8" t="n">
        <v>0.92</v>
      </c>
      <c r="I15" s="8" t="s">
        <v>666</v>
      </c>
      <c r="J15" s="8" t="n">
        <v>0.92</v>
      </c>
      <c r="K15" s="8" t="n">
        <v>7.88</v>
      </c>
      <c r="L15" s="8" t="n">
        <v>3.61</v>
      </c>
      <c r="M15" s="8" t="n">
        <v>54.2</v>
      </c>
      <c r="N15" s="8" t="n">
        <v>5</v>
      </c>
      <c r="O15" s="8" t="s">
        <v>667</v>
      </c>
      <c r="Q15" s="8" t="s">
        <v>711</v>
      </c>
    </row>
    <row r="16" customFormat="false" ht="15.75" hidden="false" customHeight="false" outlineLevel="0" collapsed="false">
      <c r="A16" s="8" t="s">
        <v>338</v>
      </c>
      <c r="B16" s="8" t="s">
        <v>65</v>
      </c>
      <c r="C16" s="8" t="n">
        <v>9788365156747</v>
      </c>
      <c r="D16" s="8" t="s">
        <v>663</v>
      </c>
      <c r="E16" s="8" t="s">
        <v>664</v>
      </c>
      <c r="F16" s="8" t="s">
        <v>665</v>
      </c>
      <c r="G16" s="8" t="n">
        <v>35</v>
      </c>
      <c r="H16" s="8" t="n">
        <v>0.92</v>
      </c>
      <c r="I16" s="8" t="s">
        <v>666</v>
      </c>
      <c r="J16" s="8" t="n">
        <v>0.92</v>
      </c>
      <c r="K16" s="8" t="n">
        <v>3.92</v>
      </c>
      <c r="L16" s="8" t="n">
        <v>1.8</v>
      </c>
      <c r="M16" s="8" t="n">
        <v>62.85</v>
      </c>
      <c r="N16" s="8" t="n">
        <v>5</v>
      </c>
      <c r="O16" s="8" t="s">
        <v>667</v>
      </c>
      <c r="Q16" s="8" t="s">
        <v>712</v>
      </c>
    </row>
    <row r="17" customFormat="false" ht="15.75" hidden="false" customHeight="false" outlineLevel="0" collapsed="false">
      <c r="A17" s="8" t="s">
        <v>674</v>
      </c>
      <c r="B17" s="8" t="s">
        <v>364</v>
      </c>
      <c r="C17" s="8" t="n">
        <v>9788365156761</v>
      </c>
      <c r="D17" s="8" t="s">
        <v>663</v>
      </c>
      <c r="E17" s="8" t="s">
        <v>664</v>
      </c>
      <c r="F17" s="8" t="s">
        <v>665</v>
      </c>
      <c r="G17" s="8" t="n">
        <v>43</v>
      </c>
      <c r="H17" s="8" t="n">
        <v>0.92</v>
      </c>
      <c r="I17" s="8" t="s">
        <v>666</v>
      </c>
      <c r="J17" s="8" t="n">
        <v>0.92</v>
      </c>
      <c r="K17" s="8" t="n">
        <v>2.94</v>
      </c>
      <c r="L17" s="8" t="n">
        <v>1.35</v>
      </c>
      <c r="M17" s="8" t="n">
        <v>57.96</v>
      </c>
      <c r="N17" s="8" t="n">
        <v>5</v>
      </c>
      <c r="O17" s="8" t="s">
        <v>667</v>
      </c>
      <c r="Q17" s="8" t="s">
        <v>713</v>
      </c>
    </row>
    <row r="18" customFormat="false" ht="15.75" hidden="false" customHeight="false" outlineLevel="0" collapsed="false">
      <c r="A18" s="8" t="s">
        <v>682</v>
      </c>
      <c r="B18" s="8" t="s">
        <v>57</v>
      </c>
      <c r="C18" s="8" t="n">
        <v>9788365156778</v>
      </c>
      <c r="D18" s="8" t="s">
        <v>663</v>
      </c>
      <c r="E18" s="8" t="s">
        <v>664</v>
      </c>
      <c r="F18" s="8" t="s">
        <v>665</v>
      </c>
      <c r="G18" s="8" t="n">
        <v>22</v>
      </c>
      <c r="H18" s="8" t="n">
        <v>0.92</v>
      </c>
      <c r="I18" s="8" t="s">
        <v>666</v>
      </c>
      <c r="J18" s="8" t="n">
        <v>0.92</v>
      </c>
      <c r="K18" s="8" t="n">
        <v>4.93</v>
      </c>
      <c r="L18" s="8" t="n">
        <v>2.26</v>
      </c>
      <c r="M18" s="8" t="n">
        <v>49.71</v>
      </c>
      <c r="N18" s="8" t="n">
        <v>5</v>
      </c>
      <c r="O18" s="8" t="s">
        <v>667</v>
      </c>
      <c r="Q18" s="8" t="s">
        <v>714</v>
      </c>
    </row>
    <row r="19" customFormat="false" ht="15.75" hidden="false" customHeight="false" outlineLevel="0" collapsed="false">
      <c r="A19" s="8" t="s">
        <v>669</v>
      </c>
      <c r="B19" s="8" t="s">
        <v>715</v>
      </c>
      <c r="C19" s="8" t="n">
        <v>9788365156785</v>
      </c>
      <c r="D19" s="8" t="s">
        <v>663</v>
      </c>
      <c r="E19" s="8" t="s">
        <v>664</v>
      </c>
      <c r="F19" s="8" t="s">
        <v>665</v>
      </c>
      <c r="G19" s="8" t="n">
        <v>47</v>
      </c>
      <c r="H19" s="8" t="n">
        <v>0.92</v>
      </c>
      <c r="I19" s="8" t="s">
        <v>666</v>
      </c>
      <c r="J19" s="8" t="n">
        <v>0.92</v>
      </c>
      <c r="K19" s="8" t="n">
        <v>3.27</v>
      </c>
      <c r="L19" s="8" t="n">
        <v>1.5</v>
      </c>
      <c r="M19" s="8" t="n">
        <v>70.55</v>
      </c>
      <c r="N19" s="8" t="n">
        <v>5</v>
      </c>
      <c r="O19" s="8" t="s">
        <v>667</v>
      </c>
      <c r="Q19" s="8" t="s">
        <v>703</v>
      </c>
    </row>
    <row r="20" customFormat="false" ht="15.75" hidden="false" customHeight="false" outlineLevel="0" collapsed="false">
      <c r="A20" s="8" t="s">
        <v>676</v>
      </c>
      <c r="B20" s="8" t="s">
        <v>39</v>
      </c>
      <c r="C20" s="8" t="n">
        <v>9788365156792</v>
      </c>
      <c r="D20" s="8" t="s">
        <v>663</v>
      </c>
      <c r="E20" s="8" t="s">
        <v>664</v>
      </c>
      <c r="F20" s="8" t="s">
        <v>665</v>
      </c>
      <c r="G20" s="8" t="n">
        <v>21</v>
      </c>
      <c r="H20" s="8" t="n">
        <v>0.92</v>
      </c>
      <c r="I20" s="8" t="s">
        <v>666</v>
      </c>
      <c r="J20" s="8" t="n">
        <v>0.92</v>
      </c>
      <c r="K20" s="8" t="n">
        <v>5.22</v>
      </c>
      <c r="L20" s="8" t="n">
        <v>2.4</v>
      </c>
      <c r="M20" s="8" t="n">
        <v>50.3</v>
      </c>
      <c r="N20" s="8" t="n">
        <v>5</v>
      </c>
      <c r="O20" s="8" t="s">
        <v>667</v>
      </c>
      <c r="Q20" s="8" t="s">
        <v>716</v>
      </c>
    </row>
    <row r="21" customFormat="false" ht="15.75" hidden="false" customHeight="false" outlineLevel="0" collapsed="false">
      <c r="A21" s="8" t="s">
        <v>717</v>
      </c>
      <c r="B21" s="8" t="s">
        <v>718</v>
      </c>
      <c r="C21" s="8" t="n">
        <v>9788365156808</v>
      </c>
      <c r="D21" s="8" t="s">
        <v>663</v>
      </c>
      <c r="E21" s="8" t="s">
        <v>664</v>
      </c>
      <c r="F21" s="8" t="s">
        <v>665</v>
      </c>
      <c r="G21" s="8" t="n">
        <v>73</v>
      </c>
      <c r="H21" s="8" t="n">
        <v>0.92</v>
      </c>
      <c r="I21" s="8" t="s">
        <v>666</v>
      </c>
      <c r="J21" s="8" t="n">
        <v>0.92</v>
      </c>
      <c r="K21" s="8" t="n">
        <v>2.87</v>
      </c>
      <c r="L21" s="8" t="n">
        <v>1.31</v>
      </c>
      <c r="M21" s="8" t="n">
        <v>95.94</v>
      </c>
      <c r="N21" s="8" t="n">
        <v>5</v>
      </c>
      <c r="O21" s="8" t="s">
        <v>667</v>
      </c>
      <c r="Q21" s="8" t="s">
        <v>719</v>
      </c>
    </row>
    <row r="22" customFormat="false" ht="15.75" hidden="false" customHeight="false" outlineLevel="0" collapsed="false">
      <c r="A22" s="8" t="s">
        <v>684</v>
      </c>
      <c r="B22" s="8" t="s">
        <v>370</v>
      </c>
      <c r="C22" s="8" t="n">
        <v>9788365156839</v>
      </c>
      <c r="D22" s="8" t="s">
        <v>663</v>
      </c>
      <c r="E22" s="8" t="s">
        <v>664</v>
      </c>
      <c r="F22" s="8" t="s">
        <v>665</v>
      </c>
      <c r="G22" s="8" t="n">
        <v>63</v>
      </c>
      <c r="H22" s="8" t="n">
        <v>0.92</v>
      </c>
      <c r="I22" s="8" t="s">
        <v>666</v>
      </c>
      <c r="J22" s="8" t="n">
        <v>0.92</v>
      </c>
      <c r="K22" s="8" t="n">
        <v>2.96</v>
      </c>
      <c r="L22" s="8" t="n">
        <v>1.36</v>
      </c>
      <c r="M22" s="8" t="n">
        <v>85.52</v>
      </c>
      <c r="N22" s="8" t="n">
        <v>5</v>
      </c>
      <c r="O22" s="8" t="s">
        <v>667</v>
      </c>
      <c r="Q22" s="8" t="s">
        <v>719</v>
      </c>
    </row>
    <row r="23" customFormat="false" ht="15.75" hidden="false" customHeight="false" outlineLevel="0" collapsed="false">
      <c r="A23" s="8" t="s">
        <v>669</v>
      </c>
      <c r="B23" s="8" t="s">
        <v>69</v>
      </c>
      <c r="C23" s="8" t="n">
        <v>9788365156846</v>
      </c>
      <c r="D23" s="8" t="s">
        <v>663</v>
      </c>
      <c r="E23" s="8" t="s">
        <v>664</v>
      </c>
      <c r="F23" s="8" t="s">
        <v>665</v>
      </c>
      <c r="G23" s="8" t="n">
        <v>111</v>
      </c>
      <c r="H23" s="8" t="n">
        <v>0.92</v>
      </c>
      <c r="I23" s="8" t="s">
        <v>666</v>
      </c>
      <c r="J23" s="8" t="n">
        <v>0.92</v>
      </c>
      <c r="K23" s="8" t="n">
        <v>2.98</v>
      </c>
      <c r="L23" s="8" t="n">
        <v>1.37</v>
      </c>
      <c r="M23" s="8" t="n">
        <v>151.74</v>
      </c>
      <c r="N23" s="8" t="n">
        <v>5</v>
      </c>
      <c r="O23" s="8" t="s">
        <v>667</v>
      </c>
      <c r="Q23" s="8" t="s">
        <v>719</v>
      </c>
    </row>
    <row r="24" customFormat="false" ht="15.75" hidden="false" customHeight="false" outlineLevel="0" collapsed="false">
      <c r="A24" s="8" t="s">
        <v>690</v>
      </c>
      <c r="B24" s="8" t="s">
        <v>61</v>
      </c>
      <c r="C24" s="8" t="n">
        <v>9788365156853</v>
      </c>
      <c r="D24" s="8" t="s">
        <v>663</v>
      </c>
      <c r="E24" s="8" t="s">
        <v>664</v>
      </c>
      <c r="F24" s="8" t="s">
        <v>665</v>
      </c>
      <c r="G24" s="8" t="n">
        <v>60</v>
      </c>
      <c r="H24" s="8" t="n">
        <v>0.92</v>
      </c>
      <c r="I24" s="8" t="s">
        <v>666</v>
      </c>
      <c r="J24" s="8" t="n">
        <v>0.92</v>
      </c>
      <c r="K24" s="8" t="n">
        <v>4.42</v>
      </c>
      <c r="L24" s="8" t="n">
        <v>2.02</v>
      </c>
      <c r="M24" s="8" t="n">
        <v>121.49</v>
      </c>
      <c r="N24" s="8" t="n">
        <v>5</v>
      </c>
      <c r="O24" s="8" t="s">
        <v>667</v>
      </c>
      <c r="Q24" s="8" t="s">
        <v>720</v>
      </c>
    </row>
    <row r="25" customFormat="false" ht="15.75" hidden="false" customHeight="false" outlineLevel="0" collapsed="false">
      <c r="A25" s="8" t="s">
        <v>323</v>
      </c>
      <c r="B25" s="8" t="s">
        <v>81</v>
      </c>
      <c r="C25" s="8" t="n">
        <v>9788365156877</v>
      </c>
      <c r="D25" s="8" t="s">
        <v>663</v>
      </c>
      <c r="E25" s="8" t="s">
        <v>664</v>
      </c>
      <c r="F25" s="8" t="s">
        <v>665</v>
      </c>
      <c r="G25" s="8" t="n">
        <v>1</v>
      </c>
      <c r="H25" s="8" t="n">
        <v>0.92</v>
      </c>
      <c r="I25" s="8" t="s">
        <v>666</v>
      </c>
      <c r="J25" s="8" t="n">
        <v>0.92</v>
      </c>
      <c r="K25" s="8" t="n">
        <v>7.99</v>
      </c>
      <c r="L25" s="8" t="n">
        <v>3.66</v>
      </c>
      <c r="M25" s="8" t="n">
        <v>3.66</v>
      </c>
      <c r="N25" s="8" t="n">
        <v>5</v>
      </c>
      <c r="O25" s="8" t="s">
        <v>667</v>
      </c>
      <c r="Q25" s="8" t="s">
        <v>721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7" min="17" style="0" width="39.5"/>
  </cols>
  <sheetData>
    <row r="1" customFormat="false" ht="15.75" hidden="false" customHeight="false" outlineLevel="0" collapsed="false">
      <c r="A1" s="31" t="s">
        <v>722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customFormat="false" ht="15.75" hidden="false" customHeight="false" outlineLevel="0" collapsed="false">
      <c r="A2" s="91" t="s">
        <v>723</v>
      </c>
      <c r="B2" s="91"/>
      <c r="C2" s="91"/>
      <c r="D2" s="91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</row>
    <row r="3" customFormat="false" ht="15.75" hidden="false" customHeight="false" outlineLevel="0" collapsed="false">
      <c r="A3" s="92" t="s">
        <v>724</v>
      </c>
      <c r="B3" s="92" t="s">
        <v>725</v>
      </c>
      <c r="C3" s="92" t="s">
        <v>517</v>
      </c>
      <c r="D3" s="92" t="s">
        <v>726</v>
      </c>
      <c r="E3" s="92" t="s">
        <v>356</v>
      </c>
      <c r="F3" s="92" t="s">
        <v>727</v>
      </c>
      <c r="G3" s="92" t="s">
        <v>495</v>
      </c>
      <c r="H3" s="92" t="s">
        <v>728</v>
      </c>
      <c r="I3" s="92" t="s">
        <v>729</v>
      </c>
      <c r="J3" s="92" t="s">
        <v>730</v>
      </c>
      <c r="K3" s="92" t="s">
        <v>731</v>
      </c>
      <c r="L3" s="92" t="s">
        <v>732</v>
      </c>
      <c r="M3" s="92" t="s">
        <v>733</v>
      </c>
      <c r="N3" s="92" t="s">
        <v>734</v>
      </c>
      <c r="O3" s="92" t="s">
        <v>735</v>
      </c>
      <c r="P3" s="92" t="s">
        <v>736</v>
      </c>
      <c r="Q3" s="92" t="s">
        <v>304</v>
      </c>
      <c r="R3" s="92" t="s">
        <v>737</v>
      </c>
    </row>
    <row r="4" customFormat="false" ht="15.75" hidden="false" customHeight="false" outlineLevel="0" collapsed="false">
      <c r="A4" s="93" t="n">
        <v>1</v>
      </c>
      <c r="B4" s="93" t="s">
        <v>317</v>
      </c>
      <c r="C4" s="93" t="s">
        <v>318</v>
      </c>
      <c r="D4" s="93" t="s">
        <v>738</v>
      </c>
      <c r="E4" s="93" t="n">
        <v>6</v>
      </c>
      <c r="F4" s="94" t="n">
        <v>14.9</v>
      </c>
      <c r="G4" s="94" t="n">
        <v>14.19</v>
      </c>
      <c r="H4" s="94" t="n">
        <v>14.28</v>
      </c>
      <c r="I4" s="94" t="n">
        <v>85.66</v>
      </c>
      <c r="J4" s="95" t="n">
        <v>0.05</v>
      </c>
      <c r="K4" s="94" t="n">
        <v>4.26</v>
      </c>
      <c r="L4" s="94" t="n">
        <v>14.99</v>
      </c>
      <c r="M4" s="94" t="n">
        <v>89.94</v>
      </c>
      <c r="N4" s="96" t="n">
        <v>0.6</v>
      </c>
      <c r="O4" s="94" t="n">
        <v>51.06</v>
      </c>
      <c r="P4" s="93"/>
      <c r="Q4" s="93" t="s">
        <v>319</v>
      </c>
      <c r="R4" s="93" t="s">
        <v>739</v>
      </c>
    </row>
    <row r="5" customFormat="false" ht="15.75" hidden="false" customHeight="false" outlineLevel="0" collapsed="false">
      <c r="A5" s="97" t="n">
        <v>2</v>
      </c>
      <c r="B5" s="92" t="s">
        <v>100</v>
      </c>
      <c r="C5" s="92" t="s">
        <v>321</v>
      </c>
      <c r="D5" s="92" t="s">
        <v>740</v>
      </c>
      <c r="E5" s="97" t="n">
        <v>1</v>
      </c>
      <c r="F5" s="98" t="n">
        <v>17.9</v>
      </c>
      <c r="G5" s="98" t="n">
        <v>17.05</v>
      </c>
      <c r="H5" s="98" t="n">
        <v>17.13</v>
      </c>
      <c r="I5" s="98" t="n">
        <v>17.13</v>
      </c>
      <c r="J5" s="99" t="n">
        <v>0.05</v>
      </c>
      <c r="K5" s="98" t="n">
        <v>0.86</v>
      </c>
      <c r="L5" s="98" t="n">
        <v>17.99</v>
      </c>
      <c r="M5" s="98" t="n">
        <v>17.99</v>
      </c>
      <c r="N5" s="100" t="n">
        <v>0.6</v>
      </c>
      <c r="O5" s="98" t="n">
        <v>10.23</v>
      </c>
      <c r="P5" s="92"/>
      <c r="Q5" s="92" t="s">
        <v>292</v>
      </c>
      <c r="R5" s="92" t="s">
        <v>739</v>
      </c>
    </row>
    <row r="6" customFormat="false" ht="15.75" hidden="false" customHeight="false" outlineLevel="0" collapsed="false">
      <c r="A6" s="97" t="n">
        <v>3</v>
      </c>
      <c r="B6" s="92" t="s">
        <v>69</v>
      </c>
      <c r="C6" s="92" t="s">
        <v>669</v>
      </c>
      <c r="D6" s="92" t="s">
        <v>740</v>
      </c>
      <c r="E6" s="97" t="n">
        <v>1</v>
      </c>
      <c r="F6" s="98" t="n">
        <v>12.9</v>
      </c>
      <c r="G6" s="98" t="n">
        <v>12.29</v>
      </c>
      <c r="H6" s="98" t="n">
        <v>24.71</v>
      </c>
      <c r="I6" s="98" t="n">
        <v>24.71</v>
      </c>
      <c r="J6" s="99" t="n">
        <v>0.05</v>
      </c>
      <c r="K6" s="98" t="n">
        <v>1.24</v>
      </c>
      <c r="L6" s="98" t="n">
        <v>25.95</v>
      </c>
      <c r="M6" s="98" t="n">
        <v>25.95</v>
      </c>
      <c r="N6" s="100" t="n">
        <v>0.6</v>
      </c>
      <c r="O6" s="98" t="n">
        <v>14.83</v>
      </c>
      <c r="P6" s="92" t="s">
        <v>741</v>
      </c>
      <c r="Q6" s="92" t="s">
        <v>229</v>
      </c>
      <c r="R6" s="92" t="s">
        <v>739</v>
      </c>
    </row>
    <row r="7" customFormat="false" ht="15.75" hidden="false" customHeight="false" outlineLevel="0" collapsed="false">
      <c r="A7" s="97" t="n">
        <v>4</v>
      </c>
      <c r="B7" s="92" t="s">
        <v>92</v>
      </c>
      <c r="C7" s="92" t="s">
        <v>669</v>
      </c>
      <c r="D7" s="92" t="s">
        <v>740</v>
      </c>
      <c r="E7" s="97" t="n">
        <v>1</v>
      </c>
      <c r="F7" s="98" t="n">
        <v>14.9</v>
      </c>
      <c r="G7" s="98" t="n">
        <v>14.19</v>
      </c>
      <c r="H7" s="98" t="n">
        <v>14.28</v>
      </c>
      <c r="I7" s="98" t="n">
        <v>14.28</v>
      </c>
      <c r="J7" s="99" t="n">
        <v>0.05</v>
      </c>
      <c r="K7" s="98" t="n">
        <v>0.71</v>
      </c>
      <c r="L7" s="98" t="n">
        <v>14.99</v>
      </c>
      <c r="M7" s="98" t="n">
        <v>14.99</v>
      </c>
      <c r="N7" s="100" t="n">
        <v>0.6</v>
      </c>
      <c r="O7" s="98" t="n">
        <v>8.51</v>
      </c>
      <c r="P7" s="92"/>
      <c r="Q7" s="92" t="s">
        <v>375</v>
      </c>
      <c r="R7" s="92" t="s">
        <v>739</v>
      </c>
    </row>
    <row r="8" customFormat="false" ht="15.75" hidden="false" customHeight="false" outlineLevel="0" collapsed="false">
      <c r="A8" s="97" t="n">
        <v>5</v>
      </c>
      <c r="B8" s="92" t="s">
        <v>368</v>
      </c>
      <c r="C8" s="92" t="s">
        <v>702</v>
      </c>
      <c r="D8" s="92" t="s">
        <v>742</v>
      </c>
      <c r="E8" s="97" t="n">
        <v>1</v>
      </c>
      <c r="F8" s="98" t="n">
        <v>10.9</v>
      </c>
      <c r="G8" s="98" t="n">
        <v>10.38</v>
      </c>
      <c r="H8" s="98" t="n">
        <v>10.38</v>
      </c>
      <c r="I8" s="98" t="n">
        <v>10.38</v>
      </c>
      <c r="J8" s="99" t="n">
        <v>0.05</v>
      </c>
      <c r="K8" s="98" t="n">
        <v>0.52</v>
      </c>
      <c r="L8" s="98" t="n">
        <v>10.9</v>
      </c>
      <c r="M8" s="98" t="n">
        <v>10.9</v>
      </c>
      <c r="N8" s="100" t="n">
        <v>0.6</v>
      </c>
      <c r="O8" s="98" t="n">
        <v>6.23</v>
      </c>
      <c r="P8" s="92"/>
      <c r="Q8" s="92" t="s">
        <v>260</v>
      </c>
      <c r="R8" s="92" t="s">
        <v>739</v>
      </c>
    </row>
    <row r="9" customFormat="false" ht="15.75" hidden="false" customHeight="false" outlineLevel="0" collapsed="false">
      <c r="A9" s="97" t="n">
        <v>6</v>
      </c>
      <c r="B9" s="92" t="s">
        <v>39</v>
      </c>
      <c r="C9" s="92" t="s">
        <v>676</v>
      </c>
      <c r="D9" s="92" t="s">
        <v>743</v>
      </c>
      <c r="E9" s="97" t="n">
        <v>5</v>
      </c>
      <c r="F9" s="98" t="n">
        <v>17.9</v>
      </c>
      <c r="G9" s="98" t="n">
        <v>17.05</v>
      </c>
      <c r="H9" s="98" t="n">
        <v>17.13</v>
      </c>
      <c r="I9" s="98" t="n">
        <v>85.67</v>
      </c>
      <c r="J9" s="99" t="n">
        <v>0.05</v>
      </c>
      <c r="K9" s="98" t="n">
        <v>4.3</v>
      </c>
      <c r="L9" s="98" t="n">
        <v>17.99</v>
      </c>
      <c r="M9" s="98" t="n">
        <v>89.95</v>
      </c>
      <c r="N9" s="100" t="n">
        <v>0.6</v>
      </c>
      <c r="O9" s="98" t="n">
        <v>51.15</v>
      </c>
      <c r="P9" s="92"/>
      <c r="Q9" s="92" t="s">
        <v>294</v>
      </c>
      <c r="R9" s="92" t="s">
        <v>739</v>
      </c>
    </row>
    <row r="10" customFormat="false" ht="15.75" hidden="false" customHeight="false" outlineLevel="0" collapsed="false">
      <c r="A10" s="97" t="n">
        <v>7</v>
      </c>
      <c r="B10" s="92" t="s">
        <v>364</v>
      </c>
      <c r="C10" s="92" t="s">
        <v>674</v>
      </c>
      <c r="D10" s="92" t="s">
        <v>740</v>
      </c>
      <c r="E10" s="97" t="n">
        <v>2</v>
      </c>
      <c r="F10" s="98" t="n">
        <v>14.9</v>
      </c>
      <c r="G10" s="98" t="n">
        <v>14.19</v>
      </c>
      <c r="H10" s="98" t="n">
        <v>14.28</v>
      </c>
      <c r="I10" s="98" t="n">
        <v>28.55</v>
      </c>
      <c r="J10" s="99" t="n">
        <v>0.05</v>
      </c>
      <c r="K10" s="98" t="n">
        <v>1.42</v>
      </c>
      <c r="L10" s="98" t="n">
        <v>14.99</v>
      </c>
      <c r="M10" s="98" t="n">
        <v>29.98</v>
      </c>
      <c r="N10" s="100" t="n">
        <v>0.6</v>
      </c>
      <c r="O10" s="98" t="n">
        <v>17.02</v>
      </c>
      <c r="P10" s="92"/>
      <c r="Q10" s="92" t="s">
        <v>365</v>
      </c>
      <c r="R10" s="92" t="s">
        <v>739</v>
      </c>
    </row>
    <row r="11" customFormat="false" ht="15.75" hidden="false" customHeight="false" outlineLevel="0" collapsed="false">
      <c r="A11" s="97" t="n">
        <v>8</v>
      </c>
      <c r="B11" s="92" t="s">
        <v>116</v>
      </c>
      <c r="C11" s="92" t="s">
        <v>699</v>
      </c>
      <c r="D11" s="92" t="s">
        <v>744</v>
      </c>
      <c r="E11" s="97" t="n">
        <v>3</v>
      </c>
      <c r="F11" s="98" t="n">
        <v>10.9</v>
      </c>
      <c r="G11" s="98" t="n">
        <v>10.38</v>
      </c>
      <c r="H11" s="98" t="n">
        <v>12.37</v>
      </c>
      <c r="I11" s="98" t="n">
        <v>37.11</v>
      </c>
      <c r="J11" s="99" t="n">
        <v>0.05</v>
      </c>
      <c r="K11" s="98" t="n">
        <v>1.86</v>
      </c>
      <c r="L11" s="98" t="n">
        <v>12.99</v>
      </c>
      <c r="M11" s="98" t="n">
        <v>38.97</v>
      </c>
      <c r="N11" s="100" t="n">
        <v>0.6</v>
      </c>
      <c r="O11" s="98" t="n">
        <v>18.69</v>
      </c>
      <c r="P11" s="92"/>
      <c r="Q11" s="92" t="s">
        <v>235</v>
      </c>
      <c r="R11" s="92" t="s">
        <v>739</v>
      </c>
    </row>
    <row r="12" customFormat="false" ht="15.75" hidden="false" customHeight="false" outlineLevel="0" collapsed="false">
      <c r="A12" s="97" t="n">
        <v>9</v>
      </c>
      <c r="B12" s="92" t="s">
        <v>69</v>
      </c>
      <c r="C12" s="92" t="s">
        <v>669</v>
      </c>
      <c r="D12" s="92" t="s">
        <v>740</v>
      </c>
      <c r="E12" s="97" t="n">
        <v>4</v>
      </c>
      <c r="F12" s="98" t="n">
        <v>12.9</v>
      </c>
      <c r="G12" s="98" t="n">
        <v>12.29</v>
      </c>
      <c r="H12" s="98" t="n">
        <v>12.37</v>
      </c>
      <c r="I12" s="98" t="n">
        <v>49.49</v>
      </c>
      <c r="J12" s="99" t="n">
        <v>0.05</v>
      </c>
      <c r="K12" s="98" t="n">
        <v>2.48</v>
      </c>
      <c r="L12" s="98" t="n">
        <v>12.99</v>
      </c>
      <c r="M12" s="98" t="n">
        <v>51.96</v>
      </c>
      <c r="N12" s="100" t="n">
        <v>0.6</v>
      </c>
      <c r="O12" s="98" t="n">
        <v>29.48</v>
      </c>
      <c r="P12" s="92"/>
      <c r="Q12" s="92" t="s">
        <v>229</v>
      </c>
      <c r="R12" s="92" t="s">
        <v>739</v>
      </c>
    </row>
    <row r="13" customFormat="false" ht="15.75" hidden="false" customHeight="false" outlineLevel="0" collapsed="false">
      <c r="A13" s="97" t="n">
        <v>10</v>
      </c>
      <c r="B13" s="92" t="s">
        <v>47</v>
      </c>
      <c r="C13" s="92" t="s">
        <v>682</v>
      </c>
      <c r="D13" s="92" t="s">
        <v>745</v>
      </c>
      <c r="E13" s="97" t="n">
        <v>3</v>
      </c>
      <c r="F13" s="98" t="n">
        <v>17.9</v>
      </c>
      <c r="G13" s="98" t="n">
        <v>17.05</v>
      </c>
      <c r="H13" s="98" t="n">
        <v>17.13</v>
      </c>
      <c r="I13" s="98" t="n">
        <v>51.4</v>
      </c>
      <c r="J13" s="99" t="n">
        <v>0.05</v>
      </c>
      <c r="K13" s="98" t="n">
        <v>2.58</v>
      </c>
      <c r="L13" s="98" t="n">
        <v>17.99</v>
      </c>
      <c r="M13" s="98" t="n">
        <v>53.97</v>
      </c>
      <c r="N13" s="100" t="n">
        <v>0.6</v>
      </c>
      <c r="O13" s="98" t="n">
        <v>30.69</v>
      </c>
      <c r="P13" s="92"/>
      <c r="Q13" s="92" t="s">
        <v>369</v>
      </c>
      <c r="R13" s="92" t="s">
        <v>739</v>
      </c>
    </row>
    <row r="14" customFormat="false" ht="15.75" hidden="false" customHeight="false" outlineLevel="0" collapsed="false">
      <c r="A14" s="97" t="n">
        <v>11</v>
      </c>
      <c r="B14" s="92" t="s">
        <v>59</v>
      </c>
      <c r="C14" s="92" t="s">
        <v>338</v>
      </c>
      <c r="D14" s="92" t="s">
        <v>746</v>
      </c>
      <c r="E14" s="97" t="n">
        <v>1</v>
      </c>
      <c r="F14" s="98" t="n">
        <v>17.9</v>
      </c>
      <c r="G14" s="98" t="n">
        <v>17.05</v>
      </c>
      <c r="H14" s="98" t="n">
        <v>17.13</v>
      </c>
      <c r="I14" s="98" t="n">
        <v>17.13</v>
      </c>
      <c r="J14" s="99" t="n">
        <v>0.05</v>
      </c>
      <c r="K14" s="98" t="n">
        <v>0.86</v>
      </c>
      <c r="L14" s="98" t="n">
        <v>17.99</v>
      </c>
      <c r="M14" s="98" t="n">
        <v>17.99</v>
      </c>
      <c r="N14" s="100" t="n">
        <v>0.6</v>
      </c>
      <c r="O14" s="98" t="n">
        <v>10.23</v>
      </c>
      <c r="P14" s="92"/>
      <c r="Q14" s="92" t="s">
        <v>221</v>
      </c>
      <c r="R14" s="92" t="s">
        <v>739</v>
      </c>
    </row>
    <row r="15" customFormat="false" ht="15.75" hidden="false" customHeight="false" outlineLevel="0" collapsed="false">
      <c r="A15" s="97" t="n">
        <v>12</v>
      </c>
      <c r="B15" s="92" t="s">
        <v>57</v>
      </c>
      <c r="C15" s="92" t="s">
        <v>682</v>
      </c>
      <c r="D15" s="92" t="s">
        <v>738</v>
      </c>
      <c r="E15" s="97" t="n">
        <v>2</v>
      </c>
      <c r="F15" s="98" t="n">
        <v>19.9</v>
      </c>
      <c r="G15" s="98" t="n">
        <v>18.95</v>
      </c>
      <c r="H15" s="98" t="n">
        <v>19.04</v>
      </c>
      <c r="I15" s="98" t="n">
        <v>38.08</v>
      </c>
      <c r="J15" s="99" t="n">
        <v>0.05</v>
      </c>
      <c r="K15" s="98" t="n">
        <v>1.9</v>
      </c>
      <c r="L15" s="98" t="n">
        <v>19.99</v>
      </c>
      <c r="M15" s="98" t="n">
        <v>39.98</v>
      </c>
      <c r="N15" s="100" t="n">
        <v>0.6</v>
      </c>
      <c r="O15" s="98" t="n">
        <v>22.74</v>
      </c>
      <c r="P15" s="92"/>
      <c r="Q15" s="92" t="s">
        <v>374</v>
      </c>
      <c r="R15" s="92" t="s">
        <v>739</v>
      </c>
    </row>
    <row r="16" customFormat="false" ht="15.75" hidden="false" customHeight="false" outlineLevel="0" collapsed="false">
      <c r="A16" s="97" t="n">
        <v>13</v>
      </c>
      <c r="B16" s="92" t="s">
        <v>61</v>
      </c>
      <c r="C16" s="92" t="s">
        <v>690</v>
      </c>
      <c r="D16" s="92" t="s">
        <v>740</v>
      </c>
      <c r="E16" s="97" t="n">
        <v>13</v>
      </c>
      <c r="F16" s="98" t="n">
        <v>19.9</v>
      </c>
      <c r="G16" s="98" t="n">
        <v>18.95</v>
      </c>
      <c r="H16" s="98" t="n">
        <v>19.04</v>
      </c>
      <c r="I16" s="98" t="n">
        <v>247.5</v>
      </c>
      <c r="J16" s="99" t="n">
        <v>0.05</v>
      </c>
      <c r="K16" s="98" t="n">
        <v>12.35</v>
      </c>
      <c r="L16" s="98" t="n">
        <v>19.99</v>
      </c>
      <c r="M16" s="98" t="n">
        <v>259.87</v>
      </c>
      <c r="N16" s="100" t="n">
        <v>0.6</v>
      </c>
      <c r="O16" s="98" t="n">
        <v>147.81</v>
      </c>
      <c r="P16" s="92"/>
      <c r="Q16" s="92" t="s">
        <v>158</v>
      </c>
      <c r="R16" s="92" t="s">
        <v>739</v>
      </c>
    </row>
    <row r="17" customFormat="false" ht="15.75" hidden="false" customHeight="false" outlineLevel="0" collapsed="false">
      <c r="A17" s="97" t="n">
        <v>14</v>
      </c>
      <c r="B17" s="92" t="s">
        <v>108</v>
      </c>
      <c r="C17" s="92" t="s">
        <v>747</v>
      </c>
      <c r="D17" s="92" t="s">
        <v>748</v>
      </c>
      <c r="E17" s="97" t="n">
        <v>1</v>
      </c>
      <c r="F17" s="98" t="n">
        <v>14.9</v>
      </c>
      <c r="G17" s="98" t="n">
        <v>14.19</v>
      </c>
      <c r="H17" s="98" t="n">
        <v>14.28</v>
      </c>
      <c r="I17" s="98" t="n">
        <v>14.28</v>
      </c>
      <c r="J17" s="99" t="n">
        <v>0.05</v>
      </c>
      <c r="K17" s="98" t="n">
        <v>0.71</v>
      </c>
      <c r="L17" s="98" t="n">
        <v>14.99</v>
      </c>
      <c r="M17" s="98" t="n">
        <v>14.99</v>
      </c>
      <c r="N17" s="100" t="n">
        <v>0.6</v>
      </c>
      <c r="O17" s="98" t="n">
        <v>8.51</v>
      </c>
      <c r="P17" s="92"/>
      <c r="Q17" s="92" t="s">
        <v>289</v>
      </c>
      <c r="R17" s="92" t="s">
        <v>739</v>
      </c>
    </row>
    <row r="18" customFormat="false" ht="15.75" hidden="false" customHeight="false" outlineLevel="0" collapsed="false">
      <c r="A18" s="97" t="n">
        <v>15</v>
      </c>
      <c r="B18" s="92" t="s">
        <v>61</v>
      </c>
      <c r="C18" s="92" t="s">
        <v>690</v>
      </c>
      <c r="D18" s="92" t="s">
        <v>740</v>
      </c>
      <c r="E18" s="97" t="n">
        <v>1</v>
      </c>
      <c r="F18" s="98" t="n">
        <v>19.9</v>
      </c>
      <c r="G18" s="98" t="n">
        <v>19.9</v>
      </c>
      <c r="H18" s="98" t="n">
        <v>19.99</v>
      </c>
      <c r="I18" s="98" t="n">
        <v>19.99</v>
      </c>
      <c r="J18" s="99" t="n">
        <v>0</v>
      </c>
      <c r="K18" s="98" t="n">
        <v>0</v>
      </c>
      <c r="L18" s="98" t="n">
        <v>19.99</v>
      </c>
      <c r="M18" s="98" t="n">
        <v>19.99</v>
      </c>
      <c r="N18" s="100" t="n">
        <v>0.6</v>
      </c>
      <c r="O18" s="98" t="n">
        <v>11.94</v>
      </c>
      <c r="P18" s="92"/>
      <c r="Q18" s="92" t="s">
        <v>158</v>
      </c>
      <c r="R18" s="92" t="s">
        <v>749</v>
      </c>
    </row>
    <row r="19" customFormat="false" ht="15.75" hidden="false" customHeight="false" outlineLevel="0" collapsed="false">
      <c r="A19" s="97" t="n">
        <v>16</v>
      </c>
      <c r="B19" s="92" t="s">
        <v>20</v>
      </c>
      <c r="C19" s="92" t="s">
        <v>717</v>
      </c>
      <c r="D19" s="92" t="s">
        <v>740</v>
      </c>
      <c r="E19" s="97" t="n">
        <v>1</v>
      </c>
      <c r="F19" s="98" t="n">
        <v>14.9</v>
      </c>
      <c r="G19" s="98" t="n">
        <v>14.19</v>
      </c>
      <c r="H19" s="98" t="n">
        <v>14.28</v>
      </c>
      <c r="I19" s="98" t="n">
        <v>14.28</v>
      </c>
      <c r="J19" s="99" t="n">
        <v>0.05</v>
      </c>
      <c r="K19" s="98" t="n">
        <v>0.71</v>
      </c>
      <c r="L19" s="98" t="n">
        <v>14.99</v>
      </c>
      <c r="M19" s="98" t="n">
        <v>14.99</v>
      </c>
      <c r="N19" s="100" t="n">
        <v>0.6</v>
      </c>
      <c r="O19" s="98" t="n">
        <v>8.51</v>
      </c>
      <c r="P19" s="92"/>
      <c r="Q19" s="92" t="s">
        <v>358</v>
      </c>
      <c r="R19" s="92" t="s">
        <v>739</v>
      </c>
    </row>
    <row r="20" customFormat="false" ht="15.75" hidden="false" customHeight="false" outlineLevel="0" collapsed="false">
      <c r="A20" s="97" t="n">
        <v>17</v>
      </c>
      <c r="B20" s="92" t="s">
        <v>61</v>
      </c>
      <c r="C20" s="92" t="s">
        <v>690</v>
      </c>
      <c r="D20" s="92" t="s">
        <v>740</v>
      </c>
      <c r="E20" s="97" t="n">
        <v>1</v>
      </c>
      <c r="F20" s="98" t="n">
        <v>19.9</v>
      </c>
      <c r="G20" s="98" t="n">
        <v>18.95</v>
      </c>
      <c r="H20" s="98" t="n">
        <v>19.04</v>
      </c>
      <c r="I20" s="98" t="n">
        <v>19.04</v>
      </c>
      <c r="J20" s="99" t="n">
        <v>0.05</v>
      </c>
      <c r="K20" s="98" t="n">
        <v>0.95</v>
      </c>
      <c r="L20" s="98" t="n">
        <v>19.99</v>
      </c>
      <c r="M20" s="98" t="n">
        <v>19.99</v>
      </c>
      <c r="N20" s="100" t="n">
        <v>0.39</v>
      </c>
      <c r="O20" s="98" t="n">
        <v>7.33</v>
      </c>
      <c r="P20" s="92" t="s">
        <v>750</v>
      </c>
      <c r="Q20" s="92" t="s">
        <v>158</v>
      </c>
      <c r="R20" s="92" t="s">
        <v>739</v>
      </c>
    </row>
    <row r="21" customFormat="false" ht="15.75" hidden="false" customHeight="false" outlineLevel="0" collapsed="false">
      <c r="A21" s="97" t="n">
        <v>18</v>
      </c>
      <c r="B21" s="92" t="s">
        <v>61</v>
      </c>
      <c r="C21" s="92" t="s">
        <v>690</v>
      </c>
      <c r="D21" s="92" t="s">
        <v>740</v>
      </c>
      <c r="E21" s="97" t="n">
        <v>1</v>
      </c>
      <c r="F21" s="98" t="n">
        <v>19.9</v>
      </c>
      <c r="G21" s="98" t="n">
        <v>18.95</v>
      </c>
      <c r="H21" s="98" t="n">
        <v>34.1</v>
      </c>
      <c r="I21" s="98" t="n">
        <v>34.1</v>
      </c>
      <c r="J21" s="99" t="n">
        <v>0.05</v>
      </c>
      <c r="K21" s="98" t="n">
        <v>1.7</v>
      </c>
      <c r="L21" s="98" t="n">
        <v>35.8</v>
      </c>
      <c r="M21" s="98" t="n">
        <v>35.8</v>
      </c>
      <c r="N21" s="100" t="n">
        <v>0.6</v>
      </c>
      <c r="O21" s="98" t="n">
        <v>20.46</v>
      </c>
      <c r="P21" s="92" t="s">
        <v>751</v>
      </c>
      <c r="Q21" s="92" t="s">
        <v>158</v>
      </c>
      <c r="R21" s="92" t="s">
        <v>739</v>
      </c>
    </row>
    <row r="22" customFormat="false" ht="15.75" hidden="false" customHeight="false" outlineLevel="0" collapsed="false">
      <c r="A22" s="97" t="n">
        <v>19</v>
      </c>
      <c r="B22" s="92" t="s">
        <v>532</v>
      </c>
      <c r="C22" s="92" t="s">
        <v>694</v>
      </c>
      <c r="D22" s="92" t="s">
        <v>752</v>
      </c>
      <c r="E22" s="97" t="n">
        <v>1</v>
      </c>
      <c r="F22" s="98" t="n">
        <v>14.9</v>
      </c>
      <c r="G22" s="98" t="n">
        <v>14.19</v>
      </c>
      <c r="H22" s="98" t="n">
        <v>14.28</v>
      </c>
      <c r="I22" s="98" t="n">
        <v>14.28</v>
      </c>
      <c r="J22" s="99" t="n">
        <v>0.05</v>
      </c>
      <c r="K22" s="98" t="n">
        <v>0.71</v>
      </c>
      <c r="L22" s="98" t="n">
        <v>14.99</v>
      </c>
      <c r="M22" s="98" t="n">
        <v>14.99</v>
      </c>
      <c r="N22" s="100" t="n">
        <v>0.6</v>
      </c>
      <c r="O22" s="98" t="n">
        <v>8.51</v>
      </c>
      <c r="P22" s="92"/>
      <c r="Q22" s="92" t="s">
        <v>753</v>
      </c>
      <c r="R22" s="92" t="s">
        <v>739</v>
      </c>
    </row>
    <row r="23" customFormat="false" ht="15.75" hidden="false" customHeight="false" outlineLevel="0" collapsed="false">
      <c r="A23" s="97" t="n">
        <v>20</v>
      </c>
      <c r="B23" s="92" t="s">
        <v>39</v>
      </c>
      <c r="C23" s="92" t="s">
        <v>676</v>
      </c>
      <c r="D23" s="92" t="s">
        <v>743</v>
      </c>
      <c r="E23" s="97" t="n">
        <v>1</v>
      </c>
      <c r="F23" s="98" t="n">
        <v>17.9</v>
      </c>
      <c r="G23" s="98" t="n">
        <v>14.92</v>
      </c>
      <c r="H23" s="98" t="n">
        <v>14.99</v>
      </c>
      <c r="I23" s="98" t="n">
        <v>14.99</v>
      </c>
      <c r="J23" s="99" t="n">
        <v>0.2</v>
      </c>
      <c r="K23" s="98" t="n">
        <v>3</v>
      </c>
      <c r="L23" s="98" t="n">
        <v>17.99</v>
      </c>
      <c r="M23" s="98" t="n">
        <v>17.99</v>
      </c>
      <c r="N23" s="100" t="n">
        <v>0.6</v>
      </c>
      <c r="O23" s="98" t="n">
        <v>8.95</v>
      </c>
      <c r="P23" s="92"/>
      <c r="Q23" s="92" t="s">
        <v>294</v>
      </c>
      <c r="R23" s="92" t="s">
        <v>754</v>
      </c>
    </row>
    <row r="24" customFormat="false" ht="15.75" hidden="false" customHeight="false" outlineLevel="0" collapsed="false">
      <c r="A24" s="97" t="n">
        <v>21</v>
      </c>
      <c r="B24" s="92" t="s">
        <v>65</v>
      </c>
      <c r="C24" s="92" t="s">
        <v>338</v>
      </c>
      <c r="D24" s="92" t="s">
        <v>743</v>
      </c>
      <c r="E24" s="97" t="n">
        <v>1</v>
      </c>
      <c r="F24" s="98" t="n">
        <v>14.9</v>
      </c>
      <c r="G24" s="98" t="n">
        <v>14.19</v>
      </c>
      <c r="H24" s="98" t="n">
        <v>14.28</v>
      </c>
      <c r="I24" s="98" t="n">
        <v>14.28</v>
      </c>
      <c r="J24" s="99" t="n">
        <v>0.05</v>
      </c>
      <c r="K24" s="98" t="n">
        <v>0.71</v>
      </c>
      <c r="L24" s="98" t="n">
        <v>14.99</v>
      </c>
      <c r="M24" s="98" t="n">
        <v>14.99</v>
      </c>
      <c r="N24" s="100" t="n">
        <v>0.6</v>
      </c>
      <c r="O24" s="98" t="n">
        <v>8.51</v>
      </c>
      <c r="P24" s="92"/>
      <c r="Q24" s="92" t="s">
        <v>339</v>
      </c>
      <c r="R24" s="92" t="s">
        <v>739</v>
      </c>
    </row>
    <row r="25" customFormat="false" ht="15.75" hidden="false" customHeight="false" outlineLevel="0" collapsed="false">
      <c r="A25" s="97"/>
      <c r="B25" s="92" t="s">
        <v>1</v>
      </c>
      <c r="C25" s="92"/>
      <c r="D25" s="92"/>
      <c r="E25" s="97" t="n">
        <v>51</v>
      </c>
      <c r="F25" s="98"/>
      <c r="G25" s="98"/>
      <c r="H25" s="98"/>
      <c r="I25" s="98" t="n">
        <v>852.33</v>
      </c>
      <c r="J25" s="99"/>
      <c r="K25" s="98" t="n">
        <v>43.83</v>
      </c>
      <c r="L25" s="98" t="n">
        <v>373.47</v>
      </c>
      <c r="M25" s="98" t="n">
        <v>896.17</v>
      </c>
      <c r="N25" s="100"/>
      <c r="O25" s="98" t="n">
        <v>501.39</v>
      </c>
      <c r="P25" s="92"/>
      <c r="Q25" s="92"/>
      <c r="R25" s="92"/>
    </row>
    <row r="26" customFormat="false" ht="15.75" hidden="false" customHeight="false" outlineLevel="0" collapsed="false">
      <c r="A26" s="101"/>
      <c r="B26" s="102"/>
      <c r="C26" s="101"/>
      <c r="D26" s="101"/>
      <c r="E26" s="103"/>
      <c r="F26" s="104"/>
      <c r="G26" s="104"/>
      <c r="H26" s="104"/>
      <c r="I26" s="105"/>
      <c r="J26" s="106"/>
      <c r="K26" s="105"/>
      <c r="L26" s="105"/>
      <c r="M26" s="105"/>
      <c r="N26" s="107"/>
      <c r="O26" s="105"/>
      <c r="P26" s="101"/>
      <c r="Q26" s="101"/>
      <c r="R26" s="101"/>
    </row>
    <row r="27" customFormat="false" ht="15.75" hidden="false" customHeight="false" outlineLevel="0" collapsed="false">
      <c r="A27" s="92"/>
      <c r="B27" s="92"/>
      <c r="C27" s="92"/>
      <c r="D27" s="92"/>
      <c r="E27" s="92"/>
      <c r="F27" s="108"/>
      <c r="G27" s="108"/>
      <c r="H27" s="108"/>
      <c r="I27" s="108"/>
      <c r="J27" s="99"/>
      <c r="K27" s="108"/>
      <c r="L27" s="98"/>
      <c r="M27" s="98"/>
      <c r="N27" s="100"/>
      <c r="O27" s="108" t="s">
        <v>755</v>
      </c>
      <c r="P27" s="92"/>
      <c r="Q27" s="92"/>
      <c r="R27" s="92"/>
    </row>
    <row r="28" customFormat="false" ht="15.75" hidden="false" customHeight="false" outlineLevel="0" collapsed="false">
      <c r="A28" s="92"/>
      <c r="B28" s="92"/>
      <c r="C28" s="92"/>
      <c r="D28" s="92"/>
      <c r="E28" s="92"/>
      <c r="F28" s="108"/>
      <c r="G28" s="108"/>
      <c r="H28" s="108"/>
      <c r="I28" s="108"/>
      <c r="J28" s="99"/>
      <c r="K28" s="108"/>
      <c r="L28" s="98"/>
      <c r="M28" s="98"/>
      <c r="N28" s="100"/>
      <c r="O28" s="109"/>
      <c r="P28" s="92"/>
      <c r="Q28" s="92"/>
      <c r="R28" s="92"/>
    </row>
    <row r="29" customFormat="false" ht="15.75" hidden="false" customHeight="false" outlineLevel="0" collapsed="false">
      <c r="I29" s="26"/>
      <c r="K29" s="26"/>
      <c r="L29" s="26"/>
      <c r="M29" s="26"/>
      <c r="O29" s="2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7" min="17" style="0" width="39.5"/>
  </cols>
  <sheetData>
    <row r="1" customFormat="false" ht="15.75" hidden="false" customHeight="false" outlineLevel="0" collapsed="false">
      <c r="A1" s="8" t="s">
        <v>756</v>
      </c>
      <c r="F1" s="37"/>
      <c r="H1" s="37"/>
    </row>
    <row r="2" customFormat="false" ht="15.75" hidden="false" customHeight="false" outlineLevel="0" collapsed="false">
      <c r="F2" s="37"/>
      <c r="H2" s="37"/>
    </row>
    <row r="3" customFormat="false" ht="15.75" hidden="false" customHeight="false" outlineLevel="0" collapsed="false">
      <c r="F3" s="37"/>
      <c r="H3" s="37"/>
    </row>
    <row r="4" customFormat="false" ht="15.75" hidden="false" customHeight="false" outlineLevel="0" collapsed="false">
      <c r="A4" s="8" t="s">
        <v>757</v>
      </c>
      <c r="B4" s="81" t="n">
        <v>45992</v>
      </c>
      <c r="C4" s="8" t="s">
        <v>758</v>
      </c>
      <c r="D4" s="8" t="s">
        <v>759</v>
      </c>
      <c r="F4" s="43"/>
      <c r="G4" s="26"/>
      <c r="H4" s="43"/>
      <c r="I4" s="26"/>
      <c r="J4" s="42"/>
      <c r="K4" s="26"/>
      <c r="L4" s="26"/>
      <c r="M4" s="26"/>
      <c r="N4" s="41"/>
      <c r="O4" s="26"/>
    </row>
    <row r="5" customFormat="false" ht="15.75" hidden="false" customHeight="false" outlineLevel="0" collapsed="false">
      <c r="A5" s="8" t="s">
        <v>760</v>
      </c>
      <c r="B5" s="81" t="n">
        <v>46022</v>
      </c>
      <c r="C5" s="8" t="n">
        <v>35</v>
      </c>
      <c r="D5" s="8" t="n">
        <v>94.15</v>
      </c>
      <c r="E5" s="8" t="s">
        <v>761</v>
      </c>
      <c r="F5" s="43"/>
      <c r="G5" s="26"/>
      <c r="H5" s="43"/>
      <c r="I5" s="26"/>
      <c r="J5" s="42"/>
      <c r="K5" s="26"/>
      <c r="L5" s="26"/>
      <c r="M5" s="26"/>
      <c r="N5" s="41"/>
      <c r="O5" s="26"/>
    </row>
    <row r="6" customFormat="false" ht="15.75" hidden="false" customHeight="false" outlineLevel="0" collapsed="false">
      <c r="F6" s="43"/>
      <c r="G6" s="26"/>
      <c r="H6" s="43"/>
      <c r="I6" s="26"/>
      <c r="J6" s="42"/>
      <c r="K6" s="26"/>
      <c r="L6" s="26"/>
      <c r="M6" s="26"/>
      <c r="N6" s="41"/>
      <c r="O6" s="26"/>
    </row>
    <row r="7" customFormat="false" ht="15.75" hidden="false" customHeight="false" outlineLevel="0" collapsed="false">
      <c r="F7" s="43"/>
      <c r="G7" s="26"/>
      <c r="H7" s="43"/>
      <c r="I7" s="26"/>
      <c r="J7" s="42"/>
      <c r="K7" s="26"/>
      <c r="L7" s="26"/>
      <c r="M7" s="26"/>
      <c r="N7" s="41"/>
      <c r="O7" s="26"/>
    </row>
    <row r="8" customFormat="false" ht="15.75" hidden="false" customHeight="false" outlineLevel="0" collapsed="false">
      <c r="A8" s="8" t="s">
        <v>304</v>
      </c>
      <c r="B8" s="8" t="s">
        <v>762</v>
      </c>
      <c r="C8" s="8" t="s">
        <v>763</v>
      </c>
      <c r="D8" s="8" t="s">
        <v>350</v>
      </c>
      <c r="E8" s="8" t="s">
        <v>660</v>
      </c>
      <c r="F8" s="43" t="s">
        <v>764</v>
      </c>
      <c r="G8" s="26" t="s">
        <v>765</v>
      </c>
      <c r="H8" s="43" t="s">
        <v>766</v>
      </c>
      <c r="I8" s="26" t="s">
        <v>767</v>
      </c>
      <c r="J8" s="8" t="s">
        <v>768</v>
      </c>
      <c r="K8" s="26" t="s">
        <v>769</v>
      </c>
      <c r="L8" s="26" t="s">
        <v>770</v>
      </c>
      <c r="M8" s="26" t="s">
        <v>771</v>
      </c>
      <c r="N8" s="41"/>
      <c r="O8" s="26"/>
    </row>
    <row r="9" customFormat="false" ht="15.75" hidden="false" customHeight="false" outlineLevel="0" collapsed="false">
      <c r="A9" s="8" t="n">
        <v>9788365156136</v>
      </c>
      <c r="B9" s="8" t="s">
        <v>694</v>
      </c>
      <c r="C9" s="8" t="s">
        <v>532</v>
      </c>
      <c r="D9" s="8" t="s">
        <v>772</v>
      </c>
      <c r="E9" s="8" t="s">
        <v>773</v>
      </c>
      <c r="F9" s="43" t="n">
        <v>2.82</v>
      </c>
      <c r="G9" s="26" t="s">
        <v>739</v>
      </c>
      <c r="H9" s="43" t="n">
        <v>2</v>
      </c>
      <c r="I9" s="26" t="n">
        <v>1.97</v>
      </c>
      <c r="J9" s="42" t="n">
        <v>0.11</v>
      </c>
      <c r="K9" s="41" t="n">
        <v>0.25</v>
      </c>
      <c r="L9" s="26" t="n">
        <v>3.83</v>
      </c>
      <c r="M9" s="26" t="s">
        <v>761</v>
      </c>
      <c r="N9" s="41"/>
      <c r="O9" s="26"/>
    </row>
    <row r="10" customFormat="false" ht="15.75" hidden="false" customHeight="false" outlineLevel="0" collapsed="false">
      <c r="A10" s="8" t="n">
        <v>9788365156358</v>
      </c>
      <c r="B10" s="8" t="s">
        <v>693</v>
      </c>
      <c r="C10" s="8" t="s">
        <v>376</v>
      </c>
      <c r="D10" s="8" t="s">
        <v>772</v>
      </c>
      <c r="E10" s="8" t="s">
        <v>773</v>
      </c>
      <c r="F10" s="43" t="n">
        <v>2.67</v>
      </c>
      <c r="G10" s="26" t="s">
        <v>739</v>
      </c>
      <c r="H10" s="43" t="n">
        <v>3</v>
      </c>
      <c r="I10" s="26" t="n">
        <v>1.87</v>
      </c>
      <c r="J10" s="42" t="n">
        <v>0</v>
      </c>
      <c r="K10" s="41" t="n">
        <v>0.25</v>
      </c>
      <c r="L10" s="26" t="n">
        <v>5.61</v>
      </c>
      <c r="M10" s="26" t="s">
        <v>761</v>
      </c>
      <c r="N10" s="41"/>
      <c r="O10" s="26"/>
    </row>
    <row r="11" customFormat="false" ht="15.75" hidden="false" customHeight="false" outlineLevel="0" collapsed="false">
      <c r="A11" s="8" t="n">
        <v>9788365156419</v>
      </c>
      <c r="B11" s="8" t="s">
        <v>684</v>
      </c>
      <c r="C11" s="8" t="s">
        <v>370</v>
      </c>
      <c r="D11" s="8" t="s">
        <v>774</v>
      </c>
      <c r="E11" s="8" t="s">
        <v>773</v>
      </c>
      <c r="F11" s="43" t="n">
        <v>2.68</v>
      </c>
      <c r="G11" s="26" t="s">
        <v>739</v>
      </c>
      <c r="H11" s="43" t="n">
        <v>1</v>
      </c>
      <c r="I11" s="26" t="n">
        <v>1.87</v>
      </c>
      <c r="J11" s="42" t="n">
        <v>1</v>
      </c>
      <c r="K11" s="41" t="n">
        <v>0.25</v>
      </c>
      <c r="L11" s="26" t="n">
        <v>1.4</v>
      </c>
      <c r="M11" s="26" t="s">
        <v>761</v>
      </c>
      <c r="N11" s="41"/>
      <c r="O11" s="26"/>
    </row>
    <row r="12" customFormat="false" ht="15.75" hidden="false" customHeight="false" outlineLevel="0" collapsed="false">
      <c r="A12" s="8" t="n">
        <v>9788365156495</v>
      </c>
      <c r="B12" s="8" t="s">
        <v>326</v>
      </c>
      <c r="C12" s="8" t="s">
        <v>114</v>
      </c>
      <c r="D12" s="8" t="s">
        <v>772</v>
      </c>
      <c r="E12" s="8" t="s">
        <v>773</v>
      </c>
      <c r="F12" s="43" t="n">
        <v>5.83</v>
      </c>
      <c r="G12" s="26" t="s">
        <v>739</v>
      </c>
      <c r="H12" s="43" t="n">
        <v>1</v>
      </c>
      <c r="I12" s="26" t="n">
        <v>4.08</v>
      </c>
      <c r="J12" s="42" t="n">
        <v>0</v>
      </c>
      <c r="K12" s="41" t="n">
        <v>0.25</v>
      </c>
      <c r="L12" s="26" t="n">
        <v>4.08</v>
      </c>
      <c r="M12" s="26" t="s">
        <v>761</v>
      </c>
      <c r="N12" s="41"/>
      <c r="O12" s="26"/>
    </row>
    <row r="13" customFormat="false" ht="15.75" hidden="false" customHeight="false" outlineLevel="0" collapsed="false">
      <c r="A13" s="8" t="n">
        <v>9788365156624</v>
      </c>
      <c r="B13" s="8" t="s">
        <v>329</v>
      </c>
      <c r="C13" s="8" t="s">
        <v>328</v>
      </c>
      <c r="D13" s="8" t="s">
        <v>772</v>
      </c>
      <c r="E13" s="8" t="s">
        <v>773</v>
      </c>
      <c r="F13" s="43" t="n">
        <v>4.42</v>
      </c>
      <c r="G13" s="26" t="s">
        <v>739</v>
      </c>
      <c r="H13" s="43" t="n">
        <v>1</v>
      </c>
      <c r="I13" s="26" t="n">
        <v>3.1</v>
      </c>
      <c r="J13" s="42" t="n">
        <v>0</v>
      </c>
      <c r="K13" s="41" t="n">
        <v>0.25</v>
      </c>
      <c r="L13" s="26" t="n">
        <v>3.1</v>
      </c>
      <c r="M13" s="26" t="s">
        <v>761</v>
      </c>
      <c r="N13" s="41"/>
      <c r="O13" s="26"/>
    </row>
    <row r="14" customFormat="false" ht="15.75" hidden="false" customHeight="false" outlineLevel="0" collapsed="false">
      <c r="A14" s="8" t="n">
        <v>9788365156686</v>
      </c>
      <c r="B14" s="8" t="s">
        <v>775</v>
      </c>
      <c r="C14" s="8" t="s">
        <v>108</v>
      </c>
      <c r="D14" s="8" t="s">
        <v>772</v>
      </c>
      <c r="E14" s="8" t="s">
        <v>773</v>
      </c>
      <c r="F14" s="43" t="n">
        <v>3.01</v>
      </c>
      <c r="G14" s="26" t="s">
        <v>739</v>
      </c>
      <c r="H14" s="43" t="n">
        <v>3</v>
      </c>
      <c r="I14" s="26" t="n">
        <v>2.11</v>
      </c>
      <c r="J14" s="42" t="n">
        <v>0</v>
      </c>
      <c r="K14" s="41" t="n">
        <v>0.25</v>
      </c>
      <c r="L14" s="26" t="n">
        <v>6.33</v>
      </c>
      <c r="M14" s="26" t="s">
        <v>761</v>
      </c>
      <c r="N14" s="41"/>
      <c r="O14" s="26"/>
    </row>
    <row r="15" customFormat="false" ht="15.75" hidden="false" customHeight="false" outlineLevel="0" collapsed="false">
      <c r="A15" s="8" t="n">
        <v>9788365156709</v>
      </c>
      <c r="B15" s="8" t="s">
        <v>348</v>
      </c>
      <c r="C15" s="8" t="s">
        <v>347</v>
      </c>
      <c r="D15" s="8" t="s">
        <v>772</v>
      </c>
      <c r="E15" s="8" t="s">
        <v>773</v>
      </c>
      <c r="F15" s="43" t="n">
        <v>2.05</v>
      </c>
      <c r="G15" s="26" t="s">
        <v>739</v>
      </c>
      <c r="H15" s="43" t="n">
        <v>1</v>
      </c>
      <c r="I15" s="26" t="n">
        <v>1.44</v>
      </c>
      <c r="J15" s="42" t="n">
        <v>0.23</v>
      </c>
      <c r="K15" s="41" t="n">
        <v>0.25</v>
      </c>
      <c r="L15" s="26" t="n">
        <v>1.36</v>
      </c>
      <c r="M15" s="26" t="s">
        <v>761</v>
      </c>
      <c r="N15" s="41"/>
      <c r="O15" s="26"/>
    </row>
    <row r="16" customFormat="false" ht="15.75" hidden="false" customHeight="false" outlineLevel="0" collapsed="false">
      <c r="A16" s="8" t="n">
        <v>9788365156716</v>
      </c>
      <c r="B16" s="8" t="s">
        <v>318</v>
      </c>
      <c r="C16" s="8" t="s">
        <v>317</v>
      </c>
      <c r="D16" s="8" t="s">
        <v>772</v>
      </c>
      <c r="E16" s="8" t="s">
        <v>773</v>
      </c>
      <c r="F16" s="43" t="n">
        <v>2.98</v>
      </c>
      <c r="G16" s="26" t="s">
        <v>739</v>
      </c>
      <c r="H16" s="43" t="n">
        <v>7</v>
      </c>
      <c r="I16" s="26" t="n">
        <v>2.09</v>
      </c>
      <c r="J16" s="42" t="n">
        <v>0</v>
      </c>
      <c r="K16" s="41" t="n">
        <v>0.25</v>
      </c>
      <c r="L16" s="26" t="n">
        <v>14.63</v>
      </c>
      <c r="M16" s="26" t="s">
        <v>761</v>
      </c>
      <c r="N16" s="41"/>
      <c r="O16" s="26"/>
    </row>
    <row r="17" customFormat="false" ht="15.75" hidden="false" customHeight="false" outlineLevel="0" collapsed="false">
      <c r="A17" s="8" t="n">
        <v>9788365156747</v>
      </c>
      <c r="B17" s="8" t="s">
        <v>338</v>
      </c>
      <c r="C17" s="8" t="s">
        <v>65</v>
      </c>
      <c r="D17" s="8" t="s">
        <v>772</v>
      </c>
      <c r="E17" s="8" t="s">
        <v>773</v>
      </c>
      <c r="F17" s="43" t="n">
        <v>3.92</v>
      </c>
      <c r="G17" s="26" t="s">
        <v>739</v>
      </c>
      <c r="H17" s="43" t="n">
        <v>2</v>
      </c>
      <c r="I17" s="26" t="n">
        <v>2.74</v>
      </c>
      <c r="J17" s="42" t="n">
        <v>0</v>
      </c>
      <c r="K17" s="41" t="n">
        <v>0.25</v>
      </c>
      <c r="L17" s="26" t="n">
        <v>5.48</v>
      </c>
      <c r="M17" s="26" t="s">
        <v>761</v>
      </c>
      <c r="N17" s="41"/>
      <c r="O17" s="26"/>
    </row>
    <row r="18" customFormat="false" ht="15.75" hidden="false" customHeight="false" outlineLevel="0" collapsed="false">
      <c r="A18" s="8" t="n">
        <v>9788365156785</v>
      </c>
      <c r="B18" s="8" t="s">
        <v>669</v>
      </c>
      <c r="C18" s="8" t="s">
        <v>92</v>
      </c>
      <c r="D18" s="8" t="s">
        <v>772</v>
      </c>
      <c r="E18" s="8" t="s">
        <v>773</v>
      </c>
      <c r="F18" s="43" t="n">
        <v>3.27</v>
      </c>
      <c r="G18" s="26" t="s">
        <v>739</v>
      </c>
      <c r="H18" s="43" t="n">
        <v>5</v>
      </c>
      <c r="I18" s="26" t="n">
        <v>2.29</v>
      </c>
      <c r="J18" s="42" t="n">
        <v>0</v>
      </c>
      <c r="K18" s="41" t="n">
        <v>0.25</v>
      </c>
      <c r="L18" s="26" t="n">
        <v>11.45</v>
      </c>
      <c r="M18" s="26" t="s">
        <v>761</v>
      </c>
      <c r="N18" s="41"/>
      <c r="O18" s="26"/>
    </row>
    <row r="19" customFormat="false" ht="15.75" hidden="false" customHeight="false" outlineLevel="0" collapsed="false">
      <c r="A19" s="8" t="n">
        <v>9788365156839</v>
      </c>
      <c r="B19" s="8" t="s">
        <v>684</v>
      </c>
      <c r="C19" s="8" t="s">
        <v>370</v>
      </c>
      <c r="D19" s="8" t="s">
        <v>772</v>
      </c>
      <c r="E19" s="8" t="s">
        <v>773</v>
      </c>
      <c r="F19" s="43" t="n">
        <v>3.05</v>
      </c>
      <c r="G19" s="26" t="s">
        <v>739</v>
      </c>
      <c r="H19" s="43" t="n">
        <v>2</v>
      </c>
      <c r="I19" s="26" t="n">
        <v>2.13</v>
      </c>
      <c r="J19" s="42" t="n">
        <v>0.94</v>
      </c>
      <c r="K19" s="41" t="n">
        <v>0.25</v>
      </c>
      <c r="L19" s="26" t="n">
        <v>3.26</v>
      </c>
      <c r="M19" s="26" t="s">
        <v>761</v>
      </c>
      <c r="N19" s="41"/>
      <c r="O19" s="26"/>
    </row>
    <row r="20" customFormat="false" ht="15.75" hidden="false" customHeight="false" outlineLevel="0" collapsed="false">
      <c r="A20" s="8" t="n">
        <v>9788365156846</v>
      </c>
      <c r="B20" s="8" t="s">
        <v>669</v>
      </c>
      <c r="C20" s="8" t="s">
        <v>69</v>
      </c>
      <c r="D20" s="8" t="s">
        <v>772</v>
      </c>
      <c r="E20" s="8" t="s">
        <v>773</v>
      </c>
      <c r="F20" s="43" t="n">
        <v>2.97</v>
      </c>
      <c r="G20" s="26" t="s">
        <v>739</v>
      </c>
      <c r="H20" s="43" t="n">
        <v>2</v>
      </c>
      <c r="I20" s="26" t="n">
        <v>2.08</v>
      </c>
      <c r="J20" s="42" t="n">
        <v>0</v>
      </c>
      <c r="K20" s="41" t="n">
        <v>0.25</v>
      </c>
      <c r="L20" s="26" t="n">
        <v>4.16</v>
      </c>
      <c r="M20" s="26" t="s">
        <v>761</v>
      </c>
      <c r="N20" s="41"/>
      <c r="O20" s="26"/>
    </row>
    <row r="21" customFormat="false" ht="15.75" hidden="false" customHeight="false" outlineLevel="0" collapsed="false">
      <c r="A21" s="8" t="n">
        <v>9788365156853</v>
      </c>
      <c r="B21" s="8" t="s">
        <v>690</v>
      </c>
      <c r="C21" s="8" t="s">
        <v>61</v>
      </c>
      <c r="D21" s="8" t="s">
        <v>772</v>
      </c>
      <c r="E21" s="8" t="s">
        <v>773</v>
      </c>
      <c r="F21" s="43" t="n">
        <v>8.83</v>
      </c>
      <c r="G21" s="26" t="s">
        <v>739</v>
      </c>
      <c r="H21" s="43" t="n">
        <v>3</v>
      </c>
      <c r="I21" s="26" t="n">
        <v>6.18</v>
      </c>
      <c r="J21" s="42" t="n">
        <v>0.04</v>
      </c>
      <c r="K21" s="41" t="n">
        <v>0.25</v>
      </c>
      <c r="L21" s="26" t="n">
        <v>18.37</v>
      </c>
      <c r="M21" s="26" t="s">
        <v>761</v>
      </c>
      <c r="N21" s="41"/>
      <c r="O21" s="26"/>
    </row>
    <row r="22" customFormat="false" ht="15.75" hidden="false" customHeight="false" outlineLevel="0" collapsed="false">
      <c r="A22" s="8" t="n">
        <v>9788365156877</v>
      </c>
      <c r="C22" s="8" t="s">
        <v>81</v>
      </c>
      <c r="D22" s="8" t="s">
        <v>772</v>
      </c>
      <c r="E22" s="8" t="s">
        <v>773</v>
      </c>
      <c r="F22" s="43" t="n">
        <v>8</v>
      </c>
      <c r="G22" s="26" t="s">
        <v>739</v>
      </c>
      <c r="H22" s="43" t="n">
        <v>2</v>
      </c>
      <c r="I22" s="26" t="n">
        <v>5.6</v>
      </c>
      <c r="J22" s="42" t="n">
        <v>0.04</v>
      </c>
      <c r="K22" s="41" t="n">
        <v>0.25</v>
      </c>
      <c r="L22" s="26" t="n">
        <v>11.09</v>
      </c>
      <c r="M22" s="26" t="s">
        <v>761</v>
      </c>
      <c r="N22" s="41"/>
      <c r="O22" s="26"/>
    </row>
    <row r="23" customFormat="false" ht="15.75" hidden="false" customHeight="false" outlineLevel="0" collapsed="false">
      <c r="F23" s="43"/>
      <c r="G23" s="26"/>
      <c r="H23" s="43"/>
      <c r="I23" s="26"/>
      <c r="J23" s="42"/>
      <c r="K23" s="41"/>
      <c r="L23" s="26"/>
      <c r="M23" s="26"/>
      <c r="N23" s="41"/>
      <c r="O23" s="26"/>
    </row>
    <row r="24" customFormat="false" ht="15.75" hidden="false" customHeight="false" outlineLevel="0" collapsed="false">
      <c r="F24" s="43"/>
      <c r="G24" s="26"/>
      <c r="H24" s="43"/>
      <c r="I24" s="26"/>
      <c r="J24" s="42"/>
      <c r="K24" s="41"/>
      <c r="L24" s="26"/>
      <c r="M24" s="26"/>
      <c r="N24" s="41"/>
      <c r="O24" s="26"/>
    </row>
    <row r="25" customFormat="false" ht="15.75" hidden="false" customHeight="false" outlineLevel="0" collapsed="false">
      <c r="F25" s="43"/>
      <c r="G25" s="26"/>
      <c r="H25" s="43"/>
      <c r="I25" s="26"/>
      <c r="J25" s="42"/>
      <c r="K25" s="41"/>
      <c r="L25" s="26"/>
      <c r="M25" s="26"/>
      <c r="N25" s="41"/>
      <c r="O25" s="26"/>
    </row>
    <row r="26" customFormat="false" ht="15.75" hidden="false" customHeight="false" outlineLevel="0" collapsed="false">
      <c r="F26" s="43"/>
      <c r="G26" s="26"/>
      <c r="H26" s="43"/>
      <c r="I26" s="26"/>
      <c r="J26" s="42"/>
      <c r="K26" s="41"/>
      <c r="L26" s="26"/>
      <c r="M26" s="26"/>
      <c r="N26" s="41"/>
      <c r="O26" s="26"/>
    </row>
    <row r="27" customFormat="false" ht="15.75" hidden="false" customHeight="false" outlineLevel="0" collapsed="false">
      <c r="F27" s="43"/>
      <c r="G27" s="26"/>
      <c r="H27" s="43"/>
      <c r="I27" s="26"/>
      <c r="J27" s="42"/>
      <c r="K27" s="41"/>
      <c r="L27" s="26"/>
      <c r="M27" s="26"/>
      <c r="N27" s="41"/>
      <c r="O27" s="26"/>
    </row>
    <row r="28" customFormat="false" ht="15.75" hidden="false" customHeight="false" outlineLevel="0" collapsed="false">
      <c r="F28" s="43"/>
      <c r="G28" s="26"/>
      <c r="H28" s="43"/>
      <c r="I28" s="26"/>
      <c r="J28" s="42"/>
      <c r="K28" s="41"/>
      <c r="L28" s="26"/>
      <c r="M28" s="26"/>
      <c r="N28" s="41"/>
      <c r="O28" s="26"/>
    </row>
    <row r="29" customFormat="false" ht="15.75" hidden="false" customHeight="false" outlineLevel="0" collapsed="false">
      <c r="F29" s="43"/>
      <c r="H29" s="43"/>
      <c r="I29" s="26"/>
      <c r="J29" s="41"/>
      <c r="K29" s="41"/>
      <c r="L29" s="26"/>
      <c r="M29" s="26"/>
      <c r="O29" s="26"/>
    </row>
    <row r="30" customFormat="false" ht="15.75" hidden="false" customHeight="false" outlineLevel="0" collapsed="false">
      <c r="F30" s="37"/>
      <c r="H30" s="37"/>
    </row>
    <row r="31" customFormat="false" ht="15.75" hidden="false" customHeight="false" outlineLevel="0" collapsed="false">
      <c r="F31" s="37"/>
      <c r="H31" s="37"/>
    </row>
    <row r="32" customFormat="false" ht="15.75" hidden="false" customHeight="false" outlineLevel="0" collapsed="false">
      <c r="F32" s="37"/>
      <c r="H32" s="37"/>
    </row>
    <row r="33" customFormat="false" ht="15.75" hidden="false" customHeight="false" outlineLevel="0" collapsed="false">
      <c r="F33" s="37"/>
      <c r="H33" s="37"/>
    </row>
    <row r="34" customFormat="false" ht="15.75" hidden="false" customHeight="false" outlineLevel="0" collapsed="false">
      <c r="F34" s="37"/>
      <c r="H34" s="37"/>
    </row>
    <row r="35" customFormat="false" ht="15.75" hidden="false" customHeight="false" outlineLevel="0" collapsed="false">
      <c r="F35" s="37"/>
      <c r="H35" s="37"/>
    </row>
    <row r="36" customFormat="false" ht="15.75" hidden="false" customHeight="false" outlineLevel="0" collapsed="false">
      <c r="F36" s="37"/>
      <c r="H36" s="37"/>
    </row>
    <row r="37" customFormat="false" ht="15.75" hidden="false" customHeight="false" outlineLevel="0" collapsed="false">
      <c r="F37" s="37"/>
      <c r="H37" s="37"/>
    </row>
    <row r="38" customFormat="false" ht="15.75" hidden="false" customHeight="false" outlineLevel="0" collapsed="false">
      <c r="F38" s="37"/>
      <c r="H38" s="37"/>
    </row>
    <row r="39" customFormat="false" ht="15.75" hidden="false" customHeight="false" outlineLevel="0" collapsed="false">
      <c r="F39" s="37"/>
      <c r="H39" s="37"/>
    </row>
    <row r="40" customFormat="false" ht="15.75" hidden="false" customHeight="false" outlineLevel="0" collapsed="false">
      <c r="F40" s="37"/>
      <c r="H40" s="37"/>
    </row>
    <row r="41" customFormat="false" ht="15.75" hidden="false" customHeight="false" outlineLevel="0" collapsed="false">
      <c r="F41" s="37"/>
      <c r="H41" s="37"/>
    </row>
    <row r="42" customFormat="false" ht="15.75" hidden="false" customHeight="false" outlineLevel="0" collapsed="false">
      <c r="F42" s="37"/>
      <c r="H42" s="37"/>
    </row>
    <row r="43" customFormat="false" ht="15.75" hidden="false" customHeight="false" outlineLevel="0" collapsed="false">
      <c r="F43" s="37"/>
      <c r="H43" s="37"/>
    </row>
    <row r="44" customFormat="false" ht="15.75" hidden="false" customHeight="false" outlineLevel="0" collapsed="false">
      <c r="F44" s="37"/>
      <c r="H44" s="37"/>
    </row>
    <row r="45" customFormat="false" ht="15.75" hidden="false" customHeight="false" outlineLevel="0" collapsed="false">
      <c r="F45" s="37"/>
      <c r="H45" s="37"/>
    </row>
    <row r="46" customFormat="false" ht="15.75" hidden="false" customHeight="false" outlineLevel="0" collapsed="false">
      <c r="F46" s="37"/>
      <c r="H46" s="37"/>
    </row>
    <row r="47" customFormat="false" ht="15.75" hidden="false" customHeight="false" outlineLevel="0" collapsed="false">
      <c r="F47" s="37"/>
      <c r="H47" s="37"/>
    </row>
    <row r="48" customFormat="false" ht="15.75" hidden="false" customHeight="false" outlineLevel="0" collapsed="false">
      <c r="F48" s="37"/>
      <c r="H48" s="37"/>
    </row>
    <row r="49" customFormat="false" ht="15.75" hidden="false" customHeight="false" outlineLevel="0" collapsed="false">
      <c r="F49" s="37"/>
      <c r="H49" s="37"/>
    </row>
    <row r="50" customFormat="false" ht="15.75" hidden="false" customHeight="false" outlineLevel="0" collapsed="false">
      <c r="F50" s="37"/>
      <c r="H50" s="37"/>
    </row>
    <row r="51" customFormat="false" ht="15.75" hidden="false" customHeight="false" outlineLevel="0" collapsed="false">
      <c r="F51" s="37"/>
      <c r="H51" s="37"/>
    </row>
    <row r="52" customFormat="false" ht="15.75" hidden="false" customHeight="false" outlineLevel="0" collapsed="false">
      <c r="F52" s="37"/>
      <c r="H52" s="37"/>
    </row>
    <row r="53" customFormat="false" ht="15.75" hidden="false" customHeight="false" outlineLevel="0" collapsed="false">
      <c r="F53" s="37"/>
      <c r="H53" s="37"/>
    </row>
    <row r="54" customFormat="false" ht="15.75" hidden="false" customHeight="false" outlineLevel="0" collapsed="false">
      <c r="F54" s="37"/>
      <c r="H54" s="37"/>
    </row>
    <row r="55" customFormat="false" ht="15.75" hidden="false" customHeight="false" outlineLevel="0" collapsed="false">
      <c r="F55" s="37"/>
      <c r="H55" s="37"/>
    </row>
    <row r="56" customFormat="false" ht="15.75" hidden="false" customHeight="false" outlineLevel="0" collapsed="false">
      <c r="F56" s="37"/>
      <c r="H56" s="37"/>
    </row>
    <row r="57" customFormat="false" ht="15.75" hidden="false" customHeight="false" outlineLevel="0" collapsed="false">
      <c r="F57" s="37"/>
      <c r="H57" s="37"/>
    </row>
    <row r="58" customFormat="false" ht="15.75" hidden="false" customHeight="false" outlineLevel="0" collapsed="false">
      <c r="F58" s="37"/>
      <c r="H58" s="37"/>
    </row>
    <row r="59" customFormat="false" ht="15.75" hidden="false" customHeight="false" outlineLevel="0" collapsed="false">
      <c r="F59" s="37"/>
      <c r="H59" s="37"/>
    </row>
    <row r="60" customFormat="false" ht="15.75" hidden="false" customHeight="false" outlineLevel="0" collapsed="false">
      <c r="F60" s="37"/>
      <c r="H60" s="37"/>
    </row>
    <row r="61" customFormat="false" ht="15.75" hidden="false" customHeight="false" outlineLevel="0" collapsed="false">
      <c r="F61" s="37"/>
      <c r="H61" s="37"/>
    </row>
    <row r="62" customFormat="false" ht="15.75" hidden="false" customHeight="false" outlineLevel="0" collapsed="false">
      <c r="F62" s="37"/>
      <c r="H62" s="37"/>
    </row>
    <row r="63" customFormat="false" ht="15.75" hidden="false" customHeight="false" outlineLevel="0" collapsed="false">
      <c r="F63" s="37"/>
      <c r="H63" s="37"/>
    </row>
    <row r="64" customFormat="false" ht="15.75" hidden="false" customHeight="false" outlineLevel="0" collapsed="false">
      <c r="F64" s="37"/>
      <c r="H64" s="37"/>
    </row>
    <row r="65" customFormat="false" ht="15.75" hidden="false" customHeight="false" outlineLevel="0" collapsed="false">
      <c r="F65" s="37"/>
      <c r="H65" s="37"/>
    </row>
    <row r="66" customFormat="false" ht="15.75" hidden="false" customHeight="false" outlineLevel="0" collapsed="false">
      <c r="F66" s="37"/>
      <c r="H66" s="37"/>
    </row>
    <row r="67" customFormat="false" ht="15.75" hidden="false" customHeight="false" outlineLevel="0" collapsed="false">
      <c r="F67" s="37"/>
      <c r="H67" s="37"/>
    </row>
    <row r="68" customFormat="false" ht="15.75" hidden="false" customHeight="false" outlineLevel="0" collapsed="false">
      <c r="F68" s="37"/>
      <c r="H68" s="37"/>
    </row>
    <row r="69" customFormat="false" ht="15.75" hidden="false" customHeight="false" outlineLevel="0" collapsed="false">
      <c r="F69" s="37"/>
      <c r="H69" s="37"/>
    </row>
    <row r="70" customFormat="false" ht="15.75" hidden="false" customHeight="false" outlineLevel="0" collapsed="false">
      <c r="F70" s="37"/>
      <c r="H70" s="37"/>
    </row>
    <row r="71" customFormat="false" ht="15.75" hidden="false" customHeight="false" outlineLevel="0" collapsed="false">
      <c r="F71" s="37"/>
      <c r="H71" s="37"/>
    </row>
    <row r="72" customFormat="false" ht="15.75" hidden="false" customHeight="false" outlineLevel="0" collapsed="false">
      <c r="F72" s="37"/>
      <c r="H72" s="37"/>
    </row>
    <row r="73" customFormat="false" ht="15.75" hidden="false" customHeight="false" outlineLevel="0" collapsed="false">
      <c r="F73" s="37"/>
      <c r="H73" s="37"/>
    </row>
    <row r="74" customFormat="false" ht="15.75" hidden="false" customHeight="false" outlineLevel="0" collapsed="false">
      <c r="F74" s="37"/>
      <c r="H74" s="37"/>
    </row>
    <row r="75" customFormat="false" ht="15.75" hidden="false" customHeight="false" outlineLevel="0" collapsed="false">
      <c r="F75" s="37"/>
      <c r="H75" s="37"/>
    </row>
    <row r="76" customFormat="false" ht="15.75" hidden="false" customHeight="false" outlineLevel="0" collapsed="false">
      <c r="F76" s="37"/>
      <c r="H76" s="37"/>
    </row>
    <row r="77" customFormat="false" ht="15.75" hidden="false" customHeight="false" outlineLevel="0" collapsed="false">
      <c r="F77" s="37"/>
      <c r="H77" s="37"/>
    </row>
    <row r="78" customFormat="false" ht="15.75" hidden="false" customHeight="false" outlineLevel="0" collapsed="false">
      <c r="F78" s="37"/>
      <c r="H78" s="37"/>
    </row>
    <row r="79" customFormat="false" ht="15.75" hidden="false" customHeight="false" outlineLevel="0" collapsed="false">
      <c r="F79" s="37"/>
      <c r="H79" s="37"/>
    </row>
    <row r="80" customFormat="false" ht="15.75" hidden="false" customHeight="false" outlineLevel="0" collapsed="false">
      <c r="F80" s="37"/>
      <c r="H80" s="37"/>
    </row>
    <row r="81" customFormat="false" ht="15.75" hidden="false" customHeight="false" outlineLevel="0" collapsed="false">
      <c r="F81" s="37"/>
      <c r="H81" s="37"/>
    </row>
    <row r="82" customFormat="false" ht="15.75" hidden="false" customHeight="false" outlineLevel="0" collapsed="false">
      <c r="F82" s="37"/>
      <c r="H82" s="37"/>
    </row>
    <row r="83" customFormat="false" ht="15.75" hidden="false" customHeight="false" outlineLevel="0" collapsed="false">
      <c r="F83" s="37"/>
      <c r="H83" s="37"/>
    </row>
    <row r="84" customFormat="false" ht="15.75" hidden="false" customHeight="false" outlineLevel="0" collapsed="false">
      <c r="F84" s="37"/>
      <c r="H84" s="37"/>
    </row>
    <row r="85" customFormat="false" ht="15.75" hidden="false" customHeight="false" outlineLevel="0" collapsed="false">
      <c r="F85" s="37"/>
      <c r="H85" s="37"/>
    </row>
    <row r="86" customFormat="false" ht="15.75" hidden="false" customHeight="false" outlineLevel="0" collapsed="false">
      <c r="F86" s="37"/>
      <c r="H86" s="37"/>
    </row>
    <row r="87" customFormat="false" ht="15.75" hidden="false" customHeight="false" outlineLevel="0" collapsed="false">
      <c r="F87" s="37"/>
      <c r="H87" s="37"/>
    </row>
    <row r="88" customFormat="false" ht="15.75" hidden="false" customHeight="false" outlineLevel="0" collapsed="false">
      <c r="F88" s="37"/>
      <c r="H88" s="37"/>
    </row>
    <row r="89" customFormat="false" ht="15.75" hidden="false" customHeight="false" outlineLevel="0" collapsed="false">
      <c r="F89" s="37"/>
      <c r="H89" s="37"/>
    </row>
    <row r="90" customFormat="false" ht="15.75" hidden="false" customHeight="false" outlineLevel="0" collapsed="false">
      <c r="F90" s="37"/>
      <c r="H90" s="37"/>
    </row>
    <row r="91" customFormat="false" ht="15.75" hidden="false" customHeight="false" outlineLevel="0" collapsed="false">
      <c r="F91" s="37"/>
      <c r="H91" s="37"/>
    </row>
    <row r="92" customFormat="false" ht="15.75" hidden="false" customHeight="false" outlineLevel="0" collapsed="false">
      <c r="F92" s="37"/>
      <c r="H92" s="37"/>
    </row>
    <row r="93" customFormat="false" ht="15.75" hidden="false" customHeight="false" outlineLevel="0" collapsed="false">
      <c r="F93" s="37"/>
      <c r="H93" s="37"/>
    </row>
    <row r="94" customFormat="false" ht="15.75" hidden="false" customHeight="false" outlineLevel="0" collapsed="false">
      <c r="F94" s="37"/>
      <c r="H94" s="37"/>
    </row>
    <row r="95" customFormat="false" ht="15.75" hidden="false" customHeight="false" outlineLevel="0" collapsed="false">
      <c r="F95" s="37"/>
      <c r="H95" s="37"/>
    </row>
    <row r="96" customFormat="false" ht="15.75" hidden="false" customHeight="false" outlineLevel="0" collapsed="false">
      <c r="F96" s="37"/>
      <c r="H96" s="37"/>
    </row>
    <row r="97" customFormat="false" ht="15.75" hidden="false" customHeight="false" outlineLevel="0" collapsed="false">
      <c r="F97" s="37"/>
      <c r="H97" s="37"/>
    </row>
    <row r="98" customFormat="false" ht="15.75" hidden="false" customHeight="false" outlineLevel="0" collapsed="false">
      <c r="F98" s="37"/>
      <c r="H98" s="37"/>
    </row>
    <row r="99" customFormat="false" ht="15.75" hidden="false" customHeight="false" outlineLevel="0" collapsed="false">
      <c r="F99" s="37"/>
      <c r="H99" s="37"/>
    </row>
    <row r="100" customFormat="false" ht="15.75" hidden="false" customHeight="false" outlineLevel="0" collapsed="false">
      <c r="F100" s="37"/>
      <c r="H100" s="37"/>
    </row>
    <row r="101" customFormat="false" ht="15.75" hidden="false" customHeight="false" outlineLevel="0" collapsed="false">
      <c r="F101" s="37"/>
      <c r="H101" s="37"/>
    </row>
    <row r="102" customFormat="false" ht="15.75" hidden="false" customHeight="false" outlineLevel="0" collapsed="false">
      <c r="F102" s="37"/>
      <c r="H102" s="37"/>
    </row>
    <row r="103" customFormat="false" ht="15.75" hidden="false" customHeight="false" outlineLevel="0" collapsed="false">
      <c r="F103" s="37"/>
      <c r="H103" s="37"/>
    </row>
    <row r="104" customFormat="false" ht="15.75" hidden="false" customHeight="false" outlineLevel="0" collapsed="false">
      <c r="F104" s="37"/>
      <c r="H104" s="37"/>
    </row>
    <row r="105" customFormat="false" ht="15.75" hidden="false" customHeight="false" outlineLevel="0" collapsed="false">
      <c r="F105" s="37"/>
      <c r="H105" s="37"/>
    </row>
    <row r="106" customFormat="false" ht="15.75" hidden="false" customHeight="false" outlineLevel="0" collapsed="false">
      <c r="F106" s="37"/>
      <c r="H106" s="37"/>
    </row>
    <row r="107" customFormat="false" ht="15.75" hidden="false" customHeight="false" outlineLevel="0" collapsed="false">
      <c r="F107" s="37"/>
      <c r="H107" s="37"/>
    </row>
    <row r="108" customFormat="false" ht="15.75" hidden="false" customHeight="false" outlineLevel="0" collapsed="false">
      <c r="F108" s="37"/>
      <c r="H108" s="37"/>
    </row>
    <row r="109" customFormat="false" ht="15.75" hidden="false" customHeight="false" outlineLevel="0" collapsed="false">
      <c r="F109" s="37"/>
      <c r="H109" s="37"/>
    </row>
    <row r="110" customFormat="false" ht="15.75" hidden="false" customHeight="false" outlineLevel="0" collapsed="false">
      <c r="F110" s="37"/>
      <c r="H110" s="37"/>
    </row>
    <row r="111" customFormat="false" ht="15.75" hidden="false" customHeight="false" outlineLevel="0" collapsed="false">
      <c r="F111" s="37"/>
      <c r="H111" s="37"/>
    </row>
    <row r="112" customFormat="false" ht="15.75" hidden="false" customHeight="false" outlineLevel="0" collapsed="false">
      <c r="F112" s="37"/>
      <c r="H112" s="37"/>
    </row>
    <row r="113" customFormat="false" ht="15.75" hidden="false" customHeight="false" outlineLevel="0" collapsed="false">
      <c r="F113" s="37"/>
      <c r="H113" s="37"/>
    </row>
    <row r="114" customFormat="false" ht="15.75" hidden="false" customHeight="false" outlineLevel="0" collapsed="false">
      <c r="F114" s="37"/>
      <c r="H114" s="37"/>
    </row>
    <row r="115" customFormat="false" ht="15.75" hidden="false" customHeight="false" outlineLevel="0" collapsed="false">
      <c r="F115" s="37"/>
      <c r="H115" s="37"/>
    </row>
    <row r="116" customFormat="false" ht="15.75" hidden="false" customHeight="false" outlineLevel="0" collapsed="false">
      <c r="F116" s="37"/>
      <c r="H116" s="37"/>
    </row>
    <row r="117" customFormat="false" ht="15.75" hidden="false" customHeight="false" outlineLevel="0" collapsed="false">
      <c r="F117" s="37"/>
      <c r="H117" s="37"/>
    </row>
    <row r="118" customFormat="false" ht="15.75" hidden="false" customHeight="false" outlineLevel="0" collapsed="false">
      <c r="F118" s="37"/>
      <c r="H118" s="37"/>
    </row>
    <row r="119" customFormat="false" ht="15.75" hidden="false" customHeight="false" outlineLevel="0" collapsed="false">
      <c r="F119" s="37"/>
      <c r="H119" s="37"/>
    </row>
    <row r="120" customFormat="false" ht="15.75" hidden="false" customHeight="false" outlineLevel="0" collapsed="false">
      <c r="F120" s="37"/>
      <c r="H120" s="37"/>
    </row>
    <row r="121" customFormat="false" ht="15.75" hidden="false" customHeight="false" outlineLevel="0" collapsed="false">
      <c r="F121" s="37"/>
      <c r="H121" s="37"/>
    </row>
    <row r="122" customFormat="false" ht="15.75" hidden="false" customHeight="false" outlineLevel="0" collapsed="false">
      <c r="F122" s="37"/>
      <c r="H122" s="37"/>
    </row>
    <row r="123" customFormat="false" ht="15.75" hidden="false" customHeight="false" outlineLevel="0" collapsed="false">
      <c r="F123" s="37"/>
      <c r="H123" s="37"/>
    </row>
    <row r="124" customFormat="false" ht="15.75" hidden="false" customHeight="false" outlineLevel="0" collapsed="false">
      <c r="F124" s="37"/>
      <c r="H124" s="37"/>
    </row>
    <row r="125" customFormat="false" ht="15.75" hidden="false" customHeight="false" outlineLevel="0" collapsed="false">
      <c r="F125" s="37"/>
      <c r="H125" s="37"/>
    </row>
    <row r="126" customFormat="false" ht="15.75" hidden="false" customHeight="false" outlineLevel="0" collapsed="false">
      <c r="F126" s="37"/>
      <c r="H126" s="37"/>
    </row>
    <row r="127" customFormat="false" ht="15.75" hidden="false" customHeight="false" outlineLevel="0" collapsed="false">
      <c r="F127" s="37"/>
      <c r="H127" s="37"/>
    </row>
    <row r="128" customFormat="false" ht="15.75" hidden="false" customHeight="false" outlineLevel="0" collapsed="false">
      <c r="F128" s="37"/>
      <c r="H128" s="37"/>
    </row>
    <row r="129" customFormat="false" ht="15.75" hidden="false" customHeight="false" outlineLevel="0" collapsed="false">
      <c r="F129" s="37"/>
      <c r="H129" s="37"/>
    </row>
    <row r="130" customFormat="false" ht="15.75" hidden="false" customHeight="false" outlineLevel="0" collapsed="false">
      <c r="F130" s="37"/>
      <c r="H130" s="37"/>
    </row>
    <row r="131" customFormat="false" ht="15.75" hidden="false" customHeight="false" outlineLevel="0" collapsed="false">
      <c r="F131" s="37"/>
      <c r="H131" s="37"/>
    </row>
    <row r="132" customFormat="false" ht="15.75" hidden="false" customHeight="false" outlineLevel="0" collapsed="false">
      <c r="F132" s="37"/>
      <c r="H132" s="37"/>
    </row>
    <row r="133" customFormat="false" ht="15.75" hidden="false" customHeight="false" outlineLevel="0" collapsed="false">
      <c r="F133" s="37"/>
      <c r="H133" s="37"/>
    </row>
    <row r="134" customFormat="false" ht="15.75" hidden="false" customHeight="false" outlineLevel="0" collapsed="false">
      <c r="F134" s="37"/>
      <c r="H134" s="37"/>
    </row>
    <row r="135" customFormat="false" ht="15.75" hidden="false" customHeight="false" outlineLevel="0" collapsed="false">
      <c r="F135" s="37"/>
      <c r="H135" s="37"/>
    </row>
    <row r="136" customFormat="false" ht="15.75" hidden="false" customHeight="false" outlineLevel="0" collapsed="false">
      <c r="F136" s="37"/>
      <c r="H136" s="37"/>
    </row>
    <row r="137" customFormat="false" ht="15.75" hidden="false" customHeight="false" outlineLevel="0" collapsed="false">
      <c r="F137" s="37"/>
      <c r="H137" s="37"/>
    </row>
    <row r="138" customFormat="false" ht="15.75" hidden="false" customHeight="false" outlineLevel="0" collapsed="false">
      <c r="F138" s="37"/>
      <c r="H138" s="37"/>
    </row>
    <row r="139" customFormat="false" ht="15.75" hidden="false" customHeight="false" outlineLevel="0" collapsed="false">
      <c r="F139" s="37"/>
      <c r="H139" s="37"/>
    </row>
    <row r="140" customFormat="false" ht="15.75" hidden="false" customHeight="false" outlineLevel="0" collapsed="false">
      <c r="F140" s="37"/>
      <c r="H140" s="37"/>
    </row>
    <row r="141" customFormat="false" ht="15.75" hidden="false" customHeight="false" outlineLevel="0" collapsed="false">
      <c r="F141" s="37"/>
      <c r="H141" s="37"/>
    </row>
    <row r="142" customFormat="false" ht="15.75" hidden="false" customHeight="false" outlineLevel="0" collapsed="false">
      <c r="F142" s="37"/>
      <c r="H142" s="37"/>
    </row>
    <row r="143" customFormat="false" ht="15.75" hidden="false" customHeight="false" outlineLevel="0" collapsed="false">
      <c r="F143" s="37"/>
      <c r="H143" s="37"/>
    </row>
    <row r="144" customFormat="false" ht="15.75" hidden="false" customHeight="false" outlineLevel="0" collapsed="false">
      <c r="F144" s="37"/>
      <c r="H144" s="37"/>
    </row>
    <row r="145" customFormat="false" ht="15.75" hidden="false" customHeight="false" outlineLevel="0" collapsed="false">
      <c r="F145" s="37"/>
      <c r="H145" s="37"/>
    </row>
    <row r="146" customFormat="false" ht="15.75" hidden="false" customHeight="false" outlineLevel="0" collapsed="false">
      <c r="F146" s="37"/>
      <c r="H146" s="37"/>
    </row>
    <row r="147" customFormat="false" ht="15.75" hidden="false" customHeight="false" outlineLevel="0" collapsed="false">
      <c r="F147" s="37"/>
      <c r="H147" s="37"/>
    </row>
    <row r="148" customFormat="false" ht="15.75" hidden="false" customHeight="false" outlineLevel="0" collapsed="false">
      <c r="F148" s="37"/>
      <c r="H148" s="37"/>
    </row>
    <row r="149" customFormat="false" ht="15.75" hidden="false" customHeight="false" outlineLevel="0" collapsed="false">
      <c r="F149" s="37"/>
      <c r="H149" s="37"/>
    </row>
    <row r="150" customFormat="false" ht="15.75" hidden="false" customHeight="false" outlineLevel="0" collapsed="false">
      <c r="F150" s="37"/>
      <c r="H150" s="37"/>
    </row>
    <row r="151" customFormat="false" ht="15.75" hidden="false" customHeight="false" outlineLevel="0" collapsed="false">
      <c r="F151" s="37"/>
      <c r="H151" s="37"/>
    </row>
    <row r="152" customFormat="false" ht="15.75" hidden="false" customHeight="false" outlineLevel="0" collapsed="false">
      <c r="F152" s="37"/>
      <c r="H152" s="37"/>
    </row>
    <row r="153" customFormat="false" ht="15.75" hidden="false" customHeight="false" outlineLevel="0" collapsed="false">
      <c r="F153" s="37"/>
      <c r="H153" s="37"/>
    </row>
    <row r="154" customFormat="false" ht="15.75" hidden="false" customHeight="false" outlineLevel="0" collapsed="false">
      <c r="F154" s="37"/>
      <c r="H154" s="37"/>
    </row>
    <row r="155" customFormat="false" ht="15.75" hidden="false" customHeight="false" outlineLevel="0" collapsed="false">
      <c r="F155" s="37"/>
      <c r="H155" s="37"/>
    </row>
    <row r="156" customFormat="false" ht="15.75" hidden="false" customHeight="false" outlineLevel="0" collapsed="false">
      <c r="F156" s="37"/>
      <c r="H156" s="37"/>
    </row>
    <row r="157" customFormat="false" ht="15.75" hidden="false" customHeight="false" outlineLevel="0" collapsed="false">
      <c r="F157" s="37"/>
      <c r="H157" s="37"/>
    </row>
    <row r="158" customFormat="false" ht="15.75" hidden="false" customHeight="false" outlineLevel="0" collapsed="false">
      <c r="F158" s="37"/>
      <c r="H158" s="37"/>
    </row>
    <row r="159" customFormat="false" ht="15.75" hidden="false" customHeight="false" outlineLevel="0" collapsed="false">
      <c r="F159" s="37"/>
      <c r="H159" s="37"/>
    </row>
    <row r="160" customFormat="false" ht="15.75" hidden="false" customHeight="false" outlineLevel="0" collapsed="false">
      <c r="F160" s="37"/>
      <c r="H160" s="37"/>
    </row>
    <row r="161" customFormat="false" ht="15.75" hidden="false" customHeight="false" outlineLevel="0" collapsed="false">
      <c r="F161" s="37"/>
      <c r="H161" s="37"/>
    </row>
    <row r="162" customFormat="false" ht="15.75" hidden="false" customHeight="false" outlineLevel="0" collapsed="false">
      <c r="F162" s="37"/>
      <c r="H162" s="37"/>
    </row>
    <row r="163" customFormat="false" ht="15.75" hidden="false" customHeight="false" outlineLevel="0" collapsed="false">
      <c r="F163" s="37"/>
      <c r="H163" s="37"/>
    </row>
    <row r="164" customFormat="false" ht="15.75" hidden="false" customHeight="false" outlineLevel="0" collapsed="false">
      <c r="F164" s="37"/>
      <c r="H164" s="37"/>
    </row>
    <row r="165" customFormat="false" ht="15.75" hidden="false" customHeight="false" outlineLevel="0" collapsed="false">
      <c r="F165" s="37"/>
      <c r="H165" s="37"/>
    </row>
    <row r="166" customFormat="false" ht="15.75" hidden="false" customHeight="false" outlineLevel="0" collapsed="false">
      <c r="F166" s="37"/>
      <c r="H166" s="37"/>
    </row>
    <row r="167" customFormat="false" ht="15.75" hidden="false" customHeight="false" outlineLevel="0" collapsed="false">
      <c r="F167" s="37"/>
      <c r="H167" s="37"/>
    </row>
    <row r="168" customFormat="false" ht="15.75" hidden="false" customHeight="false" outlineLevel="0" collapsed="false">
      <c r="F168" s="37"/>
      <c r="H168" s="37"/>
    </row>
    <row r="169" customFormat="false" ht="15.75" hidden="false" customHeight="false" outlineLevel="0" collapsed="false">
      <c r="F169" s="37"/>
      <c r="H169" s="37"/>
    </row>
    <row r="170" customFormat="false" ht="15.75" hidden="false" customHeight="false" outlineLevel="0" collapsed="false">
      <c r="F170" s="37"/>
      <c r="H170" s="37"/>
    </row>
    <row r="171" customFormat="false" ht="15.75" hidden="false" customHeight="false" outlineLevel="0" collapsed="false">
      <c r="F171" s="37"/>
      <c r="H171" s="37"/>
    </row>
    <row r="172" customFormat="false" ht="15.75" hidden="false" customHeight="false" outlineLevel="0" collapsed="false">
      <c r="F172" s="37"/>
      <c r="H172" s="37"/>
    </row>
    <row r="173" customFormat="false" ht="15.75" hidden="false" customHeight="false" outlineLevel="0" collapsed="false">
      <c r="F173" s="37"/>
      <c r="H173" s="37"/>
    </row>
    <row r="174" customFormat="false" ht="15.75" hidden="false" customHeight="false" outlineLevel="0" collapsed="false">
      <c r="F174" s="37"/>
      <c r="H174" s="37"/>
    </row>
    <row r="175" customFormat="false" ht="15.75" hidden="false" customHeight="false" outlineLevel="0" collapsed="false">
      <c r="F175" s="37"/>
      <c r="H175" s="37"/>
    </row>
    <row r="176" customFormat="false" ht="15.75" hidden="false" customHeight="false" outlineLevel="0" collapsed="false">
      <c r="F176" s="37"/>
      <c r="H176" s="37"/>
    </row>
    <row r="177" customFormat="false" ht="15.75" hidden="false" customHeight="false" outlineLevel="0" collapsed="false">
      <c r="F177" s="37"/>
      <c r="H177" s="37"/>
    </row>
    <row r="178" customFormat="false" ht="15.75" hidden="false" customHeight="false" outlineLevel="0" collapsed="false">
      <c r="F178" s="37"/>
      <c r="H178" s="37"/>
    </row>
    <row r="179" customFormat="false" ht="15.75" hidden="false" customHeight="false" outlineLevel="0" collapsed="false">
      <c r="F179" s="37"/>
      <c r="H179" s="37"/>
    </row>
    <row r="180" customFormat="false" ht="15.75" hidden="false" customHeight="false" outlineLevel="0" collapsed="false">
      <c r="F180" s="37"/>
      <c r="H180" s="37"/>
    </row>
    <row r="181" customFormat="false" ht="15.75" hidden="false" customHeight="false" outlineLevel="0" collapsed="false">
      <c r="F181" s="37"/>
      <c r="H181" s="37"/>
    </row>
    <row r="182" customFormat="false" ht="15.75" hidden="false" customHeight="false" outlineLevel="0" collapsed="false">
      <c r="F182" s="37"/>
      <c r="H182" s="37"/>
    </row>
    <row r="183" customFormat="false" ht="15.75" hidden="false" customHeight="false" outlineLevel="0" collapsed="false">
      <c r="F183" s="37"/>
      <c r="H183" s="37"/>
    </row>
    <row r="184" customFormat="false" ht="15.75" hidden="false" customHeight="false" outlineLevel="0" collapsed="false">
      <c r="F184" s="37"/>
      <c r="H184" s="37"/>
    </row>
    <row r="185" customFormat="false" ht="15.75" hidden="false" customHeight="false" outlineLevel="0" collapsed="false">
      <c r="F185" s="37"/>
      <c r="H185" s="37"/>
    </row>
    <row r="186" customFormat="false" ht="15.75" hidden="false" customHeight="false" outlineLevel="0" collapsed="false">
      <c r="F186" s="37"/>
      <c r="H186" s="37"/>
    </row>
    <row r="187" customFormat="false" ht="15.75" hidden="false" customHeight="false" outlineLevel="0" collapsed="false">
      <c r="F187" s="37"/>
      <c r="H187" s="37"/>
    </row>
    <row r="188" customFormat="false" ht="15.75" hidden="false" customHeight="false" outlineLevel="0" collapsed="false">
      <c r="F188" s="37"/>
      <c r="H188" s="37"/>
    </row>
    <row r="189" customFormat="false" ht="15.75" hidden="false" customHeight="false" outlineLevel="0" collapsed="false">
      <c r="F189" s="37"/>
      <c r="H189" s="37"/>
    </row>
    <row r="190" customFormat="false" ht="15.75" hidden="false" customHeight="false" outlineLevel="0" collapsed="false">
      <c r="F190" s="37"/>
      <c r="H190" s="37"/>
    </row>
    <row r="191" customFormat="false" ht="15.75" hidden="false" customHeight="false" outlineLevel="0" collapsed="false">
      <c r="F191" s="37"/>
      <c r="H191" s="37"/>
    </row>
    <row r="192" customFormat="false" ht="15.75" hidden="false" customHeight="false" outlineLevel="0" collapsed="false">
      <c r="F192" s="37"/>
      <c r="H192" s="37"/>
    </row>
    <row r="193" customFormat="false" ht="15.75" hidden="false" customHeight="false" outlineLevel="0" collapsed="false">
      <c r="F193" s="37"/>
      <c r="H193" s="37"/>
    </row>
    <row r="194" customFormat="false" ht="15.75" hidden="false" customHeight="false" outlineLevel="0" collapsed="false">
      <c r="F194" s="37"/>
      <c r="H194" s="37"/>
    </row>
    <row r="195" customFormat="false" ht="15.75" hidden="false" customHeight="false" outlineLevel="0" collapsed="false">
      <c r="F195" s="37"/>
      <c r="H195" s="37"/>
    </row>
    <row r="196" customFormat="false" ht="15.75" hidden="false" customHeight="false" outlineLevel="0" collapsed="false">
      <c r="F196" s="37"/>
      <c r="H196" s="37"/>
    </row>
    <row r="197" customFormat="false" ht="15.75" hidden="false" customHeight="false" outlineLevel="0" collapsed="false">
      <c r="F197" s="37"/>
      <c r="H197" s="37"/>
    </row>
    <row r="198" customFormat="false" ht="15.75" hidden="false" customHeight="false" outlineLevel="0" collapsed="false">
      <c r="F198" s="37"/>
      <c r="H198" s="37"/>
    </row>
    <row r="199" customFormat="false" ht="15.75" hidden="false" customHeight="false" outlineLevel="0" collapsed="false">
      <c r="F199" s="37"/>
      <c r="H199" s="37"/>
    </row>
    <row r="200" customFormat="false" ht="15.75" hidden="false" customHeight="false" outlineLevel="0" collapsed="false">
      <c r="F200" s="37"/>
      <c r="H200" s="37"/>
    </row>
    <row r="201" customFormat="false" ht="15.75" hidden="false" customHeight="false" outlineLevel="0" collapsed="false">
      <c r="F201" s="37"/>
      <c r="H201" s="37"/>
    </row>
    <row r="202" customFormat="false" ht="15.75" hidden="false" customHeight="false" outlineLevel="0" collapsed="false">
      <c r="F202" s="37"/>
      <c r="H202" s="37"/>
    </row>
    <row r="203" customFormat="false" ht="15.75" hidden="false" customHeight="false" outlineLevel="0" collapsed="false">
      <c r="F203" s="37"/>
      <c r="H203" s="37"/>
    </row>
    <row r="204" customFormat="false" ht="15.75" hidden="false" customHeight="false" outlineLevel="0" collapsed="false">
      <c r="F204" s="37"/>
      <c r="H204" s="37"/>
    </row>
    <row r="205" customFormat="false" ht="15.75" hidden="false" customHeight="false" outlineLevel="0" collapsed="false">
      <c r="F205" s="37"/>
      <c r="H205" s="37"/>
    </row>
    <row r="206" customFormat="false" ht="15.75" hidden="false" customHeight="false" outlineLevel="0" collapsed="false">
      <c r="F206" s="37"/>
      <c r="H206" s="37"/>
    </row>
    <row r="207" customFormat="false" ht="15.75" hidden="false" customHeight="false" outlineLevel="0" collapsed="false">
      <c r="F207" s="37"/>
      <c r="H207" s="37"/>
    </row>
    <row r="208" customFormat="false" ht="15.75" hidden="false" customHeight="false" outlineLevel="0" collapsed="false">
      <c r="F208" s="37"/>
      <c r="H208" s="37"/>
    </row>
    <row r="209" customFormat="false" ht="15.75" hidden="false" customHeight="false" outlineLevel="0" collapsed="false">
      <c r="F209" s="37"/>
      <c r="H209" s="37"/>
    </row>
    <row r="210" customFormat="false" ht="15.75" hidden="false" customHeight="false" outlineLevel="0" collapsed="false">
      <c r="F210" s="37"/>
      <c r="H210" s="37"/>
    </row>
    <row r="211" customFormat="false" ht="15.75" hidden="false" customHeight="false" outlineLevel="0" collapsed="false">
      <c r="F211" s="37"/>
      <c r="H211" s="37"/>
    </row>
    <row r="212" customFormat="false" ht="15.75" hidden="false" customHeight="false" outlineLevel="0" collapsed="false">
      <c r="F212" s="37"/>
      <c r="H212" s="37"/>
    </row>
    <row r="213" customFormat="false" ht="15.75" hidden="false" customHeight="false" outlineLevel="0" collapsed="false">
      <c r="F213" s="37"/>
      <c r="H213" s="37"/>
    </row>
    <row r="214" customFormat="false" ht="15.75" hidden="false" customHeight="false" outlineLevel="0" collapsed="false">
      <c r="F214" s="37"/>
      <c r="H214" s="37"/>
    </row>
    <row r="215" customFormat="false" ht="15.75" hidden="false" customHeight="false" outlineLevel="0" collapsed="false">
      <c r="F215" s="37"/>
      <c r="H215" s="37"/>
    </row>
    <row r="216" customFormat="false" ht="15.75" hidden="false" customHeight="false" outlineLevel="0" collapsed="false">
      <c r="F216" s="37"/>
      <c r="H216" s="37"/>
    </row>
    <row r="217" customFormat="false" ht="15.75" hidden="false" customHeight="false" outlineLevel="0" collapsed="false">
      <c r="F217" s="37"/>
      <c r="H217" s="37"/>
    </row>
    <row r="218" customFormat="false" ht="15.75" hidden="false" customHeight="false" outlineLevel="0" collapsed="false">
      <c r="F218" s="37"/>
      <c r="H218" s="37"/>
    </row>
    <row r="219" customFormat="false" ht="15.75" hidden="false" customHeight="false" outlineLevel="0" collapsed="false">
      <c r="F219" s="37"/>
      <c r="H219" s="37"/>
    </row>
    <row r="220" customFormat="false" ht="15.75" hidden="false" customHeight="false" outlineLevel="0" collapsed="false">
      <c r="F220" s="37"/>
      <c r="H220" s="37"/>
    </row>
    <row r="221" customFormat="false" ht="15.75" hidden="false" customHeight="false" outlineLevel="0" collapsed="false">
      <c r="F221" s="37"/>
      <c r="H221" s="37"/>
    </row>
    <row r="222" customFormat="false" ht="15.75" hidden="false" customHeight="false" outlineLevel="0" collapsed="false">
      <c r="F222" s="37"/>
      <c r="H222" s="37"/>
    </row>
    <row r="223" customFormat="false" ht="15.75" hidden="false" customHeight="false" outlineLevel="0" collapsed="false">
      <c r="F223" s="37"/>
      <c r="H223" s="37"/>
    </row>
    <row r="224" customFormat="false" ht="15.75" hidden="false" customHeight="false" outlineLevel="0" collapsed="false">
      <c r="F224" s="37"/>
      <c r="H224" s="37"/>
    </row>
    <row r="225" customFormat="false" ht="15.75" hidden="false" customHeight="false" outlineLevel="0" collapsed="false">
      <c r="F225" s="37"/>
      <c r="H225" s="37"/>
    </row>
    <row r="226" customFormat="false" ht="15.75" hidden="false" customHeight="false" outlineLevel="0" collapsed="false">
      <c r="F226" s="37"/>
      <c r="H226" s="37"/>
    </row>
    <row r="227" customFormat="false" ht="15.75" hidden="false" customHeight="false" outlineLevel="0" collapsed="false">
      <c r="F227" s="37"/>
      <c r="H227" s="37"/>
    </row>
    <row r="228" customFormat="false" ht="15.75" hidden="false" customHeight="false" outlineLevel="0" collapsed="false">
      <c r="F228" s="37"/>
      <c r="H228" s="37"/>
    </row>
    <row r="229" customFormat="false" ht="15.75" hidden="false" customHeight="false" outlineLevel="0" collapsed="false">
      <c r="F229" s="37"/>
      <c r="H229" s="37"/>
    </row>
    <row r="230" customFormat="false" ht="15.75" hidden="false" customHeight="false" outlineLevel="0" collapsed="false">
      <c r="F230" s="37"/>
      <c r="H230" s="37"/>
    </row>
    <row r="231" customFormat="false" ht="15.75" hidden="false" customHeight="false" outlineLevel="0" collapsed="false">
      <c r="F231" s="37"/>
      <c r="H231" s="37"/>
    </row>
    <row r="232" customFormat="false" ht="15.75" hidden="false" customHeight="false" outlineLevel="0" collapsed="false">
      <c r="F232" s="37"/>
      <c r="H232" s="37"/>
    </row>
    <row r="233" customFormat="false" ht="15.75" hidden="false" customHeight="false" outlineLevel="0" collapsed="false">
      <c r="F233" s="37"/>
      <c r="H233" s="37"/>
    </row>
    <row r="234" customFormat="false" ht="15.75" hidden="false" customHeight="false" outlineLevel="0" collapsed="false">
      <c r="F234" s="37"/>
      <c r="H234" s="37"/>
    </row>
    <row r="235" customFormat="false" ht="15.75" hidden="false" customHeight="false" outlineLevel="0" collapsed="false">
      <c r="F235" s="37"/>
      <c r="H235" s="37"/>
    </row>
    <row r="236" customFormat="false" ht="15.75" hidden="false" customHeight="false" outlineLevel="0" collapsed="false">
      <c r="F236" s="37"/>
      <c r="H236" s="37"/>
    </row>
    <row r="237" customFormat="false" ht="15.75" hidden="false" customHeight="false" outlineLevel="0" collapsed="false">
      <c r="F237" s="37"/>
      <c r="H237" s="37"/>
    </row>
    <row r="238" customFormat="false" ht="15.75" hidden="false" customHeight="false" outlineLevel="0" collapsed="false">
      <c r="F238" s="37"/>
      <c r="H238" s="37"/>
    </row>
    <row r="239" customFormat="false" ht="15.75" hidden="false" customHeight="false" outlineLevel="0" collapsed="false">
      <c r="F239" s="37"/>
      <c r="H239" s="37"/>
    </row>
    <row r="240" customFormat="false" ht="15.75" hidden="false" customHeight="false" outlineLevel="0" collapsed="false">
      <c r="F240" s="37"/>
      <c r="H240" s="37"/>
    </row>
    <row r="241" customFormat="false" ht="15.75" hidden="false" customHeight="false" outlineLevel="0" collapsed="false">
      <c r="F241" s="37"/>
      <c r="H241" s="37"/>
    </row>
    <row r="242" customFormat="false" ht="15.75" hidden="false" customHeight="false" outlineLevel="0" collapsed="false">
      <c r="F242" s="37"/>
      <c r="H242" s="37"/>
    </row>
    <row r="243" customFormat="false" ht="15.75" hidden="false" customHeight="false" outlineLevel="0" collapsed="false">
      <c r="F243" s="37"/>
      <c r="H243" s="37"/>
    </row>
    <row r="244" customFormat="false" ht="15.75" hidden="false" customHeight="false" outlineLevel="0" collapsed="false">
      <c r="F244" s="37"/>
      <c r="H244" s="37"/>
    </row>
    <row r="245" customFormat="false" ht="15.75" hidden="false" customHeight="false" outlineLevel="0" collapsed="false">
      <c r="F245" s="37"/>
      <c r="H245" s="37"/>
    </row>
    <row r="246" customFormat="false" ht="15.75" hidden="false" customHeight="false" outlineLevel="0" collapsed="false">
      <c r="F246" s="37"/>
      <c r="H246" s="37"/>
    </row>
    <row r="247" customFormat="false" ht="15.75" hidden="false" customHeight="false" outlineLevel="0" collapsed="false">
      <c r="F247" s="37"/>
      <c r="H247" s="37"/>
    </row>
    <row r="248" customFormat="false" ht="15.75" hidden="false" customHeight="false" outlineLevel="0" collapsed="false">
      <c r="F248" s="37"/>
      <c r="H248" s="37"/>
    </row>
    <row r="249" customFormat="false" ht="15.75" hidden="false" customHeight="false" outlineLevel="0" collapsed="false">
      <c r="F249" s="37"/>
      <c r="H249" s="37"/>
    </row>
    <row r="250" customFormat="false" ht="15.75" hidden="false" customHeight="false" outlineLevel="0" collapsed="false">
      <c r="F250" s="37"/>
      <c r="H250" s="37"/>
    </row>
    <row r="251" customFormat="false" ht="15.75" hidden="false" customHeight="false" outlineLevel="0" collapsed="false">
      <c r="F251" s="37"/>
      <c r="H251" s="37"/>
    </row>
    <row r="252" customFormat="false" ht="15.75" hidden="false" customHeight="false" outlineLevel="0" collapsed="false">
      <c r="F252" s="37"/>
      <c r="H252" s="37"/>
    </row>
    <row r="253" customFormat="false" ht="15.75" hidden="false" customHeight="false" outlineLevel="0" collapsed="false">
      <c r="F253" s="37"/>
      <c r="H253" s="37"/>
    </row>
    <row r="254" customFormat="false" ht="15.75" hidden="false" customHeight="false" outlineLevel="0" collapsed="false">
      <c r="F254" s="37"/>
      <c r="H254" s="37"/>
    </row>
    <row r="255" customFormat="false" ht="15.75" hidden="false" customHeight="false" outlineLevel="0" collapsed="false">
      <c r="F255" s="37"/>
      <c r="H255" s="37"/>
    </row>
    <row r="256" customFormat="false" ht="15.75" hidden="false" customHeight="false" outlineLevel="0" collapsed="false">
      <c r="F256" s="37"/>
      <c r="H256" s="37"/>
    </row>
    <row r="257" customFormat="false" ht="15.75" hidden="false" customHeight="false" outlineLevel="0" collapsed="false">
      <c r="F257" s="37"/>
      <c r="H257" s="37"/>
    </row>
    <row r="258" customFormat="false" ht="15.75" hidden="false" customHeight="false" outlineLevel="0" collapsed="false">
      <c r="F258" s="37"/>
      <c r="H258" s="37"/>
    </row>
    <row r="259" customFormat="false" ht="15.75" hidden="false" customHeight="false" outlineLevel="0" collapsed="false">
      <c r="F259" s="37"/>
      <c r="H259" s="37"/>
    </row>
    <row r="260" customFormat="false" ht="15.75" hidden="false" customHeight="false" outlineLevel="0" collapsed="false">
      <c r="F260" s="37"/>
      <c r="H260" s="37"/>
    </row>
    <row r="261" customFormat="false" ht="15.75" hidden="false" customHeight="false" outlineLevel="0" collapsed="false">
      <c r="F261" s="37"/>
      <c r="H261" s="37"/>
    </row>
    <row r="262" customFormat="false" ht="15.75" hidden="false" customHeight="false" outlineLevel="0" collapsed="false">
      <c r="F262" s="37"/>
      <c r="H262" s="37"/>
    </row>
    <row r="263" customFormat="false" ht="15.75" hidden="false" customHeight="false" outlineLevel="0" collapsed="false">
      <c r="F263" s="37"/>
      <c r="H263" s="37"/>
    </row>
    <row r="264" customFormat="false" ht="15.75" hidden="false" customHeight="false" outlineLevel="0" collapsed="false">
      <c r="F264" s="37"/>
      <c r="H264" s="37"/>
    </row>
    <row r="265" customFormat="false" ht="15.75" hidden="false" customHeight="false" outlineLevel="0" collapsed="false">
      <c r="F265" s="37"/>
      <c r="H265" s="37"/>
    </row>
    <row r="266" customFormat="false" ht="15.75" hidden="false" customHeight="false" outlineLevel="0" collapsed="false">
      <c r="F266" s="37"/>
      <c r="H266" s="37"/>
    </row>
    <row r="267" customFormat="false" ht="15.75" hidden="false" customHeight="false" outlineLevel="0" collapsed="false">
      <c r="F267" s="37"/>
      <c r="H267" s="37"/>
    </row>
    <row r="268" customFormat="false" ht="15.75" hidden="false" customHeight="false" outlineLevel="0" collapsed="false">
      <c r="F268" s="37"/>
      <c r="H268" s="37"/>
    </row>
    <row r="269" customFormat="false" ht="15.75" hidden="false" customHeight="false" outlineLevel="0" collapsed="false">
      <c r="F269" s="37"/>
      <c r="H269" s="37"/>
    </row>
    <row r="270" customFormat="false" ht="15.75" hidden="false" customHeight="false" outlineLevel="0" collapsed="false">
      <c r="F270" s="37"/>
      <c r="H270" s="37"/>
    </row>
    <row r="271" customFormat="false" ht="15.75" hidden="false" customHeight="false" outlineLevel="0" collapsed="false">
      <c r="F271" s="37"/>
      <c r="H271" s="37"/>
    </row>
    <row r="272" customFormat="false" ht="15.75" hidden="false" customHeight="false" outlineLevel="0" collapsed="false">
      <c r="F272" s="37"/>
      <c r="H272" s="37"/>
    </row>
    <row r="273" customFormat="false" ht="15.75" hidden="false" customHeight="false" outlineLevel="0" collapsed="false">
      <c r="F273" s="37"/>
      <c r="H273" s="37"/>
    </row>
    <row r="274" customFormat="false" ht="15.75" hidden="false" customHeight="false" outlineLevel="0" collapsed="false">
      <c r="F274" s="37"/>
      <c r="H274" s="37"/>
    </row>
    <row r="275" customFormat="false" ht="15.75" hidden="false" customHeight="false" outlineLevel="0" collapsed="false">
      <c r="F275" s="37"/>
      <c r="H275" s="37"/>
    </row>
    <row r="276" customFormat="false" ht="15.75" hidden="false" customHeight="false" outlineLevel="0" collapsed="false">
      <c r="F276" s="37"/>
      <c r="H276" s="37"/>
    </row>
    <row r="277" customFormat="false" ht="15.75" hidden="false" customHeight="false" outlineLevel="0" collapsed="false">
      <c r="F277" s="37"/>
      <c r="H277" s="37"/>
    </row>
    <row r="278" customFormat="false" ht="15.75" hidden="false" customHeight="false" outlineLevel="0" collapsed="false">
      <c r="F278" s="37"/>
      <c r="H278" s="37"/>
    </row>
    <row r="279" customFormat="false" ht="15.75" hidden="false" customHeight="false" outlineLevel="0" collapsed="false">
      <c r="F279" s="37"/>
      <c r="H279" s="37"/>
    </row>
    <row r="280" customFormat="false" ht="15.75" hidden="false" customHeight="false" outlineLevel="0" collapsed="false">
      <c r="F280" s="37"/>
      <c r="H280" s="37"/>
    </row>
    <row r="281" customFormat="false" ht="15.75" hidden="false" customHeight="false" outlineLevel="0" collapsed="false">
      <c r="F281" s="37"/>
      <c r="H281" s="37"/>
    </row>
    <row r="282" customFormat="false" ht="15.75" hidden="false" customHeight="false" outlineLevel="0" collapsed="false">
      <c r="F282" s="37"/>
      <c r="H282" s="37"/>
    </row>
    <row r="283" customFormat="false" ht="15.75" hidden="false" customHeight="false" outlineLevel="0" collapsed="false">
      <c r="F283" s="37"/>
      <c r="H283" s="37"/>
    </row>
    <row r="284" customFormat="false" ht="15.75" hidden="false" customHeight="false" outlineLevel="0" collapsed="false">
      <c r="F284" s="37"/>
      <c r="H284" s="37"/>
    </row>
    <row r="285" customFormat="false" ht="15.75" hidden="false" customHeight="false" outlineLevel="0" collapsed="false">
      <c r="F285" s="37"/>
      <c r="H285" s="37"/>
    </row>
    <row r="286" customFormat="false" ht="15.75" hidden="false" customHeight="false" outlineLevel="0" collapsed="false">
      <c r="F286" s="37"/>
      <c r="H286" s="37"/>
    </row>
    <row r="287" customFormat="false" ht="15.75" hidden="false" customHeight="false" outlineLevel="0" collapsed="false">
      <c r="F287" s="37"/>
      <c r="H287" s="37"/>
    </row>
    <row r="288" customFormat="false" ht="15.75" hidden="false" customHeight="false" outlineLevel="0" collapsed="false">
      <c r="F288" s="37"/>
      <c r="H288" s="37"/>
    </row>
    <row r="289" customFormat="false" ht="15.75" hidden="false" customHeight="false" outlineLevel="0" collapsed="false">
      <c r="F289" s="37"/>
      <c r="H289" s="37"/>
    </row>
    <row r="290" customFormat="false" ht="15.75" hidden="false" customHeight="false" outlineLevel="0" collapsed="false">
      <c r="F290" s="37"/>
      <c r="H290" s="37"/>
    </row>
    <row r="291" customFormat="false" ht="15.75" hidden="false" customHeight="false" outlineLevel="0" collapsed="false">
      <c r="F291" s="37"/>
      <c r="H291" s="37"/>
    </row>
    <row r="292" customFormat="false" ht="15.75" hidden="false" customHeight="false" outlineLevel="0" collapsed="false">
      <c r="F292" s="37"/>
      <c r="H292" s="37"/>
    </row>
    <row r="293" customFormat="false" ht="15.75" hidden="false" customHeight="false" outlineLevel="0" collapsed="false">
      <c r="F293" s="37"/>
      <c r="H293" s="37"/>
    </row>
    <row r="294" customFormat="false" ht="15.75" hidden="false" customHeight="false" outlineLevel="0" collapsed="false">
      <c r="F294" s="37"/>
      <c r="H294" s="37"/>
    </row>
    <row r="295" customFormat="false" ht="15.75" hidden="false" customHeight="false" outlineLevel="0" collapsed="false">
      <c r="F295" s="37"/>
      <c r="H295" s="37"/>
    </row>
    <row r="296" customFormat="false" ht="15.75" hidden="false" customHeight="false" outlineLevel="0" collapsed="false">
      <c r="F296" s="37"/>
      <c r="H296" s="37"/>
    </row>
    <row r="297" customFormat="false" ht="15.75" hidden="false" customHeight="false" outlineLevel="0" collapsed="false">
      <c r="F297" s="37"/>
      <c r="H297" s="37"/>
    </row>
    <row r="298" customFormat="false" ht="15.75" hidden="false" customHeight="false" outlineLevel="0" collapsed="false">
      <c r="F298" s="37"/>
      <c r="H298" s="37"/>
    </row>
    <row r="299" customFormat="false" ht="15.75" hidden="false" customHeight="false" outlineLevel="0" collapsed="false">
      <c r="F299" s="37"/>
      <c r="H299" s="37"/>
    </row>
    <row r="300" customFormat="false" ht="15.75" hidden="false" customHeight="false" outlineLevel="0" collapsed="false">
      <c r="F300" s="37"/>
      <c r="H300" s="37"/>
    </row>
    <row r="301" customFormat="false" ht="15.75" hidden="false" customHeight="false" outlineLevel="0" collapsed="false">
      <c r="F301" s="37"/>
      <c r="H301" s="37"/>
    </row>
    <row r="302" customFormat="false" ht="15.75" hidden="false" customHeight="false" outlineLevel="0" collapsed="false">
      <c r="F302" s="37"/>
      <c r="H302" s="37"/>
    </row>
    <row r="303" customFormat="false" ht="15.75" hidden="false" customHeight="false" outlineLevel="0" collapsed="false">
      <c r="F303" s="37"/>
      <c r="H303" s="37"/>
    </row>
    <row r="304" customFormat="false" ht="15.75" hidden="false" customHeight="false" outlineLevel="0" collapsed="false">
      <c r="F304" s="37"/>
      <c r="H304" s="37"/>
    </row>
    <row r="305" customFormat="false" ht="15.75" hidden="false" customHeight="false" outlineLevel="0" collapsed="false">
      <c r="F305" s="37"/>
      <c r="H305" s="37"/>
    </row>
    <row r="306" customFormat="false" ht="15.75" hidden="false" customHeight="false" outlineLevel="0" collapsed="false">
      <c r="F306" s="37"/>
      <c r="H306" s="37"/>
    </row>
    <row r="307" customFormat="false" ht="15.75" hidden="false" customHeight="false" outlineLevel="0" collapsed="false">
      <c r="F307" s="37"/>
      <c r="H307" s="37"/>
    </row>
    <row r="308" customFormat="false" ht="15.75" hidden="false" customHeight="false" outlineLevel="0" collapsed="false">
      <c r="F308" s="37"/>
      <c r="H308" s="37"/>
    </row>
    <row r="309" customFormat="false" ht="15.75" hidden="false" customHeight="false" outlineLevel="0" collapsed="false">
      <c r="F309" s="37"/>
      <c r="H309" s="37"/>
    </row>
    <row r="310" customFormat="false" ht="15.75" hidden="false" customHeight="false" outlineLevel="0" collapsed="false">
      <c r="F310" s="37"/>
      <c r="H310" s="37"/>
    </row>
    <row r="311" customFormat="false" ht="15.75" hidden="false" customHeight="false" outlineLevel="0" collapsed="false">
      <c r="F311" s="37"/>
      <c r="H311" s="37"/>
    </row>
    <row r="312" customFormat="false" ht="15.75" hidden="false" customHeight="false" outlineLevel="0" collapsed="false">
      <c r="F312" s="37"/>
      <c r="H312" s="37"/>
    </row>
    <row r="313" customFormat="false" ht="15.75" hidden="false" customHeight="false" outlineLevel="0" collapsed="false">
      <c r="F313" s="37"/>
      <c r="H313" s="37"/>
    </row>
    <row r="314" customFormat="false" ht="15.75" hidden="false" customHeight="false" outlineLevel="0" collapsed="false">
      <c r="F314" s="37"/>
      <c r="H314" s="37"/>
    </row>
    <row r="315" customFormat="false" ht="15.75" hidden="false" customHeight="false" outlineLevel="0" collapsed="false">
      <c r="F315" s="37"/>
      <c r="H315" s="37"/>
    </row>
    <row r="316" customFormat="false" ht="15.75" hidden="false" customHeight="false" outlineLevel="0" collapsed="false">
      <c r="F316" s="37"/>
      <c r="H316" s="37"/>
    </row>
    <row r="317" customFormat="false" ht="15.75" hidden="false" customHeight="false" outlineLevel="0" collapsed="false">
      <c r="F317" s="37"/>
      <c r="H317" s="37"/>
    </row>
    <row r="318" customFormat="false" ht="15.75" hidden="false" customHeight="false" outlineLevel="0" collapsed="false">
      <c r="F318" s="37"/>
      <c r="H318" s="37"/>
    </row>
    <row r="319" customFormat="false" ht="15.75" hidden="false" customHeight="false" outlineLevel="0" collapsed="false">
      <c r="F319" s="37"/>
      <c r="H319" s="37"/>
    </row>
    <row r="320" customFormat="false" ht="15.75" hidden="false" customHeight="false" outlineLevel="0" collapsed="false">
      <c r="F320" s="37"/>
      <c r="H320" s="37"/>
    </row>
    <row r="321" customFormat="false" ht="15.75" hidden="false" customHeight="false" outlineLevel="0" collapsed="false">
      <c r="F321" s="37"/>
      <c r="H321" s="37"/>
    </row>
    <row r="322" customFormat="false" ht="15.75" hidden="false" customHeight="false" outlineLevel="0" collapsed="false">
      <c r="F322" s="37"/>
      <c r="H322" s="37"/>
    </row>
    <row r="323" customFormat="false" ht="15.75" hidden="false" customHeight="false" outlineLevel="0" collapsed="false">
      <c r="F323" s="37"/>
      <c r="H323" s="37"/>
    </row>
    <row r="324" customFormat="false" ht="15.75" hidden="false" customHeight="false" outlineLevel="0" collapsed="false">
      <c r="F324" s="37"/>
      <c r="H324" s="37"/>
    </row>
    <row r="325" customFormat="false" ht="15.75" hidden="false" customHeight="false" outlineLevel="0" collapsed="false">
      <c r="F325" s="37"/>
      <c r="H325" s="37"/>
    </row>
    <row r="326" customFormat="false" ht="15.75" hidden="false" customHeight="false" outlineLevel="0" collapsed="false">
      <c r="F326" s="37"/>
      <c r="H326" s="37"/>
    </row>
    <row r="327" customFormat="false" ht="15.75" hidden="false" customHeight="false" outlineLevel="0" collapsed="false">
      <c r="F327" s="37"/>
      <c r="H327" s="37"/>
    </row>
    <row r="328" customFormat="false" ht="15.75" hidden="false" customHeight="false" outlineLevel="0" collapsed="false">
      <c r="F328" s="37"/>
      <c r="H328" s="37"/>
    </row>
    <row r="329" customFormat="false" ht="15.75" hidden="false" customHeight="false" outlineLevel="0" collapsed="false">
      <c r="F329" s="37"/>
      <c r="H329" s="37"/>
    </row>
    <row r="330" customFormat="false" ht="15.75" hidden="false" customHeight="false" outlineLevel="0" collapsed="false">
      <c r="F330" s="37"/>
      <c r="H330" s="37"/>
    </row>
    <row r="331" customFormat="false" ht="15.75" hidden="false" customHeight="false" outlineLevel="0" collapsed="false">
      <c r="F331" s="37"/>
      <c r="H331" s="37"/>
    </row>
    <row r="332" customFormat="false" ht="15.75" hidden="false" customHeight="false" outlineLevel="0" collapsed="false">
      <c r="F332" s="37"/>
      <c r="H332" s="37"/>
    </row>
    <row r="333" customFormat="false" ht="15.75" hidden="false" customHeight="false" outlineLevel="0" collapsed="false">
      <c r="F333" s="37"/>
      <c r="H333" s="37"/>
    </row>
    <row r="334" customFormat="false" ht="15.75" hidden="false" customHeight="false" outlineLevel="0" collapsed="false">
      <c r="F334" s="37"/>
      <c r="H334" s="37"/>
    </row>
    <row r="335" customFormat="false" ht="15.75" hidden="false" customHeight="false" outlineLevel="0" collapsed="false">
      <c r="F335" s="37"/>
      <c r="H335" s="37"/>
    </row>
    <row r="336" customFormat="false" ht="15.75" hidden="false" customHeight="false" outlineLevel="0" collapsed="false">
      <c r="F336" s="37"/>
      <c r="H336" s="37"/>
    </row>
    <row r="337" customFormat="false" ht="15.75" hidden="false" customHeight="false" outlineLevel="0" collapsed="false">
      <c r="F337" s="37"/>
      <c r="H337" s="37"/>
    </row>
    <row r="338" customFormat="false" ht="15.75" hidden="false" customHeight="false" outlineLevel="0" collapsed="false">
      <c r="F338" s="37"/>
      <c r="H338" s="37"/>
    </row>
    <row r="339" customFormat="false" ht="15.75" hidden="false" customHeight="false" outlineLevel="0" collapsed="false">
      <c r="F339" s="37"/>
      <c r="H339" s="37"/>
    </row>
    <row r="340" customFormat="false" ht="15.75" hidden="false" customHeight="false" outlineLevel="0" collapsed="false">
      <c r="F340" s="37"/>
      <c r="H340" s="37"/>
    </row>
    <row r="341" customFormat="false" ht="15.75" hidden="false" customHeight="false" outlineLevel="0" collapsed="false">
      <c r="F341" s="37"/>
      <c r="H341" s="37"/>
    </row>
    <row r="342" customFormat="false" ht="15.75" hidden="false" customHeight="false" outlineLevel="0" collapsed="false">
      <c r="F342" s="37"/>
      <c r="H342" s="37"/>
    </row>
    <row r="343" customFormat="false" ht="15.75" hidden="false" customHeight="false" outlineLevel="0" collapsed="false">
      <c r="F343" s="37"/>
      <c r="H343" s="37"/>
    </row>
    <row r="344" customFormat="false" ht="15.75" hidden="false" customHeight="false" outlineLevel="0" collapsed="false">
      <c r="F344" s="37"/>
      <c r="H344" s="37"/>
    </row>
    <row r="345" customFormat="false" ht="15.75" hidden="false" customHeight="false" outlineLevel="0" collapsed="false">
      <c r="F345" s="37"/>
      <c r="H345" s="37"/>
    </row>
    <row r="346" customFormat="false" ht="15.75" hidden="false" customHeight="false" outlineLevel="0" collapsed="false">
      <c r="F346" s="37"/>
      <c r="H346" s="37"/>
    </row>
    <row r="347" customFormat="false" ht="15.75" hidden="false" customHeight="false" outlineLevel="0" collapsed="false">
      <c r="F347" s="37"/>
      <c r="H347" s="37"/>
    </row>
    <row r="348" customFormat="false" ht="15.75" hidden="false" customHeight="false" outlineLevel="0" collapsed="false">
      <c r="F348" s="37"/>
      <c r="H348" s="37"/>
    </row>
    <row r="349" customFormat="false" ht="15.75" hidden="false" customHeight="false" outlineLevel="0" collapsed="false">
      <c r="F349" s="37"/>
      <c r="H349" s="37"/>
    </row>
    <row r="350" customFormat="false" ht="15.75" hidden="false" customHeight="false" outlineLevel="0" collapsed="false">
      <c r="F350" s="37"/>
      <c r="H350" s="37"/>
    </row>
    <row r="351" customFormat="false" ht="15.75" hidden="false" customHeight="false" outlineLevel="0" collapsed="false">
      <c r="F351" s="37"/>
      <c r="H351" s="37"/>
    </row>
    <row r="352" customFormat="false" ht="15.75" hidden="false" customHeight="false" outlineLevel="0" collapsed="false">
      <c r="F352" s="37"/>
      <c r="H352" s="37"/>
    </row>
    <row r="353" customFormat="false" ht="15.75" hidden="false" customHeight="false" outlineLevel="0" collapsed="false">
      <c r="F353" s="37"/>
      <c r="H353" s="37"/>
    </row>
    <row r="354" customFormat="false" ht="15.75" hidden="false" customHeight="false" outlineLevel="0" collapsed="false">
      <c r="F354" s="37"/>
      <c r="H354" s="37"/>
    </row>
    <row r="355" customFormat="false" ht="15.75" hidden="false" customHeight="false" outlineLevel="0" collapsed="false">
      <c r="F355" s="37"/>
      <c r="H355" s="37"/>
    </row>
    <row r="356" customFormat="false" ht="15.75" hidden="false" customHeight="false" outlineLevel="0" collapsed="false">
      <c r="F356" s="37"/>
      <c r="H356" s="37"/>
    </row>
    <row r="357" customFormat="false" ht="15.75" hidden="false" customHeight="false" outlineLevel="0" collapsed="false">
      <c r="F357" s="37"/>
      <c r="H357" s="37"/>
    </row>
    <row r="358" customFormat="false" ht="15.75" hidden="false" customHeight="false" outlineLevel="0" collapsed="false">
      <c r="F358" s="37"/>
      <c r="H358" s="37"/>
    </row>
    <row r="359" customFormat="false" ht="15.75" hidden="false" customHeight="false" outlineLevel="0" collapsed="false">
      <c r="F359" s="37"/>
      <c r="H359" s="37"/>
    </row>
    <row r="360" customFormat="false" ht="15.75" hidden="false" customHeight="false" outlineLevel="0" collapsed="false">
      <c r="F360" s="37"/>
      <c r="H360" s="37"/>
    </row>
    <row r="361" customFormat="false" ht="15.75" hidden="false" customHeight="false" outlineLevel="0" collapsed="false">
      <c r="F361" s="37"/>
      <c r="H361" s="37"/>
    </row>
    <row r="362" customFormat="false" ht="15.75" hidden="false" customHeight="false" outlineLevel="0" collapsed="false">
      <c r="F362" s="37"/>
      <c r="H362" s="37"/>
    </row>
    <row r="363" customFormat="false" ht="15.75" hidden="false" customHeight="false" outlineLevel="0" collapsed="false">
      <c r="F363" s="37"/>
      <c r="H363" s="37"/>
    </row>
    <row r="364" customFormat="false" ht="15.75" hidden="false" customHeight="false" outlineLevel="0" collapsed="false">
      <c r="F364" s="37"/>
      <c r="H364" s="37"/>
    </row>
    <row r="365" customFormat="false" ht="15.75" hidden="false" customHeight="false" outlineLevel="0" collapsed="false">
      <c r="F365" s="37"/>
      <c r="H365" s="37"/>
    </row>
    <row r="366" customFormat="false" ht="15.75" hidden="false" customHeight="false" outlineLevel="0" collapsed="false">
      <c r="F366" s="37"/>
      <c r="H366" s="37"/>
    </row>
    <row r="367" customFormat="false" ht="15.75" hidden="false" customHeight="false" outlineLevel="0" collapsed="false">
      <c r="F367" s="37"/>
      <c r="H367" s="37"/>
    </row>
    <row r="368" customFormat="false" ht="15.75" hidden="false" customHeight="false" outlineLevel="0" collapsed="false">
      <c r="F368" s="37"/>
      <c r="H368" s="37"/>
    </row>
    <row r="369" customFormat="false" ht="15.75" hidden="false" customHeight="false" outlineLevel="0" collapsed="false">
      <c r="F369" s="37"/>
      <c r="H369" s="37"/>
    </row>
    <row r="370" customFormat="false" ht="15.75" hidden="false" customHeight="false" outlineLevel="0" collapsed="false">
      <c r="F370" s="37"/>
      <c r="H370" s="37"/>
    </row>
    <row r="371" customFormat="false" ht="15.75" hidden="false" customHeight="false" outlineLevel="0" collapsed="false">
      <c r="F371" s="37"/>
      <c r="H371" s="37"/>
    </row>
    <row r="372" customFormat="false" ht="15.75" hidden="false" customHeight="false" outlineLevel="0" collapsed="false">
      <c r="F372" s="37"/>
      <c r="H372" s="37"/>
    </row>
    <row r="373" customFormat="false" ht="15.75" hidden="false" customHeight="false" outlineLevel="0" collapsed="false">
      <c r="F373" s="37"/>
      <c r="H373" s="37"/>
    </row>
    <row r="374" customFormat="false" ht="15.75" hidden="false" customHeight="false" outlineLevel="0" collapsed="false">
      <c r="F374" s="37"/>
      <c r="H374" s="37"/>
    </row>
    <row r="375" customFormat="false" ht="15.75" hidden="false" customHeight="false" outlineLevel="0" collapsed="false">
      <c r="F375" s="37"/>
      <c r="H375" s="37"/>
    </row>
    <row r="376" customFormat="false" ht="15.75" hidden="false" customHeight="false" outlineLevel="0" collapsed="false">
      <c r="F376" s="37"/>
      <c r="H376" s="37"/>
    </row>
    <row r="377" customFormat="false" ht="15.75" hidden="false" customHeight="false" outlineLevel="0" collapsed="false">
      <c r="F377" s="37"/>
      <c r="H377" s="37"/>
    </row>
    <row r="378" customFormat="false" ht="15.75" hidden="false" customHeight="false" outlineLevel="0" collapsed="false">
      <c r="F378" s="37"/>
      <c r="H378" s="37"/>
    </row>
    <row r="379" customFormat="false" ht="15.75" hidden="false" customHeight="false" outlineLevel="0" collapsed="false">
      <c r="F379" s="37"/>
      <c r="H379" s="37"/>
    </row>
    <row r="380" customFormat="false" ht="15.75" hidden="false" customHeight="false" outlineLevel="0" collapsed="false">
      <c r="F380" s="37"/>
      <c r="H380" s="37"/>
    </row>
    <row r="381" customFormat="false" ht="15.75" hidden="false" customHeight="false" outlineLevel="0" collapsed="false">
      <c r="F381" s="37"/>
      <c r="H381" s="37"/>
    </row>
    <row r="382" customFormat="false" ht="15.75" hidden="false" customHeight="false" outlineLevel="0" collapsed="false">
      <c r="F382" s="37"/>
      <c r="H382" s="37"/>
    </row>
    <row r="383" customFormat="false" ht="15.75" hidden="false" customHeight="false" outlineLevel="0" collapsed="false">
      <c r="F383" s="37"/>
      <c r="H383" s="37"/>
    </row>
    <row r="384" customFormat="false" ht="15.75" hidden="false" customHeight="false" outlineLevel="0" collapsed="false">
      <c r="F384" s="37"/>
      <c r="H384" s="37"/>
    </row>
    <row r="385" customFormat="false" ht="15.75" hidden="false" customHeight="false" outlineLevel="0" collapsed="false">
      <c r="F385" s="37"/>
      <c r="H385" s="37"/>
    </row>
    <row r="386" customFormat="false" ht="15.75" hidden="false" customHeight="false" outlineLevel="0" collapsed="false">
      <c r="F386" s="37"/>
      <c r="H386" s="37"/>
    </row>
    <row r="387" customFormat="false" ht="15.75" hidden="false" customHeight="false" outlineLevel="0" collapsed="false">
      <c r="F387" s="37"/>
      <c r="H387" s="37"/>
    </row>
    <row r="388" customFormat="false" ht="15.75" hidden="false" customHeight="false" outlineLevel="0" collapsed="false">
      <c r="F388" s="37"/>
      <c r="H388" s="37"/>
    </row>
    <row r="389" customFormat="false" ht="15.75" hidden="false" customHeight="false" outlineLevel="0" collapsed="false">
      <c r="F389" s="37"/>
      <c r="H389" s="37"/>
    </row>
    <row r="390" customFormat="false" ht="15.75" hidden="false" customHeight="false" outlineLevel="0" collapsed="false">
      <c r="F390" s="37"/>
      <c r="H390" s="37"/>
    </row>
    <row r="391" customFormat="false" ht="15.75" hidden="false" customHeight="false" outlineLevel="0" collapsed="false">
      <c r="F391" s="37"/>
      <c r="H391" s="37"/>
    </row>
    <row r="392" customFormat="false" ht="15.75" hidden="false" customHeight="false" outlineLevel="0" collapsed="false">
      <c r="F392" s="37"/>
      <c r="H392" s="37"/>
    </row>
    <row r="393" customFormat="false" ht="15.75" hidden="false" customHeight="false" outlineLevel="0" collapsed="false">
      <c r="F393" s="37"/>
      <c r="H393" s="37"/>
    </row>
    <row r="394" customFormat="false" ht="15.75" hidden="false" customHeight="false" outlineLevel="0" collapsed="false">
      <c r="F394" s="37"/>
      <c r="H394" s="37"/>
    </row>
    <row r="395" customFormat="false" ht="15.75" hidden="false" customHeight="false" outlineLevel="0" collapsed="false">
      <c r="F395" s="37"/>
      <c r="H395" s="37"/>
    </row>
    <row r="396" customFormat="false" ht="15.75" hidden="false" customHeight="false" outlineLevel="0" collapsed="false">
      <c r="F396" s="37"/>
      <c r="H396" s="37"/>
    </row>
    <row r="397" customFormat="false" ht="15.75" hidden="false" customHeight="false" outlineLevel="0" collapsed="false">
      <c r="F397" s="37"/>
      <c r="H397" s="37"/>
    </row>
    <row r="398" customFormat="false" ht="15.75" hidden="false" customHeight="false" outlineLevel="0" collapsed="false">
      <c r="F398" s="37"/>
      <c r="H398" s="37"/>
    </row>
    <row r="399" customFormat="false" ht="15.75" hidden="false" customHeight="false" outlineLevel="0" collapsed="false">
      <c r="F399" s="37"/>
      <c r="H399" s="37"/>
    </row>
    <row r="400" customFormat="false" ht="15.75" hidden="false" customHeight="false" outlineLevel="0" collapsed="false">
      <c r="F400" s="37"/>
      <c r="H400" s="37"/>
    </row>
    <row r="401" customFormat="false" ht="15.75" hidden="false" customHeight="false" outlineLevel="0" collapsed="false">
      <c r="F401" s="37"/>
      <c r="H401" s="37"/>
    </row>
    <row r="402" customFormat="false" ht="15.75" hidden="false" customHeight="false" outlineLevel="0" collapsed="false">
      <c r="F402" s="37"/>
      <c r="H402" s="37"/>
    </row>
    <row r="403" customFormat="false" ht="15.75" hidden="false" customHeight="false" outlineLevel="0" collapsed="false">
      <c r="F403" s="37"/>
      <c r="H403" s="37"/>
    </row>
    <row r="404" customFormat="false" ht="15.75" hidden="false" customHeight="false" outlineLevel="0" collapsed="false">
      <c r="F404" s="37"/>
      <c r="H404" s="37"/>
    </row>
    <row r="405" customFormat="false" ht="15.75" hidden="false" customHeight="false" outlineLevel="0" collapsed="false">
      <c r="F405" s="37"/>
      <c r="H405" s="37"/>
    </row>
    <row r="406" customFormat="false" ht="15.75" hidden="false" customHeight="false" outlineLevel="0" collapsed="false">
      <c r="F406" s="37"/>
      <c r="H406" s="37"/>
    </row>
    <row r="407" customFormat="false" ht="15.75" hidden="false" customHeight="false" outlineLevel="0" collapsed="false">
      <c r="F407" s="37"/>
      <c r="H407" s="37"/>
    </row>
    <row r="408" customFormat="false" ht="15.75" hidden="false" customHeight="false" outlineLevel="0" collapsed="false">
      <c r="F408" s="37"/>
      <c r="H408" s="37"/>
    </row>
    <row r="409" customFormat="false" ht="15.75" hidden="false" customHeight="false" outlineLevel="0" collapsed="false">
      <c r="F409" s="37"/>
      <c r="H409" s="37"/>
    </row>
    <row r="410" customFormat="false" ht="15.75" hidden="false" customHeight="false" outlineLevel="0" collapsed="false">
      <c r="F410" s="37"/>
      <c r="H410" s="37"/>
    </row>
    <row r="411" customFormat="false" ht="15.75" hidden="false" customHeight="false" outlineLevel="0" collapsed="false">
      <c r="F411" s="37"/>
      <c r="H411" s="37"/>
    </row>
    <row r="412" customFormat="false" ht="15.75" hidden="false" customHeight="false" outlineLevel="0" collapsed="false">
      <c r="F412" s="37"/>
      <c r="H412" s="37"/>
    </row>
    <row r="413" customFormat="false" ht="15.75" hidden="false" customHeight="false" outlineLevel="0" collapsed="false">
      <c r="F413" s="37"/>
      <c r="H413" s="37"/>
    </row>
    <row r="414" customFormat="false" ht="15.75" hidden="false" customHeight="false" outlineLevel="0" collapsed="false">
      <c r="F414" s="37"/>
      <c r="H414" s="37"/>
    </row>
    <row r="415" customFormat="false" ht="15.75" hidden="false" customHeight="false" outlineLevel="0" collapsed="false">
      <c r="F415" s="37"/>
      <c r="H415" s="37"/>
    </row>
    <row r="416" customFormat="false" ht="15.75" hidden="false" customHeight="false" outlineLevel="0" collapsed="false">
      <c r="F416" s="37"/>
      <c r="H416" s="37"/>
    </row>
    <row r="417" customFormat="false" ht="15.75" hidden="false" customHeight="false" outlineLevel="0" collapsed="false">
      <c r="F417" s="37"/>
      <c r="H417" s="37"/>
    </row>
    <row r="418" customFormat="false" ht="15.75" hidden="false" customHeight="false" outlineLevel="0" collapsed="false">
      <c r="F418" s="37"/>
      <c r="H418" s="37"/>
    </row>
    <row r="419" customFormat="false" ht="15.75" hidden="false" customHeight="false" outlineLevel="0" collapsed="false">
      <c r="F419" s="37"/>
      <c r="H419" s="37"/>
    </row>
    <row r="420" customFormat="false" ht="15.75" hidden="false" customHeight="false" outlineLevel="0" collapsed="false">
      <c r="F420" s="37"/>
      <c r="H420" s="37"/>
    </row>
    <row r="421" customFormat="false" ht="15.75" hidden="false" customHeight="false" outlineLevel="0" collapsed="false">
      <c r="F421" s="37"/>
      <c r="H421" s="37"/>
    </row>
    <row r="422" customFormat="false" ht="15.75" hidden="false" customHeight="false" outlineLevel="0" collapsed="false">
      <c r="F422" s="37"/>
      <c r="H422" s="37"/>
    </row>
    <row r="423" customFormat="false" ht="15.75" hidden="false" customHeight="false" outlineLevel="0" collapsed="false">
      <c r="F423" s="37"/>
      <c r="H423" s="37"/>
    </row>
    <row r="424" customFormat="false" ht="15.75" hidden="false" customHeight="false" outlineLevel="0" collapsed="false">
      <c r="F424" s="37"/>
      <c r="H424" s="37"/>
    </row>
    <row r="425" customFormat="false" ht="15.75" hidden="false" customHeight="false" outlineLevel="0" collapsed="false">
      <c r="F425" s="37"/>
      <c r="H425" s="37"/>
    </row>
    <row r="426" customFormat="false" ht="15.75" hidden="false" customHeight="false" outlineLevel="0" collapsed="false">
      <c r="F426" s="37"/>
      <c r="H426" s="37"/>
    </row>
    <row r="427" customFormat="false" ht="15.75" hidden="false" customHeight="false" outlineLevel="0" collapsed="false">
      <c r="F427" s="37"/>
      <c r="H427" s="37"/>
    </row>
    <row r="428" customFormat="false" ht="15.75" hidden="false" customHeight="false" outlineLevel="0" collapsed="false">
      <c r="F428" s="37"/>
      <c r="H428" s="37"/>
    </row>
    <row r="429" customFormat="false" ht="15.75" hidden="false" customHeight="false" outlineLevel="0" collapsed="false">
      <c r="F429" s="37"/>
      <c r="H429" s="37"/>
    </row>
    <row r="430" customFormat="false" ht="15.75" hidden="false" customHeight="false" outlineLevel="0" collapsed="false">
      <c r="F430" s="37"/>
      <c r="H430" s="37"/>
    </row>
    <row r="431" customFormat="false" ht="15.75" hidden="false" customHeight="false" outlineLevel="0" collapsed="false">
      <c r="F431" s="37"/>
      <c r="H431" s="37"/>
    </row>
    <row r="432" customFormat="false" ht="15.75" hidden="false" customHeight="false" outlineLevel="0" collapsed="false">
      <c r="F432" s="37"/>
      <c r="H432" s="37"/>
    </row>
    <row r="433" customFormat="false" ht="15.75" hidden="false" customHeight="false" outlineLevel="0" collapsed="false">
      <c r="F433" s="37"/>
      <c r="H433" s="37"/>
    </row>
    <row r="434" customFormat="false" ht="15.75" hidden="false" customHeight="false" outlineLevel="0" collapsed="false">
      <c r="F434" s="37"/>
      <c r="H434" s="37"/>
    </row>
    <row r="435" customFormat="false" ht="15.75" hidden="false" customHeight="false" outlineLevel="0" collapsed="false">
      <c r="F435" s="37"/>
      <c r="H435" s="37"/>
    </row>
    <row r="436" customFormat="false" ht="15.75" hidden="false" customHeight="false" outlineLevel="0" collapsed="false">
      <c r="F436" s="37"/>
      <c r="H436" s="37"/>
    </row>
    <row r="437" customFormat="false" ht="15.75" hidden="false" customHeight="false" outlineLevel="0" collapsed="false">
      <c r="F437" s="37"/>
      <c r="H437" s="37"/>
    </row>
    <row r="438" customFormat="false" ht="15.75" hidden="false" customHeight="false" outlineLevel="0" collapsed="false">
      <c r="F438" s="37"/>
      <c r="H438" s="37"/>
    </row>
    <row r="439" customFormat="false" ht="15.75" hidden="false" customHeight="false" outlineLevel="0" collapsed="false">
      <c r="F439" s="37"/>
      <c r="H439" s="37"/>
    </row>
    <row r="440" customFormat="false" ht="15.75" hidden="false" customHeight="false" outlineLevel="0" collapsed="false">
      <c r="F440" s="37"/>
      <c r="H440" s="37"/>
    </row>
    <row r="441" customFormat="false" ht="15.75" hidden="false" customHeight="false" outlineLevel="0" collapsed="false">
      <c r="F441" s="37"/>
      <c r="H441" s="37"/>
    </row>
    <row r="442" customFormat="false" ht="15.75" hidden="false" customHeight="false" outlineLevel="0" collapsed="false">
      <c r="F442" s="37"/>
      <c r="H442" s="37"/>
    </row>
    <row r="443" customFormat="false" ht="15.75" hidden="false" customHeight="false" outlineLevel="0" collapsed="false">
      <c r="F443" s="37"/>
      <c r="H443" s="37"/>
    </row>
    <row r="444" customFormat="false" ht="15.75" hidden="false" customHeight="false" outlineLevel="0" collapsed="false">
      <c r="F444" s="37"/>
      <c r="H444" s="37"/>
    </row>
    <row r="445" customFormat="false" ht="15.75" hidden="false" customHeight="false" outlineLevel="0" collapsed="false">
      <c r="F445" s="37"/>
      <c r="H445" s="37"/>
    </row>
    <row r="446" customFormat="false" ht="15.75" hidden="false" customHeight="false" outlineLevel="0" collapsed="false">
      <c r="F446" s="37"/>
      <c r="H446" s="37"/>
    </row>
    <row r="447" customFormat="false" ht="15.75" hidden="false" customHeight="false" outlineLevel="0" collapsed="false">
      <c r="F447" s="37"/>
      <c r="H447" s="37"/>
    </row>
    <row r="448" customFormat="false" ht="15.75" hidden="false" customHeight="false" outlineLevel="0" collapsed="false">
      <c r="F448" s="37"/>
      <c r="H448" s="37"/>
    </row>
    <row r="449" customFormat="false" ht="15.75" hidden="false" customHeight="false" outlineLevel="0" collapsed="false">
      <c r="F449" s="37"/>
      <c r="H449" s="37"/>
    </row>
    <row r="450" customFormat="false" ht="15.75" hidden="false" customHeight="false" outlineLevel="0" collapsed="false">
      <c r="F450" s="37"/>
      <c r="H450" s="37"/>
    </row>
    <row r="451" customFormat="false" ht="15.75" hidden="false" customHeight="false" outlineLevel="0" collapsed="false">
      <c r="F451" s="37"/>
      <c r="H451" s="37"/>
    </row>
    <row r="452" customFormat="false" ht="15.75" hidden="false" customHeight="false" outlineLevel="0" collapsed="false">
      <c r="F452" s="37"/>
      <c r="H452" s="37"/>
    </row>
    <row r="453" customFormat="false" ht="15.75" hidden="false" customHeight="false" outlineLevel="0" collapsed="false">
      <c r="F453" s="37"/>
      <c r="H453" s="37"/>
    </row>
    <row r="454" customFormat="false" ht="15.75" hidden="false" customHeight="false" outlineLevel="0" collapsed="false">
      <c r="F454" s="37"/>
      <c r="H454" s="37"/>
    </row>
    <row r="455" customFormat="false" ht="15.75" hidden="false" customHeight="false" outlineLevel="0" collapsed="false">
      <c r="F455" s="37"/>
      <c r="H455" s="37"/>
    </row>
    <row r="456" customFormat="false" ht="15.75" hidden="false" customHeight="false" outlineLevel="0" collapsed="false">
      <c r="F456" s="37"/>
      <c r="H456" s="37"/>
    </row>
    <row r="457" customFormat="false" ht="15.75" hidden="false" customHeight="false" outlineLevel="0" collapsed="false">
      <c r="F457" s="37"/>
      <c r="H457" s="37"/>
    </row>
    <row r="458" customFormat="false" ht="15.75" hidden="false" customHeight="false" outlineLevel="0" collapsed="false">
      <c r="F458" s="37"/>
      <c r="H458" s="37"/>
    </row>
    <row r="459" customFormat="false" ht="15.75" hidden="false" customHeight="false" outlineLevel="0" collapsed="false">
      <c r="F459" s="37"/>
      <c r="H459" s="37"/>
    </row>
    <row r="460" customFormat="false" ht="15.75" hidden="false" customHeight="false" outlineLevel="0" collapsed="false">
      <c r="F460" s="37"/>
      <c r="H460" s="37"/>
    </row>
    <row r="461" customFormat="false" ht="15.75" hidden="false" customHeight="false" outlineLevel="0" collapsed="false">
      <c r="F461" s="37"/>
      <c r="H461" s="37"/>
    </row>
    <row r="462" customFormat="false" ht="15.75" hidden="false" customHeight="false" outlineLevel="0" collapsed="false">
      <c r="F462" s="37"/>
      <c r="H462" s="37"/>
    </row>
    <row r="463" customFormat="false" ht="15.75" hidden="false" customHeight="false" outlineLevel="0" collapsed="false">
      <c r="F463" s="37"/>
      <c r="H463" s="37"/>
    </row>
    <row r="464" customFormat="false" ht="15.75" hidden="false" customHeight="false" outlineLevel="0" collapsed="false">
      <c r="F464" s="37"/>
      <c r="H464" s="37"/>
    </row>
    <row r="465" customFormat="false" ht="15.75" hidden="false" customHeight="false" outlineLevel="0" collapsed="false">
      <c r="F465" s="37"/>
      <c r="H465" s="37"/>
    </row>
    <row r="466" customFormat="false" ht="15.75" hidden="false" customHeight="false" outlineLevel="0" collapsed="false">
      <c r="F466" s="37"/>
      <c r="H466" s="37"/>
    </row>
    <row r="467" customFormat="false" ht="15.75" hidden="false" customHeight="false" outlineLevel="0" collapsed="false">
      <c r="F467" s="37"/>
      <c r="H467" s="37"/>
    </row>
    <row r="468" customFormat="false" ht="15.75" hidden="false" customHeight="false" outlineLevel="0" collapsed="false">
      <c r="F468" s="37"/>
      <c r="H468" s="37"/>
    </row>
    <row r="469" customFormat="false" ht="15.75" hidden="false" customHeight="false" outlineLevel="0" collapsed="false">
      <c r="F469" s="37"/>
      <c r="H469" s="37"/>
    </row>
    <row r="470" customFormat="false" ht="15.75" hidden="false" customHeight="false" outlineLevel="0" collapsed="false">
      <c r="F470" s="37"/>
      <c r="H470" s="37"/>
    </row>
    <row r="471" customFormat="false" ht="15.75" hidden="false" customHeight="false" outlineLevel="0" collapsed="false">
      <c r="F471" s="37"/>
      <c r="H471" s="37"/>
    </row>
    <row r="472" customFormat="false" ht="15.75" hidden="false" customHeight="false" outlineLevel="0" collapsed="false">
      <c r="F472" s="37"/>
      <c r="H472" s="37"/>
    </row>
    <row r="473" customFormat="false" ht="15.75" hidden="false" customHeight="false" outlineLevel="0" collapsed="false">
      <c r="F473" s="37"/>
      <c r="H473" s="37"/>
    </row>
    <row r="474" customFormat="false" ht="15.75" hidden="false" customHeight="false" outlineLevel="0" collapsed="false">
      <c r="F474" s="37"/>
      <c r="H474" s="37"/>
    </row>
    <row r="475" customFormat="false" ht="15.75" hidden="false" customHeight="false" outlineLevel="0" collapsed="false">
      <c r="F475" s="37"/>
      <c r="H475" s="37"/>
    </row>
    <row r="476" customFormat="false" ht="15.75" hidden="false" customHeight="false" outlineLevel="0" collapsed="false">
      <c r="F476" s="37"/>
      <c r="H476" s="37"/>
    </row>
    <row r="477" customFormat="false" ht="15.75" hidden="false" customHeight="false" outlineLevel="0" collapsed="false">
      <c r="F477" s="37"/>
      <c r="H477" s="37"/>
    </row>
    <row r="478" customFormat="false" ht="15.75" hidden="false" customHeight="false" outlineLevel="0" collapsed="false">
      <c r="F478" s="37"/>
      <c r="H478" s="37"/>
    </row>
    <row r="479" customFormat="false" ht="15.75" hidden="false" customHeight="false" outlineLevel="0" collapsed="false">
      <c r="F479" s="37"/>
      <c r="H479" s="37"/>
    </row>
    <row r="480" customFormat="false" ht="15.75" hidden="false" customHeight="false" outlineLevel="0" collapsed="false">
      <c r="F480" s="37"/>
      <c r="H480" s="37"/>
    </row>
    <row r="481" customFormat="false" ht="15.75" hidden="false" customHeight="false" outlineLevel="0" collapsed="false">
      <c r="F481" s="37"/>
      <c r="H481" s="37"/>
    </row>
    <row r="482" customFormat="false" ht="15.75" hidden="false" customHeight="false" outlineLevel="0" collapsed="false">
      <c r="F482" s="37"/>
      <c r="H482" s="37"/>
    </row>
    <row r="483" customFormat="false" ht="15.75" hidden="false" customHeight="false" outlineLevel="0" collapsed="false">
      <c r="F483" s="37"/>
      <c r="H483" s="37"/>
    </row>
    <row r="484" customFormat="false" ht="15.75" hidden="false" customHeight="false" outlineLevel="0" collapsed="false">
      <c r="F484" s="37"/>
      <c r="H484" s="37"/>
    </row>
    <row r="485" customFormat="false" ht="15.75" hidden="false" customHeight="false" outlineLevel="0" collapsed="false">
      <c r="F485" s="37"/>
      <c r="H485" s="37"/>
    </row>
    <row r="486" customFormat="false" ht="15.75" hidden="false" customHeight="false" outlineLevel="0" collapsed="false">
      <c r="F486" s="37"/>
      <c r="H486" s="37"/>
    </row>
    <row r="487" customFormat="false" ht="15.75" hidden="false" customHeight="false" outlineLevel="0" collapsed="false">
      <c r="F487" s="37"/>
      <c r="H487" s="37"/>
    </row>
    <row r="488" customFormat="false" ht="15.75" hidden="false" customHeight="false" outlineLevel="0" collapsed="false">
      <c r="F488" s="37"/>
      <c r="H488" s="37"/>
    </row>
    <row r="489" customFormat="false" ht="15.75" hidden="false" customHeight="false" outlineLevel="0" collapsed="false">
      <c r="F489" s="37"/>
      <c r="H489" s="37"/>
    </row>
    <row r="490" customFormat="false" ht="15.75" hidden="false" customHeight="false" outlineLevel="0" collapsed="false">
      <c r="F490" s="37"/>
      <c r="H490" s="37"/>
    </row>
    <row r="491" customFormat="false" ht="15.75" hidden="false" customHeight="false" outlineLevel="0" collapsed="false">
      <c r="F491" s="37"/>
      <c r="H491" s="37"/>
    </row>
    <row r="492" customFormat="false" ht="15.75" hidden="false" customHeight="false" outlineLevel="0" collapsed="false">
      <c r="F492" s="37"/>
      <c r="H492" s="37"/>
    </row>
    <row r="493" customFormat="false" ht="15.75" hidden="false" customHeight="false" outlineLevel="0" collapsed="false">
      <c r="F493" s="37"/>
      <c r="H493" s="37"/>
    </row>
    <row r="494" customFormat="false" ht="15.75" hidden="false" customHeight="false" outlineLevel="0" collapsed="false">
      <c r="F494" s="37"/>
      <c r="H494" s="37"/>
    </row>
    <row r="495" customFormat="false" ht="15.75" hidden="false" customHeight="false" outlineLevel="0" collapsed="false">
      <c r="F495" s="37"/>
      <c r="H495" s="37"/>
    </row>
    <row r="496" customFormat="false" ht="15.75" hidden="false" customHeight="false" outlineLevel="0" collapsed="false">
      <c r="F496" s="37"/>
      <c r="H496" s="37"/>
    </row>
    <row r="497" customFormat="false" ht="15.75" hidden="false" customHeight="false" outlineLevel="0" collapsed="false">
      <c r="F497" s="37"/>
      <c r="H497" s="37"/>
    </row>
    <row r="498" customFormat="false" ht="15.75" hidden="false" customHeight="false" outlineLevel="0" collapsed="false">
      <c r="F498" s="37"/>
      <c r="H498" s="37"/>
    </row>
    <row r="499" customFormat="false" ht="15.75" hidden="false" customHeight="false" outlineLevel="0" collapsed="false">
      <c r="F499" s="37"/>
      <c r="H499" s="37"/>
    </row>
    <row r="500" customFormat="false" ht="15.75" hidden="false" customHeight="false" outlineLevel="0" collapsed="false">
      <c r="F500" s="37"/>
      <c r="H500" s="37"/>
    </row>
    <row r="501" customFormat="false" ht="15.75" hidden="false" customHeight="false" outlineLevel="0" collapsed="false">
      <c r="F501" s="37"/>
      <c r="H501" s="37"/>
    </row>
    <row r="502" customFormat="false" ht="15.75" hidden="false" customHeight="false" outlineLevel="0" collapsed="false">
      <c r="F502" s="37"/>
      <c r="H502" s="37"/>
    </row>
    <row r="503" customFormat="false" ht="15.75" hidden="false" customHeight="false" outlineLevel="0" collapsed="false">
      <c r="F503" s="37"/>
      <c r="H503" s="37"/>
    </row>
    <row r="504" customFormat="false" ht="15.75" hidden="false" customHeight="false" outlineLevel="0" collapsed="false">
      <c r="F504" s="37"/>
      <c r="H504" s="37"/>
    </row>
    <row r="505" customFormat="false" ht="15.75" hidden="false" customHeight="false" outlineLevel="0" collapsed="false">
      <c r="F505" s="37"/>
      <c r="H505" s="37"/>
    </row>
    <row r="506" customFormat="false" ht="15.75" hidden="false" customHeight="false" outlineLevel="0" collapsed="false">
      <c r="F506" s="37"/>
      <c r="H506" s="37"/>
    </row>
    <row r="507" customFormat="false" ht="15.75" hidden="false" customHeight="false" outlineLevel="0" collapsed="false">
      <c r="F507" s="37"/>
      <c r="H507" s="37"/>
    </row>
    <row r="508" customFormat="false" ht="15.75" hidden="false" customHeight="false" outlineLevel="0" collapsed="false">
      <c r="F508" s="37"/>
      <c r="H508" s="37"/>
    </row>
    <row r="509" customFormat="false" ht="15.75" hidden="false" customHeight="false" outlineLevel="0" collapsed="false">
      <c r="F509" s="37"/>
      <c r="H509" s="37"/>
    </row>
    <row r="510" customFormat="false" ht="15.75" hidden="false" customHeight="false" outlineLevel="0" collapsed="false">
      <c r="F510" s="37"/>
      <c r="H510" s="37"/>
    </row>
    <row r="511" customFormat="false" ht="15.75" hidden="false" customHeight="false" outlineLevel="0" collapsed="false">
      <c r="F511" s="37"/>
      <c r="H511" s="37"/>
    </row>
    <row r="512" customFormat="false" ht="15.75" hidden="false" customHeight="false" outlineLevel="0" collapsed="false">
      <c r="F512" s="37"/>
      <c r="H512" s="37"/>
    </row>
    <row r="513" customFormat="false" ht="15.75" hidden="false" customHeight="false" outlineLevel="0" collapsed="false">
      <c r="F513" s="37"/>
      <c r="H513" s="37"/>
    </row>
    <row r="514" customFormat="false" ht="15.75" hidden="false" customHeight="false" outlineLevel="0" collapsed="false">
      <c r="F514" s="37"/>
      <c r="H514" s="37"/>
    </row>
    <row r="515" customFormat="false" ht="15.75" hidden="false" customHeight="false" outlineLevel="0" collapsed="false">
      <c r="F515" s="37"/>
      <c r="H515" s="37"/>
    </row>
    <row r="516" customFormat="false" ht="15.75" hidden="false" customHeight="false" outlineLevel="0" collapsed="false">
      <c r="F516" s="37"/>
      <c r="H516" s="37"/>
    </row>
    <row r="517" customFormat="false" ht="15.75" hidden="false" customHeight="false" outlineLevel="0" collapsed="false">
      <c r="F517" s="37"/>
      <c r="H517" s="37"/>
    </row>
    <row r="518" customFormat="false" ht="15.75" hidden="false" customHeight="false" outlineLevel="0" collapsed="false">
      <c r="F518" s="37"/>
      <c r="H518" s="37"/>
    </row>
    <row r="519" customFormat="false" ht="15.75" hidden="false" customHeight="false" outlineLevel="0" collapsed="false">
      <c r="F519" s="37"/>
      <c r="H519" s="37"/>
    </row>
    <row r="520" customFormat="false" ht="15.75" hidden="false" customHeight="false" outlineLevel="0" collapsed="false">
      <c r="F520" s="37"/>
      <c r="H520" s="37"/>
    </row>
    <row r="521" customFormat="false" ht="15.75" hidden="false" customHeight="false" outlineLevel="0" collapsed="false">
      <c r="F521" s="37"/>
      <c r="H521" s="37"/>
    </row>
    <row r="522" customFormat="false" ht="15.75" hidden="false" customHeight="false" outlineLevel="0" collapsed="false">
      <c r="F522" s="37"/>
      <c r="H522" s="37"/>
    </row>
    <row r="523" customFormat="false" ht="15.75" hidden="false" customHeight="false" outlineLevel="0" collapsed="false">
      <c r="F523" s="37"/>
      <c r="H523" s="37"/>
    </row>
    <row r="524" customFormat="false" ht="15.75" hidden="false" customHeight="false" outlineLevel="0" collapsed="false">
      <c r="F524" s="37"/>
      <c r="H524" s="37"/>
    </row>
    <row r="525" customFormat="false" ht="15.75" hidden="false" customHeight="false" outlineLevel="0" collapsed="false">
      <c r="F525" s="37"/>
      <c r="H525" s="37"/>
    </row>
    <row r="526" customFormat="false" ht="15.75" hidden="false" customHeight="false" outlineLevel="0" collapsed="false">
      <c r="F526" s="37"/>
      <c r="H526" s="37"/>
    </row>
    <row r="527" customFormat="false" ht="15.75" hidden="false" customHeight="false" outlineLevel="0" collapsed="false">
      <c r="F527" s="37"/>
      <c r="H527" s="37"/>
    </row>
    <row r="528" customFormat="false" ht="15.75" hidden="false" customHeight="false" outlineLevel="0" collapsed="false">
      <c r="F528" s="37"/>
      <c r="H528" s="37"/>
    </row>
    <row r="529" customFormat="false" ht="15.75" hidden="false" customHeight="false" outlineLevel="0" collapsed="false">
      <c r="F529" s="37"/>
      <c r="H529" s="37"/>
    </row>
    <row r="530" customFormat="false" ht="15.75" hidden="false" customHeight="false" outlineLevel="0" collapsed="false">
      <c r="F530" s="37"/>
      <c r="H530" s="37"/>
    </row>
    <row r="531" customFormat="false" ht="15.75" hidden="false" customHeight="false" outlineLevel="0" collapsed="false">
      <c r="F531" s="37"/>
      <c r="H531" s="37"/>
    </row>
    <row r="532" customFormat="false" ht="15.75" hidden="false" customHeight="false" outlineLevel="0" collapsed="false">
      <c r="F532" s="37"/>
      <c r="H532" s="37"/>
    </row>
    <row r="533" customFormat="false" ht="15.75" hidden="false" customHeight="false" outlineLevel="0" collapsed="false">
      <c r="F533" s="37"/>
      <c r="H533" s="37"/>
    </row>
    <row r="534" customFormat="false" ht="15.75" hidden="false" customHeight="false" outlineLevel="0" collapsed="false">
      <c r="F534" s="37"/>
      <c r="H534" s="37"/>
    </row>
    <row r="535" customFormat="false" ht="15.75" hidden="false" customHeight="false" outlineLevel="0" collapsed="false">
      <c r="F535" s="37"/>
      <c r="H535" s="37"/>
    </row>
    <row r="536" customFormat="false" ht="15.75" hidden="false" customHeight="false" outlineLevel="0" collapsed="false">
      <c r="F536" s="37"/>
      <c r="H536" s="37"/>
    </row>
    <row r="537" customFormat="false" ht="15.75" hidden="false" customHeight="false" outlineLevel="0" collapsed="false">
      <c r="F537" s="37"/>
      <c r="H537" s="37"/>
    </row>
    <row r="538" customFormat="false" ht="15.75" hidden="false" customHeight="false" outlineLevel="0" collapsed="false">
      <c r="F538" s="37"/>
      <c r="H538" s="37"/>
    </row>
    <row r="539" customFormat="false" ht="15.75" hidden="false" customHeight="false" outlineLevel="0" collapsed="false">
      <c r="F539" s="37"/>
      <c r="H539" s="37"/>
    </row>
    <row r="540" customFormat="false" ht="15.75" hidden="false" customHeight="false" outlineLevel="0" collapsed="false">
      <c r="F540" s="37"/>
      <c r="H540" s="37"/>
    </row>
    <row r="541" customFormat="false" ht="15.75" hidden="false" customHeight="false" outlineLevel="0" collapsed="false">
      <c r="F541" s="37"/>
      <c r="H541" s="37"/>
    </row>
    <row r="542" customFormat="false" ht="15.75" hidden="false" customHeight="false" outlineLevel="0" collapsed="false">
      <c r="F542" s="37"/>
      <c r="H542" s="37"/>
    </row>
    <row r="543" customFormat="false" ht="15.75" hidden="false" customHeight="false" outlineLevel="0" collapsed="false">
      <c r="F543" s="37"/>
      <c r="H543" s="37"/>
    </row>
    <row r="544" customFormat="false" ht="15.75" hidden="false" customHeight="false" outlineLevel="0" collapsed="false">
      <c r="F544" s="37"/>
      <c r="H544" s="37"/>
    </row>
    <row r="545" customFormat="false" ht="15.75" hidden="false" customHeight="false" outlineLevel="0" collapsed="false">
      <c r="F545" s="37"/>
      <c r="H545" s="37"/>
    </row>
    <row r="546" customFormat="false" ht="15.75" hidden="false" customHeight="false" outlineLevel="0" collapsed="false">
      <c r="F546" s="37"/>
      <c r="H546" s="37"/>
    </row>
    <row r="547" customFormat="false" ht="15.75" hidden="false" customHeight="false" outlineLevel="0" collapsed="false">
      <c r="F547" s="37"/>
      <c r="H547" s="37"/>
    </row>
    <row r="548" customFormat="false" ht="15.75" hidden="false" customHeight="false" outlineLevel="0" collapsed="false">
      <c r="F548" s="37"/>
      <c r="H548" s="37"/>
    </row>
    <row r="549" customFormat="false" ht="15.75" hidden="false" customHeight="false" outlineLevel="0" collapsed="false">
      <c r="F549" s="37"/>
      <c r="H549" s="37"/>
    </row>
    <row r="550" customFormat="false" ht="15.75" hidden="false" customHeight="false" outlineLevel="0" collapsed="false">
      <c r="F550" s="37"/>
      <c r="H550" s="37"/>
    </row>
    <row r="551" customFormat="false" ht="15.75" hidden="false" customHeight="false" outlineLevel="0" collapsed="false">
      <c r="F551" s="37"/>
      <c r="H551" s="37"/>
    </row>
    <row r="552" customFormat="false" ht="15.75" hidden="false" customHeight="false" outlineLevel="0" collapsed="false">
      <c r="F552" s="37"/>
      <c r="H552" s="37"/>
    </row>
    <row r="553" customFormat="false" ht="15.75" hidden="false" customHeight="false" outlineLevel="0" collapsed="false">
      <c r="F553" s="37"/>
      <c r="H553" s="37"/>
    </row>
    <row r="554" customFormat="false" ht="15.75" hidden="false" customHeight="false" outlineLevel="0" collapsed="false">
      <c r="F554" s="37"/>
      <c r="H554" s="37"/>
    </row>
    <row r="555" customFormat="false" ht="15.75" hidden="false" customHeight="false" outlineLevel="0" collapsed="false">
      <c r="F555" s="37"/>
      <c r="H555" s="37"/>
    </row>
    <row r="556" customFormat="false" ht="15.75" hidden="false" customHeight="false" outlineLevel="0" collapsed="false">
      <c r="F556" s="37"/>
      <c r="H556" s="37"/>
    </row>
    <row r="557" customFormat="false" ht="15.75" hidden="false" customHeight="false" outlineLevel="0" collapsed="false">
      <c r="F557" s="37"/>
      <c r="H557" s="37"/>
    </row>
    <row r="558" customFormat="false" ht="15.75" hidden="false" customHeight="false" outlineLevel="0" collapsed="false">
      <c r="F558" s="37"/>
      <c r="H558" s="37"/>
    </row>
    <row r="559" customFormat="false" ht="15.75" hidden="false" customHeight="false" outlineLevel="0" collapsed="false">
      <c r="F559" s="37"/>
      <c r="H559" s="37"/>
    </row>
    <row r="560" customFormat="false" ht="15.75" hidden="false" customHeight="false" outlineLevel="0" collapsed="false">
      <c r="F560" s="37"/>
      <c r="H560" s="37"/>
    </row>
    <row r="561" customFormat="false" ht="15.75" hidden="false" customHeight="false" outlineLevel="0" collapsed="false">
      <c r="F561" s="37"/>
      <c r="H561" s="37"/>
    </row>
    <row r="562" customFormat="false" ht="15.75" hidden="false" customHeight="false" outlineLevel="0" collapsed="false">
      <c r="F562" s="37"/>
      <c r="H562" s="37"/>
    </row>
    <row r="563" customFormat="false" ht="15.75" hidden="false" customHeight="false" outlineLevel="0" collapsed="false">
      <c r="F563" s="37"/>
      <c r="H563" s="37"/>
    </row>
    <row r="564" customFormat="false" ht="15.75" hidden="false" customHeight="false" outlineLevel="0" collapsed="false">
      <c r="F564" s="37"/>
      <c r="H564" s="37"/>
    </row>
    <row r="565" customFormat="false" ht="15.75" hidden="false" customHeight="false" outlineLevel="0" collapsed="false">
      <c r="F565" s="37"/>
      <c r="H565" s="37"/>
    </row>
    <row r="566" customFormat="false" ht="15.75" hidden="false" customHeight="false" outlineLevel="0" collapsed="false">
      <c r="F566" s="37"/>
      <c r="H566" s="37"/>
    </row>
    <row r="567" customFormat="false" ht="15.75" hidden="false" customHeight="false" outlineLevel="0" collapsed="false">
      <c r="F567" s="37"/>
      <c r="H567" s="37"/>
    </row>
    <row r="568" customFormat="false" ht="15.75" hidden="false" customHeight="false" outlineLevel="0" collapsed="false">
      <c r="F568" s="37"/>
      <c r="H568" s="37"/>
    </row>
    <row r="569" customFormat="false" ht="15.75" hidden="false" customHeight="false" outlineLevel="0" collapsed="false">
      <c r="F569" s="37"/>
      <c r="H569" s="37"/>
    </row>
    <row r="570" customFormat="false" ht="15.75" hidden="false" customHeight="false" outlineLevel="0" collapsed="false">
      <c r="F570" s="37"/>
      <c r="H570" s="37"/>
    </row>
    <row r="571" customFormat="false" ht="15.75" hidden="false" customHeight="false" outlineLevel="0" collapsed="false">
      <c r="F571" s="37"/>
      <c r="H571" s="37"/>
    </row>
    <row r="572" customFormat="false" ht="15.75" hidden="false" customHeight="false" outlineLevel="0" collapsed="false">
      <c r="F572" s="37"/>
      <c r="H572" s="37"/>
    </row>
    <row r="573" customFormat="false" ht="15.75" hidden="false" customHeight="false" outlineLevel="0" collapsed="false">
      <c r="F573" s="37"/>
      <c r="H573" s="37"/>
    </row>
    <row r="574" customFormat="false" ht="15.75" hidden="false" customHeight="false" outlineLevel="0" collapsed="false">
      <c r="F574" s="37"/>
      <c r="H574" s="37"/>
    </row>
    <row r="575" customFormat="false" ht="15.75" hidden="false" customHeight="false" outlineLevel="0" collapsed="false">
      <c r="F575" s="37"/>
      <c r="H575" s="37"/>
    </row>
    <row r="576" customFormat="false" ht="15.75" hidden="false" customHeight="false" outlineLevel="0" collapsed="false">
      <c r="F576" s="37"/>
      <c r="H576" s="37"/>
    </row>
    <row r="577" customFormat="false" ht="15.75" hidden="false" customHeight="false" outlineLevel="0" collapsed="false">
      <c r="F577" s="37"/>
      <c r="H577" s="37"/>
    </row>
    <row r="578" customFormat="false" ht="15.75" hidden="false" customHeight="false" outlineLevel="0" collapsed="false">
      <c r="F578" s="37"/>
      <c r="H578" s="37"/>
    </row>
    <row r="579" customFormat="false" ht="15.75" hidden="false" customHeight="false" outlineLevel="0" collapsed="false">
      <c r="F579" s="37"/>
      <c r="H579" s="37"/>
    </row>
    <row r="580" customFormat="false" ht="15.75" hidden="false" customHeight="false" outlineLevel="0" collapsed="false">
      <c r="F580" s="37"/>
      <c r="H580" s="37"/>
    </row>
    <row r="581" customFormat="false" ht="15.75" hidden="false" customHeight="false" outlineLevel="0" collapsed="false">
      <c r="F581" s="37"/>
      <c r="H581" s="37"/>
    </row>
    <row r="582" customFormat="false" ht="15.75" hidden="false" customHeight="false" outlineLevel="0" collapsed="false">
      <c r="F582" s="37"/>
      <c r="H582" s="37"/>
    </row>
    <row r="583" customFormat="false" ht="15.75" hidden="false" customHeight="false" outlineLevel="0" collapsed="false">
      <c r="F583" s="37"/>
      <c r="H583" s="37"/>
    </row>
    <row r="584" customFormat="false" ht="15.75" hidden="false" customHeight="false" outlineLevel="0" collapsed="false">
      <c r="F584" s="37"/>
      <c r="H584" s="37"/>
    </row>
    <row r="585" customFormat="false" ht="15.75" hidden="false" customHeight="false" outlineLevel="0" collapsed="false">
      <c r="F585" s="37"/>
      <c r="H585" s="37"/>
    </row>
    <row r="586" customFormat="false" ht="15.75" hidden="false" customHeight="false" outlineLevel="0" collapsed="false">
      <c r="F586" s="37"/>
      <c r="H586" s="37"/>
    </row>
    <row r="587" customFormat="false" ht="15.75" hidden="false" customHeight="false" outlineLevel="0" collapsed="false">
      <c r="F587" s="37"/>
      <c r="H587" s="37"/>
    </row>
    <row r="588" customFormat="false" ht="15.75" hidden="false" customHeight="false" outlineLevel="0" collapsed="false">
      <c r="F588" s="37"/>
      <c r="H588" s="37"/>
    </row>
    <row r="589" customFormat="false" ht="15.75" hidden="false" customHeight="false" outlineLevel="0" collapsed="false">
      <c r="F589" s="37"/>
      <c r="H589" s="37"/>
    </row>
    <row r="590" customFormat="false" ht="15.75" hidden="false" customHeight="false" outlineLevel="0" collapsed="false">
      <c r="F590" s="37"/>
      <c r="H590" s="37"/>
    </row>
    <row r="591" customFormat="false" ht="15.75" hidden="false" customHeight="false" outlineLevel="0" collapsed="false">
      <c r="F591" s="37"/>
      <c r="H591" s="37"/>
    </row>
    <row r="592" customFormat="false" ht="15.75" hidden="false" customHeight="false" outlineLevel="0" collapsed="false">
      <c r="F592" s="37"/>
      <c r="H592" s="37"/>
    </row>
    <row r="593" customFormat="false" ht="15.75" hidden="false" customHeight="false" outlineLevel="0" collapsed="false">
      <c r="F593" s="37"/>
      <c r="H593" s="37"/>
    </row>
    <row r="594" customFormat="false" ht="15.75" hidden="false" customHeight="false" outlineLevel="0" collapsed="false">
      <c r="F594" s="37"/>
      <c r="H594" s="37"/>
    </row>
    <row r="595" customFormat="false" ht="15.75" hidden="false" customHeight="false" outlineLevel="0" collapsed="false">
      <c r="F595" s="37"/>
      <c r="H595" s="37"/>
    </row>
    <row r="596" customFormat="false" ht="15.75" hidden="false" customHeight="false" outlineLevel="0" collapsed="false">
      <c r="F596" s="37"/>
      <c r="H596" s="37"/>
    </row>
    <row r="597" customFormat="false" ht="15.75" hidden="false" customHeight="false" outlineLevel="0" collapsed="false">
      <c r="F597" s="37"/>
      <c r="H597" s="37"/>
    </row>
    <row r="598" customFormat="false" ht="15.75" hidden="false" customHeight="false" outlineLevel="0" collapsed="false">
      <c r="F598" s="37"/>
      <c r="H598" s="37"/>
    </row>
    <row r="599" customFormat="false" ht="15.75" hidden="false" customHeight="false" outlineLevel="0" collapsed="false">
      <c r="F599" s="37"/>
      <c r="H599" s="37"/>
    </row>
    <row r="600" customFormat="false" ht="15.75" hidden="false" customHeight="false" outlineLevel="0" collapsed="false">
      <c r="F600" s="37"/>
      <c r="H600" s="37"/>
    </row>
    <row r="601" customFormat="false" ht="15.75" hidden="false" customHeight="false" outlineLevel="0" collapsed="false">
      <c r="F601" s="37"/>
      <c r="H601" s="37"/>
    </row>
    <row r="602" customFormat="false" ht="15.75" hidden="false" customHeight="false" outlineLevel="0" collapsed="false">
      <c r="F602" s="37"/>
      <c r="H602" s="37"/>
    </row>
    <row r="603" customFormat="false" ht="15.75" hidden="false" customHeight="false" outlineLevel="0" collapsed="false">
      <c r="F603" s="37"/>
      <c r="H603" s="37"/>
    </row>
    <row r="604" customFormat="false" ht="15.75" hidden="false" customHeight="false" outlineLevel="0" collapsed="false">
      <c r="F604" s="37"/>
      <c r="H604" s="37"/>
    </row>
    <row r="605" customFormat="false" ht="15.75" hidden="false" customHeight="false" outlineLevel="0" collapsed="false">
      <c r="F605" s="37"/>
      <c r="H605" s="37"/>
    </row>
    <row r="606" customFormat="false" ht="15.75" hidden="false" customHeight="false" outlineLevel="0" collapsed="false">
      <c r="F606" s="37"/>
      <c r="H606" s="37"/>
    </row>
    <row r="607" customFormat="false" ht="15.75" hidden="false" customHeight="false" outlineLevel="0" collapsed="false">
      <c r="F607" s="37"/>
      <c r="H607" s="37"/>
    </row>
    <row r="608" customFormat="false" ht="15.75" hidden="false" customHeight="false" outlineLevel="0" collapsed="false">
      <c r="F608" s="37"/>
      <c r="H608" s="37"/>
    </row>
    <row r="609" customFormat="false" ht="15.75" hidden="false" customHeight="false" outlineLevel="0" collapsed="false">
      <c r="F609" s="37"/>
      <c r="H609" s="37"/>
    </row>
    <row r="610" customFormat="false" ht="15.75" hidden="false" customHeight="false" outlineLevel="0" collapsed="false">
      <c r="F610" s="37"/>
      <c r="H610" s="37"/>
    </row>
    <row r="611" customFormat="false" ht="15.75" hidden="false" customHeight="false" outlineLevel="0" collapsed="false">
      <c r="F611" s="37"/>
      <c r="H611" s="37"/>
    </row>
    <row r="612" customFormat="false" ht="15.75" hidden="false" customHeight="false" outlineLevel="0" collapsed="false">
      <c r="F612" s="37"/>
      <c r="H612" s="37"/>
    </row>
    <row r="613" customFormat="false" ht="15.75" hidden="false" customHeight="false" outlineLevel="0" collapsed="false">
      <c r="F613" s="37"/>
      <c r="H613" s="37"/>
    </row>
    <row r="614" customFormat="false" ht="15.75" hidden="false" customHeight="false" outlineLevel="0" collapsed="false">
      <c r="F614" s="37"/>
      <c r="H614" s="37"/>
    </row>
    <row r="615" customFormat="false" ht="15.75" hidden="false" customHeight="false" outlineLevel="0" collapsed="false">
      <c r="F615" s="37"/>
      <c r="H615" s="37"/>
    </row>
    <row r="616" customFormat="false" ht="15.75" hidden="false" customHeight="false" outlineLevel="0" collapsed="false">
      <c r="F616" s="37"/>
      <c r="H616" s="37"/>
    </row>
    <row r="617" customFormat="false" ht="15.75" hidden="false" customHeight="false" outlineLevel="0" collapsed="false">
      <c r="F617" s="37"/>
      <c r="H617" s="37"/>
    </row>
    <row r="618" customFormat="false" ht="15.75" hidden="false" customHeight="false" outlineLevel="0" collapsed="false">
      <c r="F618" s="37"/>
      <c r="H618" s="37"/>
    </row>
    <row r="619" customFormat="false" ht="15.75" hidden="false" customHeight="false" outlineLevel="0" collapsed="false">
      <c r="F619" s="37"/>
      <c r="H619" s="37"/>
    </row>
    <row r="620" customFormat="false" ht="15.75" hidden="false" customHeight="false" outlineLevel="0" collapsed="false">
      <c r="F620" s="37"/>
      <c r="H620" s="37"/>
    </row>
    <row r="621" customFormat="false" ht="15.75" hidden="false" customHeight="false" outlineLevel="0" collapsed="false">
      <c r="F621" s="37"/>
      <c r="H621" s="37"/>
    </row>
    <row r="622" customFormat="false" ht="15.75" hidden="false" customHeight="false" outlineLevel="0" collapsed="false">
      <c r="F622" s="37"/>
      <c r="H622" s="37"/>
    </row>
    <row r="623" customFormat="false" ht="15.75" hidden="false" customHeight="false" outlineLevel="0" collapsed="false">
      <c r="F623" s="37"/>
      <c r="H623" s="37"/>
    </row>
    <row r="624" customFormat="false" ht="15.75" hidden="false" customHeight="false" outlineLevel="0" collapsed="false">
      <c r="F624" s="37"/>
      <c r="H624" s="37"/>
    </row>
    <row r="625" customFormat="false" ht="15.75" hidden="false" customHeight="false" outlineLevel="0" collapsed="false">
      <c r="F625" s="37"/>
      <c r="H625" s="37"/>
    </row>
    <row r="626" customFormat="false" ht="15.75" hidden="false" customHeight="false" outlineLevel="0" collapsed="false">
      <c r="F626" s="37"/>
      <c r="H626" s="37"/>
    </row>
    <row r="627" customFormat="false" ht="15.75" hidden="false" customHeight="false" outlineLevel="0" collapsed="false">
      <c r="F627" s="37"/>
      <c r="H627" s="37"/>
    </row>
    <row r="628" customFormat="false" ht="15.75" hidden="false" customHeight="false" outlineLevel="0" collapsed="false">
      <c r="F628" s="37"/>
      <c r="H628" s="37"/>
    </row>
    <row r="629" customFormat="false" ht="15.75" hidden="false" customHeight="false" outlineLevel="0" collapsed="false">
      <c r="F629" s="37"/>
      <c r="H629" s="37"/>
    </row>
    <row r="630" customFormat="false" ht="15.75" hidden="false" customHeight="false" outlineLevel="0" collapsed="false">
      <c r="F630" s="37"/>
      <c r="H630" s="37"/>
    </row>
    <row r="631" customFormat="false" ht="15.75" hidden="false" customHeight="false" outlineLevel="0" collapsed="false">
      <c r="F631" s="37"/>
      <c r="H631" s="37"/>
    </row>
    <row r="632" customFormat="false" ht="15.75" hidden="false" customHeight="false" outlineLevel="0" collapsed="false">
      <c r="F632" s="37"/>
      <c r="H632" s="37"/>
    </row>
    <row r="633" customFormat="false" ht="15.75" hidden="false" customHeight="false" outlineLevel="0" collapsed="false">
      <c r="F633" s="37"/>
      <c r="H633" s="37"/>
    </row>
    <row r="634" customFormat="false" ht="15.75" hidden="false" customHeight="false" outlineLevel="0" collapsed="false">
      <c r="F634" s="37"/>
      <c r="H634" s="37"/>
    </row>
    <row r="635" customFormat="false" ht="15.75" hidden="false" customHeight="false" outlineLevel="0" collapsed="false">
      <c r="F635" s="37"/>
      <c r="H635" s="37"/>
    </row>
    <row r="636" customFormat="false" ht="15.75" hidden="false" customHeight="false" outlineLevel="0" collapsed="false">
      <c r="F636" s="37"/>
      <c r="H636" s="37"/>
    </row>
    <row r="637" customFormat="false" ht="15.75" hidden="false" customHeight="false" outlineLevel="0" collapsed="false">
      <c r="F637" s="37"/>
      <c r="H637" s="37"/>
    </row>
    <row r="638" customFormat="false" ht="15.75" hidden="false" customHeight="false" outlineLevel="0" collapsed="false">
      <c r="F638" s="37"/>
      <c r="H638" s="37"/>
    </row>
    <row r="639" customFormat="false" ht="15.75" hidden="false" customHeight="false" outlineLevel="0" collapsed="false">
      <c r="F639" s="37"/>
      <c r="H639" s="37"/>
    </row>
    <row r="640" customFormat="false" ht="15.75" hidden="false" customHeight="false" outlineLevel="0" collapsed="false">
      <c r="F640" s="37"/>
      <c r="H640" s="37"/>
    </row>
    <row r="641" customFormat="false" ht="15.75" hidden="false" customHeight="false" outlineLevel="0" collapsed="false">
      <c r="F641" s="37"/>
      <c r="H641" s="37"/>
    </row>
    <row r="642" customFormat="false" ht="15.75" hidden="false" customHeight="false" outlineLevel="0" collapsed="false">
      <c r="F642" s="37"/>
      <c r="H642" s="37"/>
    </row>
    <row r="643" customFormat="false" ht="15.75" hidden="false" customHeight="false" outlineLevel="0" collapsed="false">
      <c r="F643" s="37"/>
      <c r="H643" s="37"/>
    </row>
    <row r="644" customFormat="false" ht="15.75" hidden="false" customHeight="false" outlineLevel="0" collapsed="false">
      <c r="F644" s="37"/>
      <c r="H644" s="37"/>
    </row>
    <row r="645" customFormat="false" ht="15.75" hidden="false" customHeight="false" outlineLevel="0" collapsed="false">
      <c r="F645" s="37"/>
      <c r="H645" s="37"/>
    </row>
    <row r="646" customFormat="false" ht="15.75" hidden="false" customHeight="false" outlineLevel="0" collapsed="false">
      <c r="F646" s="37"/>
      <c r="H646" s="37"/>
    </row>
    <row r="647" customFormat="false" ht="15.75" hidden="false" customHeight="false" outlineLevel="0" collapsed="false">
      <c r="F647" s="37"/>
      <c r="H647" s="37"/>
    </row>
    <row r="648" customFormat="false" ht="15.75" hidden="false" customHeight="false" outlineLevel="0" collapsed="false">
      <c r="F648" s="37"/>
      <c r="H648" s="37"/>
    </row>
    <row r="649" customFormat="false" ht="15.75" hidden="false" customHeight="false" outlineLevel="0" collapsed="false">
      <c r="F649" s="37"/>
      <c r="H649" s="37"/>
    </row>
    <row r="650" customFormat="false" ht="15.75" hidden="false" customHeight="false" outlineLevel="0" collapsed="false">
      <c r="F650" s="37"/>
      <c r="H650" s="37"/>
    </row>
    <row r="651" customFormat="false" ht="15.75" hidden="false" customHeight="false" outlineLevel="0" collapsed="false">
      <c r="F651" s="37"/>
      <c r="H651" s="37"/>
    </row>
    <row r="652" customFormat="false" ht="15.75" hidden="false" customHeight="false" outlineLevel="0" collapsed="false">
      <c r="F652" s="37"/>
      <c r="H652" s="37"/>
    </row>
    <row r="653" customFormat="false" ht="15.75" hidden="false" customHeight="false" outlineLevel="0" collapsed="false">
      <c r="F653" s="37"/>
      <c r="H653" s="37"/>
    </row>
    <row r="654" customFormat="false" ht="15.75" hidden="false" customHeight="false" outlineLevel="0" collapsed="false">
      <c r="F654" s="37"/>
      <c r="H654" s="37"/>
    </row>
    <row r="655" customFormat="false" ht="15.75" hidden="false" customHeight="false" outlineLevel="0" collapsed="false">
      <c r="F655" s="37"/>
      <c r="H655" s="37"/>
    </row>
    <row r="656" customFormat="false" ht="15.75" hidden="false" customHeight="false" outlineLevel="0" collapsed="false">
      <c r="F656" s="37"/>
      <c r="H656" s="37"/>
    </row>
    <row r="657" customFormat="false" ht="15.75" hidden="false" customHeight="false" outlineLevel="0" collapsed="false">
      <c r="F657" s="37"/>
      <c r="H657" s="37"/>
    </row>
    <row r="658" customFormat="false" ht="15.75" hidden="false" customHeight="false" outlineLevel="0" collapsed="false">
      <c r="F658" s="37"/>
      <c r="H658" s="37"/>
    </row>
    <row r="659" customFormat="false" ht="15.75" hidden="false" customHeight="false" outlineLevel="0" collapsed="false">
      <c r="F659" s="37"/>
      <c r="H659" s="37"/>
    </row>
    <row r="660" customFormat="false" ht="15.75" hidden="false" customHeight="false" outlineLevel="0" collapsed="false">
      <c r="F660" s="37"/>
      <c r="H660" s="37"/>
    </row>
    <row r="661" customFormat="false" ht="15.75" hidden="false" customHeight="false" outlineLevel="0" collapsed="false">
      <c r="F661" s="37"/>
      <c r="H661" s="37"/>
    </row>
    <row r="662" customFormat="false" ht="15.75" hidden="false" customHeight="false" outlineLevel="0" collapsed="false">
      <c r="F662" s="37"/>
      <c r="H662" s="37"/>
    </row>
    <row r="663" customFormat="false" ht="15.75" hidden="false" customHeight="false" outlineLevel="0" collapsed="false">
      <c r="F663" s="37"/>
      <c r="H663" s="37"/>
    </row>
    <row r="664" customFormat="false" ht="15.75" hidden="false" customHeight="false" outlineLevel="0" collapsed="false">
      <c r="F664" s="37"/>
      <c r="H664" s="37"/>
    </row>
    <row r="665" customFormat="false" ht="15.75" hidden="false" customHeight="false" outlineLevel="0" collapsed="false">
      <c r="F665" s="37"/>
      <c r="H665" s="37"/>
    </row>
    <row r="666" customFormat="false" ht="15.75" hidden="false" customHeight="false" outlineLevel="0" collapsed="false">
      <c r="F666" s="37"/>
      <c r="H666" s="37"/>
    </row>
    <row r="667" customFormat="false" ht="15.75" hidden="false" customHeight="false" outlineLevel="0" collapsed="false">
      <c r="F667" s="37"/>
      <c r="H667" s="37"/>
    </row>
    <row r="668" customFormat="false" ht="15.75" hidden="false" customHeight="false" outlineLevel="0" collapsed="false">
      <c r="F668" s="37"/>
      <c r="H668" s="37"/>
    </row>
    <row r="669" customFormat="false" ht="15.75" hidden="false" customHeight="false" outlineLevel="0" collapsed="false">
      <c r="F669" s="37"/>
      <c r="H669" s="37"/>
    </row>
    <row r="670" customFormat="false" ht="15.75" hidden="false" customHeight="false" outlineLevel="0" collapsed="false">
      <c r="F670" s="37"/>
      <c r="H670" s="37"/>
    </row>
    <row r="671" customFormat="false" ht="15.75" hidden="false" customHeight="false" outlineLevel="0" collapsed="false">
      <c r="F671" s="37"/>
      <c r="H671" s="37"/>
    </row>
    <row r="672" customFormat="false" ht="15.75" hidden="false" customHeight="false" outlineLevel="0" collapsed="false">
      <c r="F672" s="37"/>
      <c r="H672" s="37"/>
    </row>
    <row r="673" customFormat="false" ht="15.75" hidden="false" customHeight="false" outlineLevel="0" collapsed="false">
      <c r="F673" s="37"/>
      <c r="H673" s="37"/>
    </row>
    <row r="674" customFormat="false" ht="15.75" hidden="false" customHeight="false" outlineLevel="0" collapsed="false">
      <c r="F674" s="37"/>
      <c r="H674" s="37"/>
    </row>
    <row r="675" customFormat="false" ht="15.75" hidden="false" customHeight="false" outlineLevel="0" collapsed="false">
      <c r="F675" s="37"/>
      <c r="H675" s="37"/>
    </row>
    <row r="676" customFormat="false" ht="15.75" hidden="false" customHeight="false" outlineLevel="0" collapsed="false">
      <c r="F676" s="37"/>
      <c r="H676" s="37"/>
    </row>
    <row r="677" customFormat="false" ht="15.75" hidden="false" customHeight="false" outlineLevel="0" collapsed="false">
      <c r="F677" s="37"/>
      <c r="H677" s="37"/>
    </row>
    <row r="678" customFormat="false" ht="15.75" hidden="false" customHeight="false" outlineLevel="0" collapsed="false">
      <c r="F678" s="37"/>
      <c r="H678" s="37"/>
    </row>
    <row r="679" customFormat="false" ht="15.75" hidden="false" customHeight="false" outlineLevel="0" collapsed="false">
      <c r="F679" s="37"/>
      <c r="H679" s="37"/>
    </row>
    <row r="680" customFormat="false" ht="15.75" hidden="false" customHeight="false" outlineLevel="0" collapsed="false">
      <c r="F680" s="37"/>
      <c r="H680" s="37"/>
    </row>
    <row r="681" customFormat="false" ht="15.75" hidden="false" customHeight="false" outlineLevel="0" collapsed="false">
      <c r="F681" s="37"/>
      <c r="H681" s="37"/>
    </row>
    <row r="682" customFormat="false" ht="15.75" hidden="false" customHeight="false" outlineLevel="0" collapsed="false">
      <c r="F682" s="37"/>
      <c r="H682" s="37"/>
    </row>
    <row r="683" customFormat="false" ht="15.75" hidden="false" customHeight="false" outlineLevel="0" collapsed="false">
      <c r="F683" s="37"/>
      <c r="H683" s="37"/>
    </row>
    <row r="684" customFormat="false" ht="15.75" hidden="false" customHeight="false" outlineLevel="0" collapsed="false">
      <c r="F684" s="37"/>
      <c r="H684" s="37"/>
    </row>
    <row r="685" customFormat="false" ht="15.75" hidden="false" customHeight="false" outlineLevel="0" collapsed="false">
      <c r="F685" s="37"/>
      <c r="H685" s="37"/>
    </row>
    <row r="686" customFormat="false" ht="15.75" hidden="false" customHeight="false" outlineLevel="0" collapsed="false">
      <c r="F686" s="37"/>
      <c r="H686" s="37"/>
    </row>
    <row r="687" customFormat="false" ht="15.75" hidden="false" customHeight="false" outlineLevel="0" collapsed="false">
      <c r="F687" s="37"/>
      <c r="H687" s="37"/>
    </row>
    <row r="688" customFormat="false" ht="15.75" hidden="false" customHeight="false" outlineLevel="0" collapsed="false">
      <c r="F688" s="37"/>
      <c r="H688" s="37"/>
    </row>
    <row r="689" customFormat="false" ht="15.75" hidden="false" customHeight="false" outlineLevel="0" collapsed="false">
      <c r="F689" s="37"/>
      <c r="H689" s="37"/>
    </row>
    <row r="690" customFormat="false" ht="15.75" hidden="false" customHeight="false" outlineLevel="0" collapsed="false">
      <c r="F690" s="37"/>
      <c r="H690" s="37"/>
    </row>
    <row r="691" customFormat="false" ht="15.75" hidden="false" customHeight="false" outlineLevel="0" collapsed="false">
      <c r="F691" s="37"/>
      <c r="H691" s="37"/>
    </row>
    <row r="692" customFormat="false" ht="15.75" hidden="false" customHeight="false" outlineLevel="0" collapsed="false">
      <c r="F692" s="37"/>
      <c r="H692" s="37"/>
    </row>
    <row r="693" customFormat="false" ht="15.75" hidden="false" customHeight="false" outlineLevel="0" collapsed="false">
      <c r="F693" s="37"/>
      <c r="H693" s="37"/>
    </row>
    <row r="694" customFormat="false" ht="15.75" hidden="false" customHeight="false" outlineLevel="0" collapsed="false">
      <c r="F694" s="37"/>
      <c r="H694" s="37"/>
    </row>
    <row r="695" customFormat="false" ht="15.75" hidden="false" customHeight="false" outlineLevel="0" collapsed="false">
      <c r="F695" s="37"/>
      <c r="H695" s="37"/>
    </row>
    <row r="696" customFormat="false" ht="15.75" hidden="false" customHeight="false" outlineLevel="0" collapsed="false">
      <c r="F696" s="37"/>
      <c r="H696" s="37"/>
    </row>
    <row r="697" customFormat="false" ht="15.75" hidden="false" customHeight="false" outlineLevel="0" collapsed="false">
      <c r="F697" s="37"/>
      <c r="H697" s="37"/>
    </row>
    <row r="698" customFormat="false" ht="15.75" hidden="false" customHeight="false" outlineLevel="0" collapsed="false">
      <c r="F698" s="37"/>
      <c r="H698" s="37"/>
    </row>
    <row r="699" customFormat="false" ht="15.75" hidden="false" customHeight="false" outlineLevel="0" collapsed="false">
      <c r="F699" s="37"/>
      <c r="H699" s="37"/>
    </row>
    <row r="700" customFormat="false" ht="15.75" hidden="false" customHeight="false" outlineLevel="0" collapsed="false">
      <c r="F700" s="37"/>
      <c r="H700" s="37"/>
    </row>
    <row r="701" customFormat="false" ht="15.75" hidden="false" customHeight="false" outlineLevel="0" collapsed="false">
      <c r="F701" s="37"/>
      <c r="H701" s="37"/>
    </row>
    <row r="702" customFormat="false" ht="15.75" hidden="false" customHeight="false" outlineLevel="0" collapsed="false">
      <c r="F702" s="37"/>
      <c r="H702" s="37"/>
    </row>
    <row r="703" customFormat="false" ht="15.75" hidden="false" customHeight="false" outlineLevel="0" collapsed="false">
      <c r="F703" s="37"/>
      <c r="H703" s="37"/>
    </row>
    <row r="704" customFormat="false" ht="15.75" hidden="false" customHeight="false" outlineLevel="0" collapsed="false">
      <c r="F704" s="37"/>
      <c r="H704" s="37"/>
    </row>
    <row r="705" customFormat="false" ht="15.75" hidden="false" customHeight="false" outlineLevel="0" collapsed="false">
      <c r="F705" s="37"/>
      <c r="H705" s="37"/>
    </row>
    <row r="706" customFormat="false" ht="15.75" hidden="false" customHeight="false" outlineLevel="0" collapsed="false">
      <c r="F706" s="37"/>
      <c r="H706" s="37"/>
    </row>
    <row r="707" customFormat="false" ht="15.75" hidden="false" customHeight="false" outlineLevel="0" collapsed="false">
      <c r="F707" s="37"/>
      <c r="H707" s="37"/>
    </row>
    <row r="708" customFormat="false" ht="15.75" hidden="false" customHeight="false" outlineLevel="0" collapsed="false">
      <c r="F708" s="37"/>
      <c r="H708" s="37"/>
    </row>
    <row r="709" customFormat="false" ht="15.75" hidden="false" customHeight="false" outlineLevel="0" collapsed="false">
      <c r="F709" s="37"/>
      <c r="H709" s="37"/>
    </row>
    <row r="710" customFormat="false" ht="15.75" hidden="false" customHeight="false" outlineLevel="0" collapsed="false">
      <c r="F710" s="37"/>
      <c r="H710" s="37"/>
    </row>
    <row r="711" customFormat="false" ht="15.75" hidden="false" customHeight="false" outlineLevel="0" collapsed="false">
      <c r="F711" s="37"/>
      <c r="H711" s="37"/>
    </row>
    <row r="712" customFormat="false" ht="15.75" hidden="false" customHeight="false" outlineLevel="0" collapsed="false">
      <c r="F712" s="37"/>
      <c r="H712" s="37"/>
    </row>
    <row r="713" customFormat="false" ht="15.75" hidden="false" customHeight="false" outlineLevel="0" collapsed="false">
      <c r="F713" s="37"/>
      <c r="H713" s="37"/>
    </row>
    <row r="714" customFormat="false" ht="15.75" hidden="false" customHeight="false" outlineLevel="0" collapsed="false">
      <c r="F714" s="37"/>
      <c r="H714" s="37"/>
    </row>
    <row r="715" customFormat="false" ht="15.75" hidden="false" customHeight="false" outlineLevel="0" collapsed="false">
      <c r="F715" s="37"/>
      <c r="H715" s="37"/>
    </row>
    <row r="716" customFormat="false" ht="15.75" hidden="false" customHeight="false" outlineLevel="0" collapsed="false">
      <c r="F716" s="37"/>
      <c r="H716" s="37"/>
    </row>
    <row r="717" customFormat="false" ht="15.75" hidden="false" customHeight="false" outlineLevel="0" collapsed="false">
      <c r="F717" s="37"/>
      <c r="H717" s="37"/>
    </row>
    <row r="718" customFormat="false" ht="15.75" hidden="false" customHeight="false" outlineLevel="0" collapsed="false">
      <c r="F718" s="37"/>
      <c r="H718" s="37"/>
    </row>
    <row r="719" customFormat="false" ht="15.75" hidden="false" customHeight="false" outlineLevel="0" collapsed="false">
      <c r="F719" s="37"/>
      <c r="H719" s="37"/>
    </row>
    <row r="720" customFormat="false" ht="15.75" hidden="false" customHeight="false" outlineLevel="0" collapsed="false">
      <c r="F720" s="37"/>
      <c r="H720" s="37"/>
    </row>
    <row r="721" customFormat="false" ht="15.75" hidden="false" customHeight="false" outlineLevel="0" collapsed="false">
      <c r="F721" s="37"/>
      <c r="H721" s="37"/>
    </row>
    <row r="722" customFormat="false" ht="15.75" hidden="false" customHeight="false" outlineLevel="0" collapsed="false">
      <c r="F722" s="37"/>
      <c r="H722" s="37"/>
    </row>
    <row r="723" customFormat="false" ht="15.75" hidden="false" customHeight="false" outlineLevel="0" collapsed="false">
      <c r="F723" s="37"/>
      <c r="H723" s="37"/>
    </row>
    <row r="724" customFormat="false" ht="15.75" hidden="false" customHeight="false" outlineLevel="0" collapsed="false">
      <c r="F724" s="37"/>
      <c r="H724" s="37"/>
    </row>
    <row r="725" customFormat="false" ht="15.75" hidden="false" customHeight="false" outlineLevel="0" collapsed="false">
      <c r="F725" s="37"/>
      <c r="H725" s="37"/>
    </row>
    <row r="726" customFormat="false" ht="15.75" hidden="false" customHeight="false" outlineLevel="0" collapsed="false">
      <c r="F726" s="37"/>
      <c r="H726" s="37"/>
    </row>
    <row r="727" customFormat="false" ht="15.75" hidden="false" customHeight="false" outlineLevel="0" collapsed="false">
      <c r="F727" s="37"/>
      <c r="H727" s="37"/>
    </row>
    <row r="728" customFormat="false" ht="15.75" hidden="false" customHeight="false" outlineLevel="0" collapsed="false">
      <c r="F728" s="37"/>
      <c r="H728" s="37"/>
    </row>
    <row r="729" customFormat="false" ht="15.75" hidden="false" customHeight="false" outlineLevel="0" collapsed="false">
      <c r="F729" s="37"/>
      <c r="H729" s="37"/>
    </row>
    <row r="730" customFormat="false" ht="15.75" hidden="false" customHeight="false" outlineLevel="0" collapsed="false">
      <c r="F730" s="37"/>
      <c r="H730" s="37"/>
    </row>
    <row r="731" customFormat="false" ht="15.75" hidden="false" customHeight="false" outlineLevel="0" collapsed="false">
      <c r="F731" s="37"/>
      <c r="H731" s="37"/>
    </row>
    <row r="732" customFormat="false" ht="15.75" hidden="false" customHeight="false" outlineLevel="0" collapsed="false">
      <c r="F732" s="37"/>
      <c r="H732" s="37"/>
    </row>
    <row r="733" customFormat="false" ht="15.75" hidden="false" customHeight="false" outlineLevel="0" collapsed="false">
      <c r="F733" s="37"/>
      <c r="H733" s="37"/>
    </row>
    <row r="734" customFormat="false" ht="15.75" hidden="false" customHeight="false" outlineLevel="0" collapsed="false">
      <c r="F734" s="37"/>
      <c r="H734" s="37"/>
    </row>
    <row r="735" customFormat="false" ht="15.75" hidden="false" customHeight="false" outlineLevel="0" collapsed="false">
      <c r="F735" s="37"/>
      <c r="H735" s="37"/>
    </row>
    <row r="736" customFormat="false" ht="15.75" hidden="false" customHeight="false" outlineLevel="0" collapsed="false">
      <c r="F736" s="37"/>
      <c r="H736" s="37"/>
    </row>
    <row r="737" customFormat="false" ht="15.75" hidden="false" customHeight="false" outlineLevel="0" collapsed="false">
      <c r="F737" s="37"/>
      <c r="H737" s="37"/>
    </row>
    <row r="738" customFormat="false" ht="15.75" hidden="false" customHeight="false" outlineLevel="0" collapsed="false">
      <c r="F738" s="37"/>
      <c r="H738" s="37"/>
    </row>
    <row r="739" customFormat="false" ht="15.75" hidden="false" customHeight="false" outlineLevel="0" collapsed="false">
      <c r="F739" s="37"/>
      <c r="H739" s="37"/>
    </row>
    <row r="740" customFormat="false" ht="15.75" hidden="false" customHeight="false" outlineLevel="0" collapsed="false">
      <c r="F740" s="37"/>
      <c r="H740" s="37"/>
    </row>
    <row r="741" customFormat="false" ht="15.75" hidden="false" customHeight="false" outlineLevel="0" collapsed="false">
      <c r="F741" s="37"/>
      <c r="H741" s="37"/>
    </row>
    <row r="742" customFormat="false" ht="15.75" hidden="false" customHeight="false" outlineLevel="0" collapsed="false">
      <c r="F742" s="37"/>
      <c r="H742" s="37"/>
    </row>
    <row r="743" customFormat="false" ht="15.75" hidden="false" customHeight="false" outlineLevel="0" collapsed="false">
      <c r="F743" s="37"/>
      <c r="H743" s="37"/>
    </row>
    <row r="744" customFormat="false" ht="15.75" hidden="false" customHeight="false" outlineLevel="0" collapsed="false">
      <c r="F744" s="37"/>
      <c r="H744" s="37"/>
    </row>
    <row r="745" customFormat="false" ht="15.75" hidden="false" customHeight="false" outlineLevel="0" collapsed="false">
      <c r="F745" s="37"/>
      <c r="H745" s="37"/>
    </row>
    <row r="746" customFormat="false" ht="15.75" hidden="false" customHeight="false" outlineLevel="0" collapsed="false">
      <c r="F746" s="37"/>
      <c r="H746" s="37"/>
    </row>
    <row r="747" customFormat="false" ht="15.75" hidden="false" customHeight="false" outlineLevel="0" collapsed="false">
      <c r="F747" s="37"/>
      <c r="H747" s="37"/>
    </row>
    <row r="748" customFormat="false" ht="15.75" hidden="false" customHeight="false" outlineLevel="0" collapsed="false">
      <c r="F748" s="37"/>
      <c r="H748" s="37"/>
    </row>
    <row r="749" customFormat="false" ht="15.75" hidden="false" customHeight="false" outlineLevel="0" collapsed="false">
      <c r="F749" s="37"/>
      <c r="H749" s="37"/>
    </row>
    <row r="750" customFormat="false" ht="15.75" hidden="false" customHeight="false" outlineLevel="0" collapsed="false">
      <c r="F750" s="37"/>
      <c r="H750" s="37"/>
    </row>
    <row r="751" customFormat="false" ht="15.75" hidden="false" customHeight="false" outlineLevel="0" collapsed="false">
      <c r="F751" s="37"/>
      <c r="H751" s="37"/>
    </row>
    <row r="752" customFormat="false" ht="15.75" hidden="false" customHeight="false" outlineLevel="0" collapsed="false">
      <c r="F752" s="37"/>
      <c r="H752" s="37"/>
    </row>
    <row r="753" customFormat="false" ht="15.75" hidden="false" customHeight="false" outlineLevel="0" collapsed="false">
      <c r="F753" s="37"/>
      <c r="H753" s="37"/>
    </row>
    <row r="754" customFormat="false" ht="15.75" hidden="false" customHeight="false" outlineLevel="0" collapsed="false">
      <c r="F754" s="37"/>
      <c r="H754" s="37"/>
    </row>
    <row r="755" customFormat="false" ht="15.75" hidden="false" customHeight="false" outlineLevel="0" collapsed="false">
      <c r="F755" s="37"/>
      <c r="H755" s="37"/>
    </row>
    <row r="756" customFormat="false" ht="15.75" hidden="false" customHeight="false" outlineLevel="0" collapsed="false">
      <c r="F756" s="37"/>
      <c r="H756" s="37"/>
    </row>
    <row r="757" customFormat="false" ht="15.75" hidden="false" customHeight="false" outlineLevel="0" collapsed="false">
      <c r="F757" s="37"/>
      <c r="H757" s="37"/>
    </row>
    <row r="758" customFormat="false" ht="15.75" hidden="false" customHeight="false" outlineLevel="0" collapsed="false">
      <c r="F758" s="37"/>
      <c r="H758" s="37"/>
    </row>
    <row r="759" customFormat="false" ht="15.75" hidden="false" customHeight="false" outlineLevel="0" collapsed="false">
      <c r="F759" s="37"/>
      <c r="H759" s="37"/>
    </row>
    <row r="760" customFormat="false" ht="15.75" hidden="false" customHeight="false" outlineLevel="0" collapsed="false">
      <c r="F760" s="37"/>
      <c r="H760" s="37"/>
    </row>
    <row r="761" customFormat="false" ht="15.75" hidden="false" customHeight="false" outlineLevel="0" collapsed="false">
      <c r="F761" s="37"/>
      <c r="H761" s="37"/>
    </row>
    <row r="762" customFormat="false" ht="15.75" hidden="false" customHeight="false" outlineLevel="0" collapsed="false">
      <c r="F762" s="37"/>
      <c r="H762" s="37"/>
    </row>
    <row r="763" customFormat="false" ht="15.75" hidden="false" customHeight="false" outlineLevel="0" collapsed="false">
      <c r="F763" s="37"/>
      <c r="H763" s="37"/>
    </row>
    <row r="764" customFormat="false" ht="15.75" hidden="false" customHeight="false" outlineLevel="0" collapsed="false">
      <c r="F764" s="37"/>
      <c r="H764" s="37"/>
    </row>
    <row r="765" customFormat="false" ht="15.75" hidden="false" customHeight="false" outlineLevel="0" collapsed="false">
      <c r="F765" s="37"/>
      <c r="H765" s="37"/>
    </row>
    <row r="766" customFormat="false" ht="15.75" hidden="false" customHeight="false" outlineLevel="0" collapsed="false">
      <c r="F766" s="37"/>
      <c r="H766" s="37"/>
    </row>
    <row r="767" customFormat="false" ht="15.75" hidden="false" customHeight="false" outlineLevel="0" collapsed="false">
      <c r="F767" s="37"/>
      <c r="H767" s="37"/>
    </row>
    <row r="768" customFormat="false" ht="15.75" hidden="false" customHeight="false" outlineLevel="0" collapsed="false">
      <c r="F768" s="37"/>
      <c r="H768" s="37"/>
    </row>
    <row r="769" customFormat="false" ht="15.75" hidden="false" customHeight="false" outlineLevel="0" collapsed="false">
      <c r="F769" s="37"/>
      <c r="H769" s="37"/>
    </row>
    <row r="770" customFormat="false" ht="15.75" hidden="false" customHeight="false" outlineLevel="0" collapsed="false">
      <c r="F770" s="37"/>
      <c r="H770" s="37"/>
    </row>
    <row r="771" customFormat="false" ht="15.75" hidden="false" customHeight="false" outlineLevel="0" collapsed="false">
      <c r="F771" s="37"/>
      <c r="H771" s="37"/>
    </row>
    <row r="772" customFormat="false" ht="15.75" hidden="false" customHeight="false" outlineLevel="0" collapsed="false">
      <c r="F772" s="37"/>
      <c r="H772" s="37"/>
    </row>
    <row r="773" customFormat="false" ht="15.75" hidden="false" customHeight="false" outlineLevel="0" collapsed="false">
      <c r="F773" s="37"/>
      <c r="H773" s="37"/>
    </row>
    <row r="774" customFormat="false" ht="15.75" hidden="false" customHeight="false" outlineLevel="0" collapsed="false">
      <c r="F774" s="37"/>
      <c r="H774" s="37"/>
    </row>
    <row r="775" customFormat="false" ht="15.75" hidden="false" customHeight="false" outlineLevel="0" collapsed="false">
      <c r="F775" s="37"/>
      <c r="H775" s="37"/>
    </row>
    <row r="776" customFormat="false" ht="15.75" hidden="false" customHeight="false" outlineLevel="0" collapsed="false">
      <c r="F776" s="37"/>
      <c r="H776" s="37"/>
    </row>
    <row r="777" customFormat="false" ht="15.75" hidden="false" customHeight="false" outlineLevel="0" collapsed="false">
      <c r="F777" s="37"/>
      <c r="H777" s="37"/>
    </row>
    <row r="778" customFormat="false" ht="15.75" hidden="false" customHeight="false" outlineLevel="0" collapsed="false">
      <c r="F778" s="37"/>
      <c r="H778" s="37"/>
    </row>
    <row r="779" customFormat="false" ht="15.75" hidden="false" customHeight="false" outlineLevel="0" collapsed="false">
      <c r="F779" s="37"/>
      <c r="H779" s="37"/>
    </row>
    <row r="780" customFormat="false" ht="15.75" hidden="false" customHeight="false" outlineLevel="0" collapsed="false">
      <c r="F780" s="37"/>
      <c r="H780" s="37"/>
    </row>
    <row r="781" customFormat="false" ht="15.75" hidden="false" customHeight="false" outlineLevel="0" collapsed="false">
      <c r="F781" s="37"/>
      <c r="H781" s="37"/>
    </row>
    <row r="782" customFormat="false" ht="15.75" hidden="false" customHeight="false" outlineLevel="0" collapsed="false">
      <c r="F782" s="37"/>
      <c r="H782" s="37"/>
    </row>
    <row r="783" customFormat="false" ht="15.75" hidden="false" customHeight="false" outlineLevel="0" collapsed="false">
      <c r="F783" s="37"/>
      <c r="H783" s="37"/>
    </row>
    <row r="784" customFormat="false" ht="15.75" hidden="false" customHeight="false" outlineLevel="0" collapsed="false">
      <c r="F784" s="37"/>
      <c r="H784" s="37"/>
    </row>
    <row r="785" customFormat="false" ht="15.75" hidden="false" customHeight="false" outlineLevel="0" collapsed="false">
      <c r="F785" s="37"/>
      <c r="H785" s="37"/>
    </row>
    <row r="786" customFormat="false" ht="15.75" hidden="false" customHeight="false" outlineLevel="0" collapsed="false">
      <c r="F786" s="37"/>
      <c r="H786" s="37"/>
    </row>
    <row r="787" customFormat="false" ht="15.75" hidden="false" customHeight="false" outlineLevel="0" collapsed="false">
      <c r="F787" s="37"/>
      <c r="H787" s="37"/>
    </row>
    <row r="788" customFormat="false" ht="15.75" hidden="false" customHeight="false" outlineLevel="0" collapsed="false">
      <c r="F788" s="37"/>
      <c r="H788" s="37"/>
    </row>
    <row r="789" customFormat="false" ht="15.75" hidden="false" customHeight="false" outlineLevel="0" collapsed="false">
      <c r="F789" s="37"/>
      <c r="H789" s="37"/>
    </row>
    <row r="790" customFormat="false" ht="15.75" hidden="false" customHeight="false" outlineLevel="0" collapsed="false">
      <c r="F790" s="37"/>
      <c r="H790" s="37"/>
    </row>
    <row r="791" customFormat="false" ht="15.75" hidden="false" customHeight="false" outlineLevel="0" collapsed="false">
      <c r="F791" s="37"/>
      <c r="H791" s="37"/>
    </row>
    <row r="792" customFormat="false" ht="15.75" hidden="false" customHeight="false" outlineLevel="0" collapsed="false">
      <c r="F792" s="37"/>
      <c r="H792" s="37"/>
    </row>
    <row r="793" customFormat="false" ht="15.75" hidden="false" customHeight="false" outlineLevel="0" collapsed="false">
      <c r="F793" s="37"/>
      <c r="H793" s="37"/>
    </row>
    <row r="794" customFormat="false" ht="15.75" hidden="false" customHeight="false" outlineLevel="0" collapsed="false">
      <c r="F794" s="37"/>
      <c r="H794" s="37"/>
    </row>
    <row r="795" customFormat="false" ht="15.75" hidden="false" customHeight="false" outlineLevel="0" collapsed="false">
      <c r="F795" s="37"/>
      <c r="H795" s="37"/>
    </row>
    <row r="796" customFormat="false" ht="15.75" hidden="false" customHeight="false" outlineLevel="0" collapsed="false">
      <c r="F796" s="37"/>
      <c r="H796" s="37"/>
    </row>
    <row r="797" customFormat="false" ht="15.75" hidden="false" customHeight="false" outlineLevel="0" collapsed="false">
      <c r="F797" s="37"/>
      <c r="H797" s="37"/>
    </row>
    <row r="798" customFormat="false" ht="15.75" hidden="false" customHeight="false" outlineLevel="0" collapsed="false">
      <c r="F798" s="37"/>
      <c r="H798" s="37"/>
    </row>
    <row r="799" customFormat="false" ht="15.75" hidden="false" customHeight="false" outlineLevel="0" collapsed="false">
      <c r="F799" s="37"/>
      <c r="H799" s="37"/>
    </row>
    <row r="800" customFormat="false" ht="15.75" hidden="false" customHeight="false" outlineLevel="0" collapsed="false">
      <c r="F800" s="37"/>
      <c r="H800" s="37"/>
    </row>
    <row r="801" customFormat="false" ht="15.75" hidden="false" customHeight="false" outlineLevel="0" collapsed="false">
      <c r="F801" s="37"/>
      <c r="H801" s="37"/>
    </row>
    <row r="802" customFormat="false" ht="15.75" hidden="false" customHeight="false" outlineLevel="0" collapsed="false">
      <c r="F802" s="37"/>
      <c r="H802" s="37"/>
    </row>
    <row r="803" customFormat="false" ht="15.75" hidden="false" customHeight="false" outlineLevel="0" collapsed="false">
      <c r="F803" s="37"/>
      <c r="H803" s="37"/>
    </row>
    <row r="804" customFormat="false" ht="15.75" hidden="false" customHeight="false" outlineLevel="0" collapsed="false">
      <c r="F804" s="37"/>
      <c r="H804" s="37"/>
    </row>
    <row r="805" customFormat="false" ht="15.75" hidden="false" customHeight="false" outlineLevel="0" collapsed="false">
      <c r="F805" s="37"/>
      <c r="H805" s="37"/>
    </row>
    <row r="806" customFormat="false" ht="15.75" hidden="false" customHeight="false" outlineLevel="0" collapsed="false">
      <c r="F806" s="37"/>
      <c r="H806" s="37"/>
    </row>
    <row r="807" customFormat="false" ht="15.75" hidden="false" customHeight="false" outlineLevel="0" collapsed="false">
      <c r="F807" s="37"/>
      <c r="H807" s="37"/>
    </row>
    <row r="808" customFormat="false" ht="15.75" hidden="false" customHeight="false" outlineLevel="0" collapsed="false">
      <c r="F808" s="37"/>
      <c r="H808" s="37"/>
    </row>
    <row r="809" customFormat="false" ht="15.75" hidden="false" customHeight="false" outlineLevel="0" collapsed="false">
      <c r="F809" s="37"/>
      <c r="H809" s="37"/>
    </row>
    <row r="810" customFormat="false" ht="15.75" hidden="false" customHeight="false" outlineLevel="0" collapsed="false">
      <c r="F810" s="37"/>
      <c r="H810" s="37"/>
    </row>
    <row r="811" customFormat="false" ht="15.75" hidden="false" customHeight="false" outlineLevel="0" collapsed="false">
      <c r="F811" s="37"/>
      <c r="H811" s="37"/>
    </row>
    <row r="812" customFormat="false" ht="15.75" hidden="false" customHeight="false" outlineLevel="0" collapsed="false">
      <c r="F812" s="37"/>
      <c r="H812" s="37"/>
    </row>
    <row r="813" customFormat="false" ht="15.75" hidden="false" customHeight="false" outlineLevel="0" collapsed="false">
      <c r="F813" s="37"/>
      <c r="H813" s="37"/>
    </row>
    <row r="814" customFormat="false" ht="15.75" hidden="false" customHeight="false" outlineLevel="0" collapsed="false">
      <c r="F814" s="37"/>
      <c r="H814" s="37"/>
    </row>
    <row r="815" customFormat="false" ht="15.75" hidden="false" customHeight="false" outlineLevel="0" collapsed="false">
      <c r="F815" s="37"/>
      <c r="H815" s="37"/>
    </row>
    <row r="816" customFormat="false" ht="15.75" hidden="false" customHeight="false" outlineLevel="0" collapsed="false">
      <c r="F816" s="37"/>
      <c r="H816" s="37"/>
    </row>
    <row r="817" customFormat="false" ht="15.75" hidden="false" customHeight="false" outlineLevel="0" collapsed="false">
      <c r="F817" s="37"/>
      <c r="H817" s="37"/>
    </row>
    <row r="818" customFormat="false" ht="15.75" hidden="false" customHeight="false" outlineLevel="0" collapsed="false">
      <c r="F818" s="37"/>
      <c r="H818" s="37"/>
    </row>
    <row r="819" customFormat="false" ht="15.75" hidden="false" customHeight="false" outlineLevel="0" collapsed="false">
      <c r="F819" s="37"/>
      <c r="H819" s="37"/>
    </row>
    <row r="820" customFormat="false" ht="15.75" hidden="false" customHeight="false" outlineLevel="0" collapsed="false">
      <c r="F820" s="37"/>
      <c r="H820" s="37"/>
    </row>
    <row r="821" customFormat="false" ht="15.75" hidden="false" customHeight="false" outlineLevel="0" collapsed="false">
      <c r="F821" s="37"/>
      <c r="H821" s="37"/>
    </row>
    <row r="822" customFormat="false" ht="15.75" hidden="false" customHeight="false" outlineLevel="0" collapsed="false">
      <c r="F822" s="37"/>
      <c r="H822" s="37"/>
    </row>
    <row r="823" customFormat="false" ht="15.75" hidden="false" customHeight="false" outlineLevel="0" collapsed="false">
      <c r="F823" s="37"/>
      <c r="H823" s="37"/>
    </row>
    <row r="824" customFormat="false" ht="15.75" hidden="false" customHeight="false" outlineLevel="0" collapsed="false">
      <c r="F824" s="37"/>
      <c r="H824" s="37"/>
    </row>
    <row r="825" customFormat="false" ht="15.75" hidden="false" customHeight="false" outlineLevel="0" collapsed="false">
      <c r="F825" s="37"/>
      <c r="H825" s="37"/>
    </row>
    <row r="826" customFormat="false" ht="15.75" hidden="false" customHeight="false" outlineLevel="0" collapsed="false">
      <c r="F826" s="37"/>
      <c r="H826" s="37"/>
    </row>
    <row r="827" customFormat="false" ht="15.75" hidden="false" customHeight="false" outlineLevel="0" collapsed="false">
      <c r="F827" s="37"/>
      <c r="H827" s="37"/>
    </row>
    <row r="828" customFormat="false" ht="15.75" hidden="false" customHeight="false" outlineLevel="0" collapsed="false">
      <c r="F828" s="37"/>
      <c r="H828" s="37"/>
    </row>
    <row r="829" customFormat="false" ht="15.75" hidden="false" customHeight="false" outlineLevel="0" collapsed="false">
      <c r="F829" s="37"/>
      <c r="H829" s="37"/>
    </row>
    <row r="830" customFormat="false" ht="15.75" hidden="false" customHeight="false" outlineLevel="0" collapsed="false">
      <c r="F830" s="37"/>
      <c r="H830" s="37"/>
    </row>
    <row r="831" customFormat="false" ht="15.75" hidden="false" customHeight="false" outlineLevel="0" collapsed="false">
      <c r="F831" s="37"/>
      <c r="H831" s="37"/>
    </row>
    <row r="832" customFormat="false" ht="15.75" hidden="false" customHeight="false" outlineLevel="0" collapsed="false">
      <c r="F832" s="37"/>
      <c r="H832" s="37"/>
    </row>
    <row r="833" customFormat="false" ht="15.75" hidden="false" customHeight="false" outlineLevel="0" collapsed="false">
      <c r="F833" s="37"/>
      <c r="H833" s="37"/>
    </row>
    <row r="834" customFormat="false" ht="15.75" hidden="false" customHeight="false" outlineLevel="0" collapsed="false">
      <c r="F834" s="37"/>
      <c r="H834" s="37"/>
    </row>
    <row r="835" customFormat="false" ht="15.75" hidden="false" customHeight="false" outlineLevel="0" collapsed="false">
      <c r="F835" s="37"/>
      <c r="H835" s="37"/>
    </row>
    <row r="836" customFormat="false" ht="15.75" hidden="false" customHeight="false" outlineLevel="0" collapsed="false">
      <c r="F836" s="37"/>
      <c r="H836" s="37"/>
    </row>
    <row r="837" customFormat="false" ht="15.75" hidden="false" customHeight="false" outlineLevel="0" collapsed="false">
      <c r="F837" s="37"/>
      <c r="H837" s="37"/>
    </row>
    <row r="838" customFormat="false" ht="15.75" hidden="false" customHeight="false" outlineLevel="0" collapsed="false">
      <c r="F838" s="37"/>
      <c r="H838" s="37"/>
    </row>
    <row r="839" customFormat="false" ht="15.75" hidden="false" customHeight="false" outlineLevel="0" collapsed="false">
      <c r="F839" s="37"/>
      <c r="H839" s="37"/>
    </row>
    <row r="840" customFormat="false" ht="15.75" hidden="false" customHeight="false" outlineLevel="0" collapsed="false">
      <c r="F840" s="37"/>
      <c r="H840" s="37"/>
    </row>
    <row r="841" customFormat="false" ht="15.75" hidden="false" customHeight="false" outlineLevel="0" collapsed="false">
      <c r="F841" s="37"/>
      <c r="H841" s="37"/>
    </row>
    <row r="842" customFormat="false" ht="15.75" hidden="false" customHeight="false" outlineLevel="0" collapsed="false">
      <c r="F842" s="37"/>
      <c r="H842" s="37"/>
    </row>
    <row r="843" customFormat="false" ht="15.75" hidden="false" customHeight="false" outlineLevel="0" collapsed="false">
      <c r="F843" s="37"/>
      <c r="H843" s="37"/>
    </row>
    <row r="844" customFormat="false" ht="15.75" hidden="false" customHeight="false" outlineLevel="0" collapsed="false">
      <c r="F844" s="37"/>
      <c r="H844" s="37"/>
    </row>
    <row r="845" customFormat="false" ht="15.75" hidden="false" customHeight="false" outlineLevel="0" collapsed="false">
      <c r="F845" s="37"/>
      <c r="H845" s="37"/>
    </row>
    <row r="846" customFormat="false" ht="15.75" hidden="false" customHeight="false" outlineLevel="0" collapsed="false">
      <c r="F846" s="37"/>
      <c r="H846" s="37"/>
    </row>
    <row r="847" customFormat="false" ht="15.75" hidden="false" customHeight="false" outlineLevel="0" collapsed="false">
      <c r="F847" s="37"/>
      <c r="H847" s="37"/>
    </row>
    <row r="848" customFormat="false" ht="15.75" hidden="false" customHeight="false" outlineLevel="0" collapsed="false">
      <c r="F848" s="37"/>
      <c r="H848" s="37"/>
    </row>
    <row r="849" customFormat="false" ht="15.75" hidden="false" customHeight="false" outlineLevel="0" collapsed="false">
      <c r="F849" s="37"/>
      <c r="H849" s="37"/>
    </row>
    <row r="850" customFormat="false" ht="15.75" hidden="false" customHeight="false" outlineLevel="0" collapsed="false">
      <c r="F850" s="37"/>
      <c r="H850" s="37"/>
    </row>
    <row r="851" customFormat="false" ht="15.75" hidden="false" customHeight="false" outlineLevel="0" collapsed="false">
      <c r="F851" s="37"/>
      <c r="H851" s="37"/>
    </row>
    <row r="852" customFormat="false" ht="15.75" hidden="false" customHeight="false" outlineLevel="0" collapsed="false">
      <c r="F852" s="37"/>
      <c r="H852" s="37"/>
    </row>
    <row r="853" customFormat="false" ht="15.75" hidden="false" customHeight="false" outlineLevel="0" collapsed="false">
      <c r="F853" s="37"/>
      <c r="H853" s="37"/>
    </row>
    <row r="854" customFormat="false" ht="15.75" hidden="false" customHeight="false" outlineLevel="0" collapsed="false">
      <c r="F854" s="37"/>
      <c r="H854" s="37"/>
    </row>
    <row r="855" customFormat="false" ht="15.75" hidden="false" customHeight="false" outlineLevel="0" collapsed="false">
      <c r="F855" s="37"/>
      <c r="H855" s="37"/>
    </row>
    <row r="856" customFormat="false" ht="15.75" hidden="false" customHeight="false" outlineLevel="0" collapsed="false">
      <c r="F856" s="37"/>
      <c r="H856" s="37"/>
    </row>
    <row r="857" customFormat="false" ht="15.75" hidden="false" customHeight="false" outlineLevel="0" collapsed="false">
      <c r="F857" s="37"/>
      <c r="H857" s="37"/>
    </row>
    <row r="858" customFormat="false" ht="15.75" hidden="false" customHeight="false" outlineLevel="0" collapsed="false">
      <c r="F858" s="37"/>
      <c r="H858" s="37"/>
    </row>
    <row r="859" customFormat="false" ht="15.75" hidden="false" customHeight="false" outlineLevel="0" collapsed="false">
      <c r="F859" s="37"/>
      <c r="H859" s="37"/>
    </row>
    <row r="860" customFormat="false" ht="15.75" hidden="false" customHeight="false" outlineLevel="0" collapsed="false">
      <c r="F860" s="37"/>
      <c r="H860" s="37"/>
    </row>
    <row r="861" customFormat="false" ht="15.75" hidden="false" customHeight="false" outlineLevel="0" collapsed="false">
      <c r="F861" s="37"/>
      <c r="H861" s="37"/>
    </row>
    <row r="862" customFormat="false" ht="15.75" hidden="false" customHeight="false" outlineLevel="0" collapsed="false">
      <c r="F862" s="37"/>
      <c r="H862" s="37"/>
    </row>
    <row r="863" customFormat="false" ht="15.75" hidden="false" customHeight="false" outlineLevel="0" collapsed="false">
      <c r="F863" s="37"/>
      <c r="H863" s="37"/>
    </row>
    <row r="864" customFormat="false" ht="15.75" hidden="false" customHeight="false" outlineLevel="0" collapsed="false">
      <c r="F864" s="37"/>
      <c r="H864" s="37"/>
    </row>
    <row r="865" customFormat="false" ht="15.75" hidden="false" customHeight="false" outlineLevel="0" collapsed="false">
      <c r="F865" s="37"/>
      <c r="H865" s="37"/>
    </row>
    <row r="866" customFormat="false" ht="15.75" hidden="false" customHeight="false" outlineLevel="0" collapsed="false">
      <c r="F866" s="37"/>
      <c r="H866" s="37"/>
    </row>
    <row r="867" customFormat="false" ht="15.75" hidden="false" customHeight="false" outlineLevel="0" collapsed="false">
      <c r="F867" s="37"/>
      <c r="H867" s="37"/>
    </row>
    <row r="868" customFormat="false" ht="15.75" hidden="false" customHeight="false" outlineLevel="0" collapsed="false">
      <c r="F868" s="37"/>
      <c r="H868" s="37"/>
    </row>
    <row r="869" customFormat="false" ht="15.75" hidden="false" customHeight="false" outlineLevel="0" collapsed="false">
      <c r="F869" s="37"/>
      <c r="H869" s="37"/>
    </row>
    <row r="870" customFormat="false" ht="15.75" hidden="false" customHeight="false" outlineLevel="0" collapsed="false">
      <c r="F870" s="37"/>
      <c r="H870" s="37"/>
    </row>
    <row r="871" customFormat="false" ht="15.75" hidden="false" customHeight="false" outlineLevel="0" collapsed="false">
      <c r="F871" s="37"/>
      <c r="H871" s="37"/>
    </row>
    <row r="872" customFormat="false" ht="15.75" hidden="false" customHeight="false" outlineLevel="0" collapsed="false">
      <c r="F872" s="37"/>
      <c r="H872" s="37"/>
    </row>
    <row r="873" customFormat="false" ht="15.75" hidden="false" customHeight="false" outlineLevel="0" collapsed="false">
      <c r="F873" s="37"/>
      <c r="H873" s="37"/>
    </row>
    <row r="874" customFormat="false" ht="15.75" hidden="false" customHeight="false" outlineLevel="0" collapsed="false">
      <c r="F874" s="37"/>
      <c r="H874" s="37"/>
    </row>
    <row r="875" customFormat="false" ht="15.75" hidden="false" customHeight="false" outlineLevel="0" collapsed="false">
      <c r="F875" s="37"/>
      <c r="H875" s="37"/>
    </row>
    <row r="876" customFormat="false" ht="15.75" hidden="false" customHeight="false" outlineLevel="0" collapsed="false">
      <c r="F876" s="37"/>
      <c r="H876" s="37"/>
    </row>
    <row r="877" customFormat="false" ht="15.75" hidden="false" customHeight="false" outlineLevel="0" collapsed="false">
      <c r="F877" s="37"/>
      <c r="H877" s="37"/>
    </row>
    <row r="878" customFormat="false" ht="15.75" hidden="false" customHeight="false" outlineLevel="0" collapsed="false">
      <c r="F878" s="37"/>
      <c r="H878" s="37"/>
    </row>
    <row r="879" customFormat="false" ht="15.75" hidden="false" customHeight="false" outlineLevel="0" collapsed="false">
      <c r="F879" s="37"/>
      <c r="H879" s="37"/>
    </row>
    <row r="880" customFormat="false" ht="15.75" hidden="false" customHeight="false" outlineLevel="0" collapsed="false">
      <c r="F880" s="37"/>
      <c r="H880" s="37"/>
    </row>
    <row r="881" customFormat="false" ht="15.75" hidden="false" customHeight="false" outlineLevel="0" collapsed="false">
      <c r="F881" s="37"/>
      <c r="H881" s="37"/>
    </row>
    <row r="882" customFormat="false" ht="15.75" hidden="false" customHeight="false" outlineLevel="0" collapsed="false">
      <c r="F882" s="37"/>
      <c r="H882" s="37"/>
    </row>
    <row r="883" customFormat="false" ht="15.75" hidden="false" customHeight="false" outlineLevel="0" collapsed="false">
      <c r="F883" s="37"/>
      <c r="H883" s="37"/>
    </row>
    <row r="884" customFormat="false" ht="15.75" hidden="false" customHeight="false" outlineLevel="0" collapsed="false">
      <c r="F884" s="37"/>
      <c r="H884" s="37"/>
    </row>
    <row r="885" customFormat="false" ht="15.75" hidden="false" customHeight="false" outlineLevel="0" collapsed="false">
      <c r="F885" s="37"/>
      <c r="H885" s="37"/>
    </row>
    <row r="886" customFormat="false" ht="15.75" hidden="false" customHeight="false" outlineLevel="0" collapsed="false">
      <c r="F886" s="37"/>
      <c r="H886" s="37"/>
    </row>
    <row r="887" customFormat="false" ht="15.75" hidden="false" customHeight="false" outlineLevel="0" collapsed="false">
      <c r="F887" s="37"/>
      <c r="H887" s="37"/>
    </row>
    <row r="888" customFormat="false" ht="15.75" hidden="false" customHeight="false" outlineLevel="0" collapsed="false">
      <c r="F888" s="37"/>
      <c r="H888" s="37"/>
    </row>
    <row r="889" customFormat="false" ht="15.75" hidden="false" customHeight="false" outlineLevel="0" collapsed="false">
      <c r="F889" s="37"/>
      <c r="H889" s="37"/>
    </row>
    <row r="890" customFormat="false" ht="15.75" hidden="false" customHeight="false" outlineLevel="0" collapsed="false">
      <c r="F890" s="37"/>
      <c r="H890" s="37"/>
    </row>
    <row r="891" customFormat="false" ht="15.75" hidden="false" customHeight="false" outlineLevel="0" collapsed="false">
      <c r="F891" s="37"/>
      <c r="H891" s="37"/>
    </row>
    <row r="892" customFormat="false" ht="15.75" hidden="false" customHeight="false" outlineLevel="0" collapsed="false">
      <c r="F892" s="37"/>
      <c r="H892" s="37"/>
    </row>
    <row r="893" customFormat="false" ht="15.75" hidden="false" customHeight="false" outlineLevel="0" collapsed="false">
      <c r="F893" s="37"/>
      <c r="H893" s="37"/>
    </row>
    <row r="894" customFormat="false" ht="15.75" hidden="false" customHeight="false" outlineLevel="0" collapsed="false">
      <c r="F894" s="37"/>
      <c r="H894" s="37"/>
    </row>
    <row r="895" customFormat="false" ht="15.75" hidden="false" customHeight="false" outlineLevel="0" collapsed="false">
      <c r="F895" s="37"/>
      <c r="H895" s="37"/>
    </row>
    <row r="896" customFormat="false" ht="15.75" hidden="false" customHeight="false" outlineLevel="0" collapsed="false">
      <c r="F896" s="37"/>
      <c r="H896" s="37"/>
    </row>
    <row r="897" customFormat="false" ht="15.75" hidden="false" customHeight="false" outlineLevel="0" collapsed="false">
      <c r="F897" s="37"/>
      <c r="H897" s="37"/>
    </row>
    <row r="898" customFormat="false" ht="15.75" hidden="false" customHeight="false" outlineLevel="0" collapsed="false">
      <c r="F898" s="37"/>
      <c r="H898" s="37"/>
    </row>
    <row r="899" customFormat="false" ht="15.75" hidden="false" customHeight="false" outlineLevel="0" collapsed="false">
      <c r="F899" s="37"/>
      <c r="H899" s="37"/>
    </row>
    <row r="900" customFormat="false" ht="15.75" hidden="false" customHeight="false" outlineLevel="0" collapsed="false">
      <c r="F900" s="37"/>
      <c r="H900" s="37"/>
    </row>
    <row r="901" customFormat="false" ht="15.75" hidden="false" customHeight="false" outlineLevel="0" collapsed="false">
      <c r="F901" s="37"/>
      <c r="H901" s="37"/>
    </row>
    <row r="902" customFormat="false" ht="15.75" hidden="false" customHeight="false" outlineLevel="0" collapsed="false">
      <c r="F902" s="37"/>
      <c r="H902" s="37"/>
    </row>
    <row r="903" customFormat="false" ht="15.75" hidden="false" customHeight="false" outlineLevel="0" collapsed="false">
      <c r="F903" s="37"/>
      <c r="H903" s="37"/>
    </row>
    <row r="904" customFormat="false" ht="15.75" hidden="false" customHeight="false" outlineLevel="0" collapsed="false">
      <c r="F904" s="37"/>
      <c r="H904" s="37"/>
    </row>
    <row r="905" customFormat="false" ht="15.75" hidden="false" customHeight="false" outlineLevel="0" collapsed="false">
      <c r="F905" s="37"/>
      <c r="H905" s="37"/>
    </row>
    <row r="906" customFormat="false" ht="15.75" hidden="false" customHeight="false" outlineLevel="0" collapsed="false">
      <c r="F906" s="37"/>
      <c r="H906" s="37"/>
    </row>
    <row r="907" customFormat="false" ht="15.75" hidden="false" customHeight="false" outlineLevel="0" collapsed="false">
      <c r="F907" s="37"/>
      <c r="H907" s="37"/>
    </row>
    <row r="908" customFormat="false" ht="15.75" hidden="false" customHeight="false" outlineLevel="0" collapsed="false">
      <c r="F908" s="37"/>
      <c r="H908" s="37"/>
    </row>
    <row r="909" customFormat="false" ht="15.75" hidden="false" customHeight="false" outlineLevel="0" collapsed="false">
      <c r="F909" s="37"/>
      <c r="H909" s="37"/>
    </row>
    <row r="910" customFormat="false" ht="15.75" hidden="false" customHeight="false" outlineLevel="0" collapsed="false">
      <c r="F910" s="37"/>
      <c r="H910" s="37"/>
    </row>
    <row r="911" customFormat="false" ht="15.75" hidden="false" customHeight="false" outlineLevel="0" collapsed="false">
      <c r="F911" s="37"/>
      <c r="H911" s="37"/>
    </row>
    <row r="912" customFormat="false" ht="15.75" hidden="false" customHeight="false" outlineLevel="0" collapsed="false">
      <c r="F912" s="37"/>
      <c r="H912" s="37"/>
    </row>
    <row r="913" customFormat="false" ht="15.75" hidden="false" customHeight="false" outlineLevel="0" collapsed="false">
      <c r="F913" s="37"/>
      <c r="H913" s="37"/>
    </row>
    <row r="914" customFormat="false" ht="15.75" hidden="false" customHeight="false" outlineLevel="0" collapsed="false">
      <c r="F914" s="37"/>
      <c r="H914" s="37"/>
    </row>
    <row r="915" customFormat="false" ht="15.75" hidden="false" customHeight="false" outlineLevel="0" collapsed="false">
      <c r="F915" s="37"/>
      <c r="H915" s="37"/>
    </row>
    <row r="916" customFormat="false" ht="15.75" hidden="false" customHeight="false" outlineLevel="0" collapsed="false">
      <c r="F916" s="37"/>
      <c r="H916" s="37"/>
    </row>
    <row r="917" customFormat="false" ht="15.75" hidden="false" customHeight="false" outlineLevel="0" collapsed="false">
      <c r="F917" s="37"/>
      <c r="H917" s="37"/>
    </row>
    <row r="918" customFormat="false" ht="15.75" hidden="false" customHeight="false" outlineLevel="0" collapsed="false">
      <c r="F918" s="37"/>
      <c r="H918" s="37"/>
    </row>
    <row r="919" customFormat="false" ht="15.75" hidden="false" customHeight="false" outlineLevel="0" collapsed="false">
      <c r="F919" s="37"/>
      <c r="H919" s="37"/>
    </row>
    <row r="920" customFormat="false" ht="15.75" hidden="false" customHeight="false" outlineLevel="0" collapsed="false">
      <c r="F920" s="37"/>
      <c r="H920" s="37"/>
    </row>
    <row r="921" customFormat="false" ht="15.75" hidden="false" customHeight="false" outlineLevel="0" collapsed="false">
      <c r="F921" s="37"/>
      <c r="H921" s="37"/>
    </row>
    <row r="922" customFormat="false" ht="15.75" hidden="false" customHeight="false" outlineLevel="0" collapsed="false">
      <c r="F922" s="37"/>
      <c r="H922" s="37"/>
    </row>
    <row r="923" customFormat="false" ht="15.75" hidden="false" customHeight="false" outlineLevel="0" collapsed="false">
      <c r="F923" s="37"/>
      <c r="H923" s="37"/>
    </row>
    <row r="924" customFormat="false" ht="15.75" hidden="false" customHeight="false" outlineLevel="0" collapsed="false">
      <c r="F924" s="37"/>
      <c r="H924" s="37"/>
    </row>
    <row r="925" customFormat="false" ht="15.75" hidden="false" customHeight="false" outlineLevel="0" collapsed="false">
      <c r="F925" s="37"/>
      <c r="H925" s="37"/>
    </row>
    <row r="926" customFormat="false" ht="15.75" hidden="false" customHeight="false" outlineLevel="0" collapsed="false">
      <c r="F926" s="37"/>
      <c r="H926" s="37"/>
    </row>
    <row r="927" customFormat="false" ht="15.75" hidden="false" customHeight="false" outlineLevel="0" collapsed="false">
      <c r="F927" s="37"/>
      <c r="H927" s="37"/>
    </row>
    <row r="928" customFormat="false" ht="15.75" hidden="false" customHeight="false" outlineLevel="0" collapsed="false">
      <c r="F928" s="37"/>
      <c r="H928" s="37"/>
    </row>
    <row r="929" customFormat="false" ht="15.75" hidden="false" customHeight="false" outlineLevel="0" collapsed="false">
      <c r="F929" s="37"/>
      <c r="H929" s="37"/>
    </row>
    <row r="930" customFormat="false" ht="15.75" hidden="false" customHeight="false" outlineLevel="0" collapsed="false">
      <c r="F930" s="37"/>
      <c r="H930" s="37"/>
    </row>
    <row r="931" customFormat="false" ht="15.75" hidden="false" customHeight="false" outlineLevel="0" collapsed="false">
      <c r="F931" s="37"/>
      <c r="H931" s="37"/>
    </row>
    <row r="932" customFormat="false" ht="15.75" hidden="false" customHeight="false" outlineLevel="0" collapsed="false">
      <c r="F932" s="37"/>
      <c r="H932" s="37"/>
    </row>
    <row r="933" customFormat="false" ht="15.75" hidden="false" customHeight="false" outlineLevel="0" collapsed="false">
      <c r="F933" s="37"/>
      <c r="H933" s="37"/>
    </row>
    <row r="934" customFormat="false" ht="15.75" hidden="false" customHeight="false" outlineLevel="0" collapsed="false">
      <c r="F934" s="37"/>
      <c r="H934" s="37"/>
    </row>
    <row r="935" customFormat="false" ht="15.75" hidden="false" customHeight="false" outlineLevel="0" collapsed="false">
      <c r="F935" s="37"/>
      <c r="H935" s="37"/>
    </row>
    <row r="936" customFormat="false" ht="15.75" hidden="false" customHeight="false" outlineLevel="0" collapsed="false">
      <c r="F936" s="37"/>
      <c r="H936" s="37"/>
    </row>
    <row r="937" customFormat="false" ht="15.75" hidden="false" customHeight="false" outlineLevel="0" collapsed="false">
      <c r="F937" s="37"/>
      <c r="H937" s="37"/>
    </row>
    <row r="938" customFormat="false" ht="15.75" hidden="false" customHeight="false" outlineLevel="0" collapsed="false">
      <c r="F938" s="37"/>
      <c r="H938" s="37"/>
    </row>
    <row r="939" customFormat="false" ht="15.75" hidden="false" customHeight="false" outlineLevel="0" collapsed="false">
      <c r="F939" s="37"/>
      <c r="H939" s="37"/>
    </row>
    <row r="940" customFormat="false" ht="15.75" hidden="false" customHeight="false" outlineLevel="0" collapsed="false">
      <c r="F940" s="37"/>
      <c r="H940" s="37"/>
    </row>
    <row r="941" customFormat="false" ht="15.75" hidden="false" customHeight="false" outlineLevel="0" collapsed="false">
      <c r="F941" s="37"/>
      <c r="H941" s="37"/>
    </row>
    <row r="942" customFormat="false" ht="15.75" hidden="false" customHeight="false" outlineLevel="0" collapsed="false">
      <c r="F942" s="37"/>
      <c r="H942" s="37"/>
    </row>
    <row r="943" customFormat="false" ht="15.75" hidden="false" customHeight="false" outlineLevel="0" collapsed="false">
      <c r="F943" s="37"/>
      <c r="H943" s="37"/>
    </row>
    <row r="944" customFormat="false" ht="15.75" hidden="false" customHeight="false" outlineLevel="0" collapsed="false">
      <c r="F944" s="37"/>
      <c r="H944" s="37"/>
    </row>
    <row r="945" customFormat="false" ht="15.75" hidden="false" customHeight="false" outlineLevel="0" collapsed="false">
      <c r="F945" s="37"/>
      <c r="H945" s="37"/>
    </row>
    <row r="946" customFormat="false" ht="15.75" hidden="false" customHeight="false" outlineLevel="0" collapsed="false">
      <c r="F946" s="37"/>
      <c r="H946" s="37"/>
    </row>
    <row r="947" customFormat="false" ht="15.75" hidden="false" customHeight="false" outlineLevel="0" collapsed="false">
      <c r="F947" s="37"/>
      <c r="H947" s="37"/>
    </row>
    <row r="948" customFormat="false" ht="15.75" hidden="false" customHeight="false" outlineLevel="0" collapsed="false">
      <c r="F948" s="37"/>
      <c r="H948" s="37"/>
    </row>
    <row r="949" customFormat="false" ht="15.75" hidden="false" customHeight="false" outlineLevel="0" collapsed="false">
      <c r="F949" s="37"/>
      <c r="H949" s="37"/>
    </row>
    <row r="950" customFormat="false" ht="15.75" hidden="false" customHeight="false" outlineLevel="0" collapsed="false">
      <c r="F950" s="37"/>
      <c r="H950" s="37"/>
    </row>
    <row r="951" customFormat="false" ht="15.75" hidden="false" customHeight="false" outlineLevel="0" collapsed="false">
      <c r="F951" s="37"/>
      <c r="H951" s="37"/>
    </row>
    <row r="952" customFormat="false" ht="15.75" hidden="false" customHeight="false" outlineLevel="0" collapsed="false">
      <c r="F952" s="37"/>
      <c r="H952" s="37"/>
    </row>
    <row r="953" customFormat="false" ht="15.75" hidden="false" customHeight="false" outlineLevel="0" collapsed="false">
      <c r="F953" s="37"/>
      <c r="H953" s="37"/>
    </row>
    <row r="954" customFormat="false" ht="15.75" hidden="false" customHeight="false" outlineLevel="0" collapsed="false">
      <c r="F954" s="37"/>
      <c r="H954" s="37"/>
    </row>
    <row r="955" customFormat="false" ht="15.75" hidden="false" customHeight="false" outlineLevel="0" collapsed="false">
      <c r="F955" s="37"/>
      <c r="H955" s="37"/>
    </row>
    <row r="956" customFormat="false" ht="15.75" hidden="false" customHeight="false" outlineLevel="0" collapsed="false">
      <c r="F956" s="37"/>
      <c r="H956" s="37"/>
    </row>
    <row r="957" customFormat="false" ht="15.75" hidden="false" customHeight="false" outlineLevel="0" collapsed="false">
      <c r="F957" s="37"/>
      <c r="H957" s="37"/>
    </row>
    <row r="958" customFormat="false" ht="15.75" hidden="false" customHeight="false" outlineLevel="0" collapsed="false">
      <c r="F958" s="37"/>
      <c r="H958" s="37"/>
    </row>
    <row r="959" customFormat="false" ht="15.75" hidden="false" customHeight="false" outlineLevel="0" collapsed="false">
      <c r="F959" s="37"/>
      <c r="H959" s="37"/>
    </row>
    <row r="960" customFormat="false" ht="15.75" hidden="false" customHeight="false" outlineLevel="0" collapsed="false">
      <c r="F960" s="37"/>
      <c r="H960" s="37"/>
    </row>
    <row r="961" customFormat="false" ht="15.75" hidden="false" customHeight="false" outlineLevel="0" collapsed="false">
      <c r="F961" s="37"/>
      <c r="H961" s="37"/>
    </row>
    <row r="962" customFormat="false" ht="15.75" hidden="false" customHeight="false" outlineLevel="0" collapsed="false">
      <c r="F962" s="37"/>
      <c r="H962" s="37"/>
    </row>
    <row r="963" customFormat="false" ht="15.75" hidden="false" customHeight="false" outlineLevel="0" collapsed="false">
      <c r="F963" s="37"/>
      <c r="H963" s="37"/>
    </row>
    <row r="964" customFormat="false" ht="15.75" hidden="false" customHeight="false" outlineLevel="0" collapsed="false">
      <c r="F964" s="37"/>
      <c r="H964" s="37"/>
    </row>
    <row r="965" customFormat="false" ht="15.75" hidden="false" customHeight="false" outlineLevel="0" collapsed="false">
      <c r="F965" s="37"/>
      <c r="H965" s="37"/>
    </row>
    <row r="966" customFormat="false" ht="15.75" hidden="false" customHeight="false" outlineLevel="0" collapsed="false">
      <c r="F966" s="37"/>
      <c r="H966" s="37"/>
    </row>
    <row r="967" customFormat="false" ht="15.75" hidden="false" customHeight="false" outlineLevel="0" collapsed="false">
      <c r="F967" s="37"/>
      <c r="H967" s="37"/>
    </row>
    <row r="968" customFormat="false" ht="15.75" hidden="false" customHeight="false" outlineLevel="0" collapsed="false">
      <c r="F968" s="37"/>
      <c r="H968" s="37"/>
    </row>
    <row r="969" customFormat="false" ht="15.75" hidden="false" customHeight="false" outlineLevel="0" collapsed="false">
      <c r="F969" s="37"/>
      <c r="H969" s="37"/>
    </row>
    <row r="970" customFormat="false" ht="15.75" hidden="false" customHeight="false" outlineLevel="0" collapsed="false">
      <c r="F970" s="37"/>
      <c r="H970" s="37"/>
    </row>
    <row r="971" customFormat="false" ht="15.75" hidden="false" customHeight="false" outlineLevel="0" collapsed="false">
      <c r="F971" s="37"/>
      <c r="H971" s="37"/>
    </row>
    <row r="972" customFormat="false" ht="15.75" hidden="false" customHeight="false" outlineLevel="0" collapsed="false">
      <c r="F972" s="37"/>
      <c r="H972" s="37"/>
    </row>
    <row r="973" customFormat="false" ht="15.75" hidden="false" customHeight="false" outlineLevel="0" collapsed="false">
      <c r="F973" s="37"/>
      <c r="H973" s="37"/>
    </row>
    <row r="974" customFormat="false" ht="15.75" hidden="false" customHeight="false" outlineLevel="0" collapsed="false">
      <c r="F974" s="37"/>
      <c r="H974" s="37"/>
    </row>
    <row r="975" customFormat="false" ht="15.75" hidden="false" customHeight="false" outlineLevel="0" collapsed="false">
      <c r="F975" s="37"/>
      <c r="H975" s="37"/>
    </row>
    <row r="976" customFormat="false" ht="15.75" hidden="false" customHeight="false" outlineLevel="0" collapsed="false">
      <c r="F976" s="37"/>
      <c r="H976" s="37"/>
    </row>
    <row r="977" customFormat="false" ht="15.75" hidden="false" customHeight="false" outlineLevel="0" collapsed="false">
      <c r="F977" s="37"/>
      <c r="H977" s="37"/>
    </row>
    <row r="978" customFormat="false" ht="15.75" hidden="false" customHeight="false" outlineLevel="0" collapsed="false">
      <c r="F978" s="37"/>
      <c r="H978" s="37"/>
    </row>
    <row r="979" customFormat="false" ht="15.75" hidden="false" customHeight="false" outlineLevel="0" collapsed="false">
      <c r="F979" s="37"/>
      <c r="H979" s="37"/>
    </row>
    <row r="980" customFormat="false" ht="15.75" hidden="false" customHeight="false" outlineLevel="0" collapsed="false">
      <c r="F980" s="37"/>
      <c r="H980" s="37"/>
    </row>
    <row r="981" customFormat="false" ht="15.75" hidden="false" customHeight="false" outlineLevel="0" collapsed="false">
      <c r="F981" s="37"/>
      <c r="H981" s="37"/>
    </row>
    <row r="982" customFormat="false" ht="15.75" hidden="false" customHeight="false" outlineLevel="0" collapsed="false">
      <c r="F982" s="37"/>
      <c r="H982" s="37"/>
    </row>
    <row r="983" customFormat="false" ht="15.75" hidden="false" customHeight="false" outlineLevel="0" collapsed="false">
      <c r="F983" s="37"/>
      <c r="H983" s="37"/>
    </row>
    <row r="984" customFormat="false" ht="15.75" hidden="false" customHeight="false" outlineLevel="0" collapsed="false">
      <c r="F984" s="37"/>
      <c r="H984" s="37"/>
    </row>
    <row r="985" customFormat="false" ht="15.75" hidden="false" customHeight="false" outlineLevel="0" collapsed="false">
      <c r="F985" s="37"/>
      <c r="H985" s="37"/>
    </row>
    <row r="986" customFormat="false" ht="15.75" hidden="false" customHeight="false" outlineLevel="0" collapsed="false">
      <c r="F986" s="37"/>
      <c r="H986" s="37"/>
    </row>
    <row r="987" customFormat="false" ht="15.75" hidden="false" customHeight="false" outlineLevel="0" collapsed="false">
      <c r="F987" s="37"/>
      <c r="H987" s="37"/>
    </row>
    <row r="988" customFormat="false" ht="15.75" hidden="false" customHeight="false" outlineLevel="0" collapsed="false">
      <c r="F988" s="37"/>
      <c r="H988" s="37"/>
    </row>
    <row r="989" customFormat="false" ht="15.75" hidden="false" customHeight="false" outlineLevel="0" collapsed="false">
      <c r="F989" s="37"/>
      <c r="H989" s="37"/>
    </row>
    <row r="990" customFormat="false" ht="15.75" hidden="false" customHeight="false" outlineLevel="0" collapsed="false">
      <c r="F990" s="37"/>
      <c r="H990" s="37"/>
    </row>
    <row r="991" customFormat="false" ht="15.75" hidden="false" customHeight="false" outlineLevel="0" collapsed="false">
      <c r="F991" s="37"/>
      <c r="H991" s="37"/>
    </row>
    <row r="992" customFormat="false" ht="15.75" hidden="false" customHeight="false" outlineLevel="0" collapsed="false">
      <c r="F992" s="37"/>
      <c r="H992" s="37"/>
    </row>
    <row r="993" customFormat="false" ht="15.75" hidden="false" customHeight="false" outlineLevel="0" collapsed="false">
      <c r="F993" s="37"/>
      <c r="H993" s="37"/>
    </row>
    <row r="994" customFormat="false" ht="15.75" hidden="false" customHeight="false" outlineLevel="0" collapsed="false">
      <c r="F994" s="37"/>
      <c r="H994" s="37"/>
    </row>
    <row r="995" customFormat="false" ht="15.75" hidden="false" customHeight="false" outlineLevel="0" collapsed="false">
      <c r="F995" s="37"/>
      <c r="H995" s="37"/>
    </row>
    <row r="996" customFormat="false" ht="15.75" hidden="false" customHeight="false" outlineLevel="0" collapsed="false">
      <c r="F996" s="37"/>
      <c r="H996" s="37"/>
    </row>
    <row r="997" customFormat="false" ht="15.75" hidden="false" customHeight="false" outlineLevel="0" collapsed="false">
      <c r="F997" s="37"/>
      <c r="H997" s="37"/>
    </row>
    <row r="998" customFormat="false" ht="15.75" hidden="false" customHeight="false" outlineLevel="0" collapsed="false">
      <c r="F998" s="37"/>
      <c r="H998" s="37"/>
    </row>
    <row r="999" customFormat="false" ht="15.75" hidden="false" customHeight="false" outlineLevel="0" collapsed="false">
      <c r="F999" s="37"/>
      <c r="H999" s="37"/>
    </row>
    <row r="1000" customFormat="false" ht="15.75" hidden="false" customHeight="false" outlineLevel="0" collapsed="false">
      <c r="F1000" s="37"/>
      <c r="H1000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